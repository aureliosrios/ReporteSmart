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_RECURSOS_Y_APU" sheetId="1" state="visible" r:id="rId1"/>
    <sheet xmlns:r="http://schemas.openxmlformats.org/officeDocument/2006/relationships" name="DB_REGISTROS_DIARIOS" sheetId="2" state="visible" r:id="rId2"/>
    <sheet xmlns:r="http://schemas.openxmlformats.org/officeDocument/2006/relationships" name="DASHBOARD_EVM_W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7E22CE"/>
        <bgColor rgb="007E22CE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0" fontId="2" fillId="4" borderId="0" applyAlignment="1" pivotButton="0" quotePrefix="0" xfId="0">
      <alignment horizontal="center" vertical="center"/>
    </xf>
    <xf numFmtId="4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4" fontId="3" fillId="5" borderId="1" pivotButton="0" quotePrefix="0" xfId="0"/>
    <xf numFmtId="164" fontId="3" fillId="5" borderId="1" pivotButton="0" quotePrefix="0" xfId="0"/>
    <xf numFmtId="0" fontId="2" fillId="6" borderId="0" applyAlignment="1" pivotButton="0" quotePrefix="0" xfId="0">
      <alignment horizontal="center" vertical="center"/>
    </xf>
    <xf numFmtId="0" fontId="4" fillId="7" borderId="1" pivotButton="0" quotePrefix="0" xfId="0"/>
    <xf numFmtId="164" fontId="4" fillId="7" borderId="1" pivotButton="0" quotePrefix="0" xfId="0"/>
    <xf numFmtId="4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08" customWidth="1" min="3" max="3"/>
    <col width="12" customWidth="1" min="4" max="4"/>
    <col width="29" customWidth="1" min="5" max="5"/>
  </cols>
  <sheetData>
    <row r="1">
      <c r="A1" s="1" t="inlineStr">
        <is>
          <t>CATÁLOGO MAESTRO COMPLETO DE RECURSOS Y APU META (DICCIONARIO UNIFICADO)</t>
        </is>
      </c>
    </row>
    <row r="2"/>
    <row r="3">
      <c r="A3" s="2" t="inlineStr">
        <is>
          <t>Categoría Tipo</t>
        </is>
      </c>
      <c r="B3" s="2" t="inlineStr">
        <is>
          <t>Código Recurso/Partida</t>
        </is>
      </c>
      <c r="C3" s="2" t="inlineStr">
        <is>
          <t>Descripción Detallada del Recurso / APU</t>
        </is>
      </c>
      <c r="D3" s="2" t="inlineStr">
        <is>
          <t>Unidad</t>
        </is>
      </c>
      <c r="E3" s="2" t="inlineStr">
        <is>
          <t>Precio Unitario Meta (S/)</t>
        </is>
      </c>
    </row>
    <row r="4">
      <c r="A4" s="3" t="inlineStr">
        <is>
          <t>Mano de Obra</t>
        </is>
      </c>
      <c r="B4" s="4" t="inlineStr">
        <is>
          <t>MO_CAPATAZ</t>
        </is>
      </c>
      <c r="C4" s="3" t="inlineStr">
        <is>
          <t>CAPATAZ</t>
        </is>
      </c>
      <c r="D4" s="4" t="inlineStr">
        <is>
          <t>hh</t>
        </is>
      </c>
      <c r="E4" s="5" t="n">
        <v>32.5</v>
      </c>
    </row>
    <row r="5">
      <c r="A5" s="3" t="inlineStr">
        <is>
          <t>Mano de Obra</t>
        </is>
      </c>
      <c r="B5" s="4" t="inlineStr">
        <is>
          <t>MO_OPERARIO</t>
        </is>
      </c>
      <c r="C5" s="3" t="inlineStr">
        <is>
          <t>OPERARIO</t>
        </is>
      </c>
      <c r="D5" s="4" t="inlineStr">
        <is>
          <t>hh</t>
        </is>
      </c>
      <c r="E5" s="5" t="n">
        <v>26.8</v>
      </c>
    </row>
    <row r="6">
      <c r="A6" s="3" t="inlineStr">
        <is>
          <t>Mano de Obra</t>
        </is>
      </c>
      <c r="B6" s="4" t="inlineStr">
        <is>
          <t>MO_OFICIAL</t>
        </is>
      </c>
      <c r="C6" s="3" t="inlineStr">
        <is>
          <t>OFICIAL</t>
        </is>
      </c>
      <c r="D6" s="4" t="inlineStr">
        <is>
          <t>hh</t>
        </is>
      </c>
      <c r="E6" s="5" t="n">
        <v>22.4</v>
      </c>
    </row>
    <row r="7">
      <c r="A7" s="3" t="inlineStr">
        <is>
          <t>Mano de Obra</t>
        </is>
      </c>
      <c r="B7" s="4" t="inlineStr">
        <is>
          <t>MO_PEON</t>
        </is>
      </c>
      <c r="C7" s="3" t="inlineStr">
        <is>
          <t>PEON</t>
        </is>
      </c>
      <c r="D7" s="4" t="inlineStr">
        <is>
          <t>hh</t>
        </is>
      </c>
      <c r="E7" s="5" t="n">
        <v>20.1</v>
      </c>
    </row>
    <row r="8">
      <c r="A8" s="3" t="inlineStr">
        <is>
          <t>Materiales</t>
        </is>
      </c>
      <c r="B8" s="4" t="inlineStr">
        <is>
          <t>MAT_ESTACA</t>
        </is>
      </c>
      <c r="C8" s="3" t="inlineStr">
        <is>
          <t>ESTACAS Y MADERA PARA TRAZO</t>
        </is>
      </c>
      <c r="D8" s="4" t="inlineStr">
        <is>
          <t>pza</t>
        </is>
      </c>
      <c r="E8" s="5" t="n">
        <v>4.5</v>
      </c>
    </row>
    <row r="9">
      <c r="A9" s="3" t="inlineStr">
        <is>
          <t>Materiales</t>
        </is>
      </c>
      <c r="B9" s="4" t="inlineStr">
        <is>
          <t>MAT_PINTURA</t>
        </is>
      </c>
      <c r="C9" s="3" t="inlineStr">
        <is>
          <t>PINTURA SPRAY MARCADOR DE ZANJA</t>
        </is>
      </c>
      <c r="D9" s="4" t="inlineStr">
        <is>
          <t>gla</t>
        </is>
      </c>
      <c r="E9" s="5" t="n">
        <v>18</v>
      </c>
    </row>
    <row r="10">
      <c r="A10" s="3" t="inlineStr">
        <is>
          <t>Materiales</t>
        </is>
      </c>
      <c r="B10" s="4" t="inlineStr">
        <is>
          <t>MAT_CORDEL</t>
        </is>
      </c>
      <c r="C10" s="3" t="inlineStr">
        <is>
          <t>CORDEL / NYLON</t>
        </is>
      </c>
      <c r="D10" s="4" t="inlineStr">
        <is>
          <t>m</t>
        </is>
      </c>
      <c r="E10" s="5" t="n">
        <v>0.8</v>
      </c>
    </row>
    <row r="11">
      <c r="A11" s="3" t="inlineStr">
        <is>
          <t>Materiales</t>
        </is>
      </c>
      <c r="B11" s="4" t="inlineStr">
        <is>
          <t>MAT_ARENA_CAMAS</t>
        </is>
      </c>
      <c r="C11" s="3" t="inlineStr">
        <is>
          <t>ARENA FINA SELECCIONADA PARA CAMA E=0.10M</t>
        </is>
      </c>
      <c r="D11" s="4" t="inlineStr">
        <is>
          <t>m3</t>
        </is>
      </c>
      <c r="E11" s="5" t="n">
        <v>45</v>
      </c>
    </row>
    <row r="12">
      <c r="A12" s="3" t="inlineStr">
        <is>
          <t>Materiales</t>
        </is>
      </c>
      <c r="B12" s="4" t="inlineStr">
        <is>
          <t>MAT_TUB_PVC_200</t>
        </is>
      </c>
      <c r="C12" s="3" t="inlineStr">
        <is>
          <t>TUBERIA PVC UF DN 200MM SERIE S-20 ALCANTARILLADO</t>
        </is>
      </c>
      <c r="D12" s="4" t="inlineStr">
        <is>
          <t>m</t>
        </is>
      </c>
      <c r="E12" s="5" t="n">
        <v>42</v>
      </c>
    </row>
    <row r="13">
      <c r="A13" s="3" t="inlineStr">
        <is>
          <t>Materiales</t>
        </is>
      </c>
      <c r="B13" s="4" t="inlineStr">
        <is>
          <t>MAT_LUBRICANTE</t>
        </is>
      </c>
      <c r="C13" s="3" t="inlineStr">
        <is>
          <t>LUBRICANTE PARA TUBERIA CON ESPIGA Y CAMPANA</t>
        </is>
      </c>
      <c r="D13" s="4" t="inlineStr">
        <is>
          <t>kg</t>
        </is>
      </c>
      <c r="E13" s="5" t="n">
        <v>24</v>
      </c>
    </row>
    <row r="14">
      <c r="A14" s="3" t="inlineStr">
        <is>
          <t>Materiales</t>
        </is>
      </c>
      <c r="B14" s="4" t="inlineStr">
        <is>
          <t>MAT_MATERIAL_PR</t>
        </is>
      </c>
      <c r="C14" s="3" t="inlineStr">
        <is>
          <t>MATERIAL DE PRÉSTAMO AFIRMADO PARA RELLENO COMPACTADO</t>
        </is>
      </c>
      <c r="D14" s="4" t="inlineStr">
        <is>
          <t>m3</t>
        </is>
      </c>
      <c r="E14" s="5" t="n">
        <v>38</v>
      </c>
    </row>
    <row r="15">
      <c r="A15" s="3" t="inlineStr">
        <is>
          <t>Materiales</t>
        </is>
      </c>
      <c r="B15" s="4" t="inlineStr">
        <is>
          <t>MAT_AGUA</t>
        </is>
      </c>
      <c r="C15" s="3" t="inlineStr">
        <is>
          <t>AGUA PARA COMPACTACIÓN Y PRUEBAS</t>
        </is>
      </c>
      <c r="D15" s="4" t="inlineStr">
        <is>
          <t>m3</t>
        </is>
      </c>
      <c r="E15" s="5" t="n">
        <v>12</v>
      </c>
    </row>
    <row r="16">
      <c r="A16" s="3" t="inlineStr">
        <is>
          <t>Materiales</t>
        </is>
      </c>
      <c r="B16" s="4" t="inlineStr">
        <is>
          <t>MAT_BUZON_PREF</t>
        </is>
      </c>
      <c r="C16" s="3" t="inlineStr">
        <is>
          <t>BUZON PREFABRICADO CONCRETO H=1.5-2.5M CON MARCO Y TAPA</t>
        </is>
      </c>
      <c r="D16" s="4" t="inlineStr">
        <is>
          <t>und</t>
        </is>
      </c>
      <c r="E16" s="5" t="n">
        <v>1050</v>
      </c>
    </row>
    <row r="17">
      <c r="A17" s="3" t="inlineStr">
        <is>
          <t>Materiales</t>
        </is>
      </c>
      <c r="B17" s="4" t="inlineStr">
        <is>
          <t>MAT_CAJA_REGISTRO</t>
        </is>
      </c>
      <c r="C17" s="3" t="inlineStr">
        <is>
          <t>CAJA DE REGISTRO PREFABRICADA DE CONCRETO 12X24 WITH TAPA</t>
        </is>
      </c>
      <c r="D17" s="4" t="inlineStr">
        <is>
          <t>und</t>
        </is>
      </c>
      <c r="E17" s="5" t="n">
        <v>145</v>
      </c>
    </row>
    <row r="18">
      <c r="A18" s="3" t="inlineStr">
        <is>
          <t>Materiales</t>
        </is>
      </c>
      <c r="B18" s="4" t="inlineStr">
        <is>
          <t>MAT_TUB_PVC_160_CONEX</t>
        </is>
      </c>
      <c r="C18" s="3" t="inlineStr">
        <is>
          <t>TUBERIA PVC SAL DN 160MM PARA ACOMETIDA ALCANTARILLADO</t>
        </is>
      </c>
      <c r="D18" s="4" t="inlineStr">
        <is>
          <t>m</t>
        </is>
      </c>
      <c r="E18" s="5" t="n">
        <v>22</v>
      </c>
    </row>
    <row r="19">
      <c r="A19" s="3" t="inlineStr">
        <is>
          <t>Materiales</t>
        </is>
      </c>
      <c r="B19" s="4" t="inlineStr">
        <is>
          <t>MAT_TUB_PVC_110_AGUA</t>
        </is>
      </c>
      <c r="C19" s="3" t="inlineStr">
        <is>
          <t>TUBERIA PVC C-10 DN 110MM AGUA POTABLE</t>
        </is>
      </c>
      <c r="D19" s="4" t="inlineStr">
        <is>
          <t>m</t>
        </is>
      </c>
      <c r="E19" s="5" t="n">
        <v>26.5</v>
      </c>
    </row>
    <row r="20">
      <c r="A20" s="3" t="inlineStr">
        <is>
          <t>Materiales</t>
        </is>
      </c>
      <c r="B20" s="4" t="inlineStr">
        <is>
          <t>MAT_ACCESORIOS_AGUA</t>
        </is>
      </c>
      <c r="C20" s="3" t="inlineStr">
        <is>
          <t>ACCESORIOS Y CODOS PVC AGUA 110MM (PROMEDIO/M)</t>
        </is>
      </c>
      <c r="D20" s="4" t="inlineStr">
        <is>
          <t>glb</t>
        </is>
      </c>
      <c r="E20" s="5" t="n">
        <v>5</v>
      </c>
    </row>
    <row r="21">
      <c r="A21" s="3" t="inlineStr">
        <is>
          <t>Materiales</t>
        </is>
      </c>
      <c r="B21" s="4" t="inlineStr">
        <is>
          <t>MAT_CAJA_AGUA</t>
        </is>
      </c>
      <c r="C21" s="3" t="inlineStr">
        <is>
          <t>CAJA TERMOFORMADA PARA MEDIDOR + ABRAZADERA + LLAVE DE PASO</t>
        </is>
      </c>
      <c r="D21" s="4" t="inlineStr">
        <is>
          <t>und</t>
        </is>
      </c>
      <c r="E21" s="5" t="n">
        <v>62</v>
      </c>
    </row>
    <row r="22">
      <c r="A22" s="3" t="inlineStr">
        <is>
          <t>Materiales</t>
        </is>
      </c>
      <c r="B22" s="4" t="inlineStr">
        <is>
          <t>MAT_TUB_HDPE_1_2</t>
        </is>
      </c>
      <c r="C22" s="3" t="inlineStr">
        <is>
          <t>TUBERIA HDPE 1/2 PARA ACOMETIDA AGUA</t>
        </is>
      </c>
      <c r="D22" s="4" t="inlineStr">
        <is>
          <t>m</t>
        </is>
      </c>
      <c r="E22" s="5" t="n">
        <v>3.8</v>
      </c>
    </row>
    <row r="23">
      <c r="A23" s="3" t="inlineStr">
        <is>
          <t>Materiales</t>
        </is>
      </c>
      <c r="B23" s="4" t="inlineStr">
        <is>
          <t>MAT_HIPOCLORITO</t>
        </is>
      </c>
      <c r="C23" s="3" t="inlineStr">
        <is>
          <t>HIPOCLORITO DE CALCIO 70% PARA DESINFECCION</t>
        </is>
      </c>
      <c r="D23" s="4" t="inlineStr">
        <is>
          <t>kg</t>
        </is>
      </c>
      <c r="E23" s="5" t="n">
        <v>35</v>
      </c>
    </row>
    <row r="24">
      <c r="A24" s="3" t="inlineStr">
        <is>
          <t>Materiales</t>
        </is>
      </c>
      <c r="B24" s="4" t="inlineStr">
        <is>
          <t>MAT_CARTEL</t>
        </is>
      </c>
      <c r="C24" s="3" t="inlineStr">
        <is>
          <t>CARTEL DE OBRA 3.60X2.40M</t>
        </is>
      </c>
      <c r="D24" s="4" t="inlineStr">
        <is>
          <t>und</t>
        </is>
      </c>
      <c r="E24" s="5" t="n">
        <v>1200</v>
      </c>
    </row>
    <row r="25">
      <c r="A25" s="3" t="inlineStr">
        <is>
          <t>Materiales</t>
        </is>
      </c>
      <c r="B25" s="4" t="inlineStr">
        <is>
          <t>MAT_CASETA</t>
        </is>
      </c>
      <c r="C25" s="3" t="inlineStr">
        <is>
          <t>CASETA DE ALMACEN Y OFICINA PROVISIONAL</t>
        </is>
      </c>
      <c r="D25" s="4" t="inlineStr">
        <is>
          <t>glb</t>
        </is>
      </c>
      <c r="E25" s="5" t="n">
        <v>2300</v>
      </c>
    </row>
    <row r="26">
      <c r="A26" s="3" t="inlineStr">
        <is>
          <t>Equipos</t>
        </is>
      </c>
      <c r="B26" s="4" t="inlineStr">
        <is>
          <t>EQ_HERRAMIENTAS</t>
        </is>
      </c>
      <c r="C26" s="3" t="inlineStr">
        <is>
          <t>HERRAMIENTAS MANUALES</t>
        </is>
      </c>
      <c r="D26" s="4" t="inlineStr">
        <is>
          <t>%MO</t>
        </is>
      </c>
      <c r="E26" s="5" t="n">
        <v>0</v>
      </c>
    </row>
    <row r="27">
      <c r="A27" s="3" t="inlineStr">
        <is>
          <t>Equipos</t>
        </is>
      </c>
      <c r="B27" s="4" t="inlineStr">
        <is>
          <t>EQ_EXCAVADORA</t>
        </is>
      </c>
      <c r="C27" s="3" t="inlineStr">
        <is>
          <t>EXCAVADORA SOBRE ORUGAS 140 HP</t>
        </is>
      </c>
      <c r="D27" s="4" t="inlineStr">
        <is>
          <t>hm</t>
        </is>
      </c>
      <c r="E27" s="5" t="n">
        <v>185</v>
      </c>
    </row>
    <row r="28">
      <c r="A28" s="3" t="inlineStr">
        <is>
          <t>Equipos</t>
        </is>
      </c>
      <c r="B28" s="4" t="inlineStr">
        <is>
          <t>EQ_RETROEXCAVADORA</t>
        </is>
      </c>
      <c r="C28" s="3" t="inlineStr">
        <is>
          <t>RETROEXCAVADORA SOBRE LLANTAS 62 HP</t>
        </is>
      </c>
      <c r="D28" s="4" t="inlineStr">
        <is>
          <t>hm</t>
        </is>
      </c>
      <c r="E28" s="5" t="n">
        <v>130</v>
      </c>
    </row>
    <row r="29">
      <c r="A29" s="3" t="inlineStr">
        <is>
          <t>Equipos</t>
        </is>
      </c>
      <c r="B29" s="4" t="inlineStr">
        <is>
          <t>EQ_PLANCHA</t>
        </is>
      </c>
      <c r="C29" s="3" t="inlineStr">
        <is>
          <t>PLANCHA COMPACTADORA 7 HP</t>
        </is>
      </c>
      <c r="D29" s="4" t="inlineStr">
        <is>
          <t>hm</t>
        </is>
      </c>
      <c r="E29" s="5" t="n">
        <v>25</v>
      </c>
    </row>
    <row r="30">
      <c r="A30" s="3" t="inlineStr">
        <is>
          <t>Equipos</t>
        </is>
      </c>
      <c r="B30" s="4" t="inlineStr">
        <is>
          <t>EQ_RODILLO_CAMINANTE</t>
        </is>
      </c>
      <c r="C30" s="3" t="inlineStr">
        <is>
          <t>RODILLO VIBRATORIO CAMINANTE 1.5 TN</t>
        </is>
      </c>
      <c r="D30" s="4" t="inlineStr">
        <is>
          <t>hm</t>
        </is>
      </c>
      <c r="E30" s="5" t="n">
        <v>45</v>
      </c>
    </row>
    <row r="31">
      <c r="A31" s="3" t="inlineStr">
        <is>
          <t>Equipos</t>
        </is>
      </c>
      <c r="B31" s="4" t="inlineStr">
        <is>
          <t>EQ_CAMION_CISTERNA</t>
        </is>
      </c>
      <c r="C31" s="3" t="inlineStr">
        <is>
          <t>CAMION CISTERNA 4X2 (AGUA) 2,000 GLN</t>
        </is>
      </c>
      <c r="D31" s="4" t="inlineStr">
        <is>
          <t>hm</t>
        </is>
      </c>
      <c r="E31" s="5" t="n">
        <v>140</v>
      </c>
    </row>
    <row r="32">
      <c r="A32" s="3" t="inlineStr">
        <is>
          <t>Equipos</t>
        </is>
      </c>
      <c r="B32" s="4" t="inlineStr">
        <is>
          <t>EQ_CAMION_GRUAN</t>
        </is>
      </c>
      <c r="C32" s="3" t="inlineStr">
        <is>
          <t>CAMION GRUA 5 TN PARA MONTAJE DE BUZONES</t>
        </is>
      </c>
      <c r="D32" s="4" t="inlineStr">
        <is>
          <t>hm</t>
        </is>
      </c>
      <c r="E32" s="5" t="n">
        <v>160</v>
      </c>
    </row>
    <row r="33">
      <c r="A33" s="3" t="inlineStr">
        <is>
          <t>Equipos</t>
        </is>
      </c>
      <c r="B33" s="4" t="inlineStr">
        <is>
          <t>EQ_BOMBA_PRUEBA</t>
        </is>
      </c>
      <c r="C33" s="3" t="inlineStr">
        <is>
          <t>BOMBA HIDROSTÁTICA DE PRUEBA DE PRESIÓN</t>
        </is>
      </c>
      <c r="D33" s="4" t="inlineStr">
        <is>
          <t>hm</t>
        </is>
      </c>
      <c r="E33" s="5" t="n">
        <v>30</v>
      </c>
    </row>
    <row r="34">
      <c r="A34" s="3" t="inlineStr">
        <is>
          <t>Equipos</t>
        </is>
      </c>
      <c r="B34" s="4" t="inlineStr">
        <is>
          <t>EQ_ESTACION_TOTAL</t>
        </is>
      </c>
      <c r="C34" s="3" t="inlineStr">
        <is>
          <t>EQUIPO DE TOPOGRAFIA ESTACION TOTAL</t>
        </is>
      </c>
      <c r="D34" s="4" t="inlineStr">
        <is>
          <t>hm</t>
        </is>
      </c>
      <c r="E34" s="5" t="n">
        <v>18</v>
      </c>
    </row>
    <row r="35">
      <c r="A35" s="3" t="inlineStr">
        <is>
          <t>Subcontratos</t>
        </is>
      </c>
      <c r="B35" s="4" t="inlineStr">
        <is>
          <t>SUB_MOVILIZACION</t>
        </is>
      </c>
      <c r="C35" s="3" t="inlineStr">
        <is>
          <t>SUBCONTRATO DE MOVILIZACION Y DESMOVILIZACION DE MAQUINARIA</t>
        </is>
      </c>
      <c r="D35" s="4" t="inlineStr">
        <is>
          <t>glb</t>
        </is>
      </c>
      <c r="E35" s="5" t="n">
        <v>4000</v>
      </c>
    </row>
    <row r="36">
      <c r="A36" s="3" t="inlineStr">
        <is>
          <t>Subcontratos</t>
        </is>
      </c>
      <c r="B36" s="4" t="inlineStr">
        <is>
          <t>SUB_ENSAYOS_COMPAC</t>
        </is>
      </c>
      <c r="C36" s="3" t="inlineStr">
        <is>
          <t>SUBCONTRATO DE ENSAYOS DE DENSIDAD DE CAMPO (PROCTOR/DENSIDAD)</t>
        </is>
      </c>
      <c r="D36" s="4" t="inlineStr">
        <is>
          <t>und</t>
        </is>
      </c>
      <c r="E36" s="5" t="n">
        <v>80</v>
      </c>
    </row>
    <row r="37">
      <c r="A37" s="3" t="inlineStr">
        <is>
          <t>Subcontratos</t>
        </is>
      </c>
      <c r="B37" s="4" t="inlineStr">
        <is>
          <t>SUB_MONTAJE_BUZON</t>
        </is>
      </c>
      <c r="C37" s="3" t="inlineStr">
        <is>
          <t>SUBCONTRATO SERVICIO ASENTADO Y ANCLAJE BUZONES PREFABRICADOS</t>
        </is>
      </c>
      <c r="D37" s="4" t="inlineStr">
        <is>
          <t>und</t>
        </is>
      </c>
      <c r="E37" s="5" t="n">
        <v>250</v>
      </c>
    </row>
    <row r="38">
      <c r="A38" s="3" t="inlineStr">
        <is>
          <t>Subcontratos</t>
        </is>
      </c>
      <c r="B38" s="4" t="inlineStr">
        <is>
          <t>SUB_PRUEBA_LAB</t>
        </is>
      </c>
      <c r="C38" s="3" t="inlineStr">
        <is>
          <t>SUBCONTRATO PRUEBAS DE LABORATORIO DE AGUA (BACTERIOLOGICO/FISICOQUIMICO)</t>
        </is>
      </c>
      <c r="D38" s="4" t="inlineStr">
        <is>
          <t>glb</t>
        </is>
      </c>
      <c r="E38" s="5" t="n">
        <v>3800</v>
      </c>
    </row>
    <row r="39">
      <c r="A39" s="3" t="inlineStr">
        <is>
          <t>Partida APU (EV)</t>
        </is>
      </c>
      <c r="B39" s="4" t="inlineStr">
        <is>
          <t>01.01</t>
        </is>
      </c>
      <c r="C39" s="3" t="inlineStr">
        <is>
          <t>Partida 01.01 - Obras Preliminares y Trabajos Provisionales</t>
        </is>
      </c>
      <c r="D39" s="4" t="inlineStr">
        <is>
          <t>GLB</t>
        </is>
      </c>
      <c r="E39" s="5" t="n">
        <v>8296.4</v>
      </c>
    </row>
    <row r="40">
      <c r="A40" s="3" t="inlineStr">
        <is>
          <t>Partida APU (EV)</t>
        </is>
      </c>
      <c r="B40" s="4" t="inlineStr">
        <is>
          <t>01.02.01</t>
        </is>
      </c>
      <c r="C40" s="3" t="inlineStr">
        <is>
          <t>Partida 01.02.01 - Trazo, Nivelación y Replanteo de Zanjas</t>
        </is>
      </c>
      <c r="D40" s="4" t="inlineStr">
        <is>
          <t>M</t>
        </is>
      </c>
      <c r="E40" s="5" t="n">
        <v>3.35</v>
      </c>
    </row>
    <row r="41">
      <c r="A41" s="3" t="inlineStr">
        <is>
          <t>Partida APU (EV)</t>
        </is>
      </c>
      <c r="B41" s="4" t="inlineStr">
        <is>
          <t>01.02.02</t>
        </is>
      </c>
      <c r="C41" s="3" t="inlineStr">
        <is>
          <t>Partida 01.02.02 - Excavación de Zanja H=1.50m - 2.20m a Máquina (Terreno Normal)</t>
        </is>
      </c>
      <c r="D41" s="4" t="inlineStr">
        <is>
          <t>M3</t>
        </is>
      </c>
      <c r="E41" s="5" t="n">
        <v>11.66</v>
      </c>
    </row>
    <row r="42">
      <c r="A42" s="3" t="inlineStr">
        <is>
          <t>Partida APU (EV)</t>
        </is>
      </c>
      <c r="B42" s="4" t="inlineStr">
        <is>
          <t>01.02.03</t>
        </is>
      </c>
      <c r="C42" s="3" t="inlineStr">
        <is>
          <t>Partida 01.02.03 - Preparación y Colocación de Cama de Arena e=0.10m</t>
        </is>
      </c>
      <c r="D42" s="4" t="inlineStr">
        <is>
          <t>M</t>
        </is>
      </c>
      <c r="E42" s="5" t="n">
        <v>11.12</v>
      </c>
    </row>
    <row r="43">
      <c r="A43" s="3" t="inlineStr">
        <is>
          <t>Partida APU (EV)</t>
        </is>
      </c>
      <c r="B43" s="4" t="inlineStr">
        <is>
          <t>01.02.04</t>
        </is>
      </c>
      <c r="C43" s="3" t="inlineStr">
        <is>
          <t>Partida 01.02.04 - Suministro e Instalación de Tubería PVC UF DN 200mm Serie S-20 para Alcantarillado</t>
        </is>
      </c>
      <c r="D43" s="4" t="inlineStr">
        <is>
          <t>M</t>
        </is>
      </c>
      <c r="E43" s="5" t="n">
        <v>55.51</v>
      </c>
    </row>
    <row r="44">
      <c r="A44" s="3" t="inlineStr">
        <is>
          <t>Partida APU (EV)</t>
        </is>
      </c>
      <c r="B44" s="4" t="inlineStr">
        <is>
          <t>01.02.05</t>
        </is>
      </c>
      <c r="C44" s="3" t="inlineStr">
        <is>
          <t>Partida 01.02.05 - Relleno Compactado de Zanja en Capas de 0.20m con Maquinaria/Plancha</t>
        </is>
      </c>
      <c r="D44" s="4" t="inlineStr">
        <is>
          <t>M3</t>
        </is>
      </c>
      <c r="E44" s="5" t="n">
        <v>28.54</v>
      </c>
    </row>
    <row r="45">
      <c r="A45" s="3" t="inlineStr">
        <is>
          <t>Partida APU (EV)</t>
        </is>
      </c>
      <c r="B45" s="4" t="inlineStr">
        <is>
          <t>01.02.06</t>
        </is>
      </c>
      <c r="C45" s="3" t="inlineStr">
        <is>
          <t>Partida 01.02.06 - Construcción de Buzones Prefabricados de Concreto h=1.50m - 2.50m (Inc. Marco y Tapa)</t>
        </is>
      </c>
      <c r="D45" s="4" t="inlineStr">
        <is>
          <t>UND</t>
        </is>
      </c>
      <c r="E45" s="5" t="n">
        <v>2500.73</v>
      </c>
    </row>
    <row r="46">
      <c r="A46" s="3" t="inlineStr">
        <is>
          <t>Partida APU (EV)</t>
        </is>
      </c>
      <c r="B46" s="4" t="inlineStr">
        <is>
          <t>01.02.07</t>
        </is>
      </c>
      <c r="C46" s="3" t="inlineStr">
        <is>
          <t>Partida 01.02.07 - Conexiones Domiciliarias de Alcantarillado (Caja de Registro + Acometida)</t>
        </is>
      </c>
      <c r="D46" s="4" t="inlineStr">
        <is>
          <t>UND</t>
        </is>
      </c>
      <c r="E46" s="5" t="n">
        <v>405.54</v>
      </c>
    </row>
    <row r="47">
      <c r="A47" s="3" t="inlineStr">
        <is>
          <t>Partida APU (EV)</t>
        </is>
      </c>
      <c r="B47" s="4" t="inlineStr">
        <is>
          <t>01.03.01</t>
        </is>
      </c>
      <c r="C47" s="3" t="inlineStr">
        <is>
          <t>Partida 01.03.01 - Suministro e Instalación de Tubería PVC C-10 DN 110mm para Agua Potable</t>
        </is>
      </c>
      <c r="D47" s="4" t="inlineStr">
        <is>
          <t>M</t>
        </is>
      </c>
      <c r="E47" s="5" t="n">
        <v>38.76</v>
      </c>
    </row>
    <row r="48">
      <c r="A48" s="3" t="inlineStr">
        <is>
          <t>Partida APU (EV)</t>
        </is>
      </c>
      <c r="B48" s="4" t="inlineStr">
        <is>
          <t>01.03.02</t>
        </is>
      </c>
      <c r="C48" s="3" t="inlineStr">
        <is>
          <t>Partida 01.03.02 - Conexiones Domiciliarias de Agua Potable (Caja de Agua + Abrazadera + Acometida)</t>
        </is>
      </c>
      <c r="D48" s="4" t="inlineStr">
        <is>
          <t>UND</t>
        </is>
      </c>
      <c r="E48" s="5" t="n">
        <v>156.71</v>
      </c>
    </row>
    <row r="49">
      <c r="A49" s="3" t="inlineStr">
        <is>
          <t>Partida APU (EV)</t>
        </is>
      </c>
      <c r="B49" s="4" t="inlineStr">
        <is>
          <t>01.04.01</t>
        </is>
      </c>
      <c r="C49" s="3" t="inlineStr">
        <is>
          <t>Partida 01.04.01 - Pruebas Hidráulicas de Redes de Agua y Alcantarillado + Desinfección</t>
        </is>
      </c>
      <c r="D49" s="4" t="inlineStr">
        <is>
          <t>GLB</t>
        </is>
      </c>
      <c r="E49" s="5" t="n">
        <v>9348.059999999999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14" customWidth="1" min="4" max="4"/>
    <col width="26" customWidth="1" min="5" max="5"/>
    <col width="27" customWidth="1" min="6" max="6"/>
    <col width="12" customWidth="1" min="7" max="7"/>
    <col width="12" customWidth="1" min="8" max="8"/>
    <col width="61" customWidth="1" min="9" max="9"/>
    <col width="28" customWidth="1" min="10" max="10"/>
    <col width="17" customWidth="1" min="11" max="11"/>
  </cols>
  <sheetData>
    <row r="1">
      <c r="A1" s="1" t="inlineStr">
        <is>
          <t>BASE DE DATOS REGISTROS DIARIOS CON TRAZABILIDAD Y BUSQUEDA DE TARIFAS META</t>
        </is>
      </c>
    </row>
    <row r="2"/>
    <row r="3">
      <c r="A3" s="6" t="inlineStr">
        <is>
          <t>ID Registro</t>
        </is>
      </c>
      <c r="B3" s="6" t="inlineStr">
        <is>
          <t>Fecha</t>
        </is>
      </c>
      <c r="C3" s="6" t="inlineStr">
        <is>
          <t>Emisor / Rol</t>
        </is>
      </c>
      <c r="D3" s="6" t="inlineStr">
        <is>
          <t>Código WBS</t>
        </is>
      </c>
      <c r="E3" s="6" t="inlineStr">
        <is>
          <t>Código Recurso/Partida</t>
        </is>
      </c>
      <c r="F3" s="6" t="inlineStr">
        <is>
          <t>Descripción Detallada</t>
        </is>
      </c>
      <c r="G3" s="6" t="inlineStr">
        <is>
          <t>Cantidad</t>
        </is>
      </c>
      <c r="H3" s="6" t="inlineStr">
        <is>
          <t>Unidad</t>
        </is>
      </c>
      <c r="I3" s="6" t="inlineStr">
        <is>
          <t>Costo Unitario Formula (S/)</t>
        </is>
      </c>
      <c r="J3" s="6" t="inlineStr">
        <is>
          <t>Costo Total Formula (S/)</t>
        </is>
      </c>
      <c r="K3" s="6" t="inlineStr">
        <is>
          <t>Categoría EVM</t>
        </is>
      </c>
    </row>
    <row r="4">
      <c r="A4" s="4" t="inlineStr">
        <is>
          <t>LOG-20260726-92000</t>
        </is>
      </c>
      <c r="B4" s="4" t="inlineStr">
        <is>
          <t>2026-07-26</t>
        </is>
      </c>
      <c r="C4" s="3" t="inlineStr">
        <is>
          <t>Tareador (Bildin)</t>
        </is>
      </c>
      <c r="D4" s="4" t="inlineStr">
        <is>
          <t>WBS-200</t>
        </is>
      </c>
      <c r="E4" s="4" t="inlineStr">
        <is>
          <t>MO_OPERARIO</t>
        </is>
      </c>
      <c r="F4" s="3" t="inlineStr">
        <is>
          <t>OPERARIO (2 pers. x 8h)</t>
        </is>
      </c>
      <c r="G4" s="7" t="n">
        <v>16</v>
      </c>
      <c r="H4" s="4" t="inlineStr">
        <is>
          <t>hh</t>
        </is>
      </c>
      <c r="I4" s="5">
        <f>VLOOKUP(E4, MAESTRO_RECURSOS_Y_APU!$B$4:$E$49, 4, FALSE)</f>
        <v/>
      </c>
      <c r="J4" s="5">
        <f>G4*I4</f>
        <v/>
      </c>
      <c r="K4" s="4" t="inlineStr">
        <is>
          <t>AC_MO</t>
        </is>
      </c>
    </row>
    <row r="5">
      <c r="A5" s="8" t="inlineStr">
        <is>
          <t>LOG-20260726-92000</t>
        </is>
      </c>
      <c r="B5" s="8" t="inlineStr">
        <is>
          <t>2026-07-26</t>
        </is>
      </c>
      <c r="C5" s="9" t="inlineStr">
        <is>
          <t>Tareador (Bildin)</t>
        </is>
      </c>
      <c r="D5" s="8" t="inlineStr">
        <is>
          <t>WBS-200</t>
        </is>
      </c>
      <c r="E5" s="8" t="inlineStr">
        <is>
          <t>MO_OPERARIO</t>
        </is>
      </c>
      <c r="F5" s="9" t="inlineStr">
        <is>
          <t>OPERARIO (2 pers. x 8h)</t>
        </is>
      </c>
      <c r="G5" s="10" t="n">
        <v>16</v>
      </c>
      <c r="H5" s="8" t="inlineStr">
        <is>
          <t>hh</t>
        </is>
      </c>
      <c r="I5" s="11">
        <f>VLOOKUP(E5, MAESTRO_RECURSOS_Y_APU!$B$4:$E$49, 4, FALSE)</f>
        <v/>
      </c>
      <c r="J5" s="11">
        <f>G5*I5</f>
        <v/>
      </c>
      <c r="K5" s="8" t="inlineStr">
        <is>
          <t>AC_MO</t>
        </is>
      </c>
    </row>
    <row r="6">
      <c r="A6" s="4" t="inlineStr">
        <is>
          <t>LOG-20260726-92000</t>
        </is>
      </c>
      <c r="B6" s="4" t="inlineStr">
        <is>
          <t>2026-07-26</t>
        </is>
      </c>
      <c r="C6" s="3" t="inlineStr">
        <is>
          <t>Tareador (Bildin)</t>
        </is>
      </c>
      <c r="D6" s="4" t="inlineStr">
        <is>
          <t>WBS-200</t>
        </is>
      </c>
      <c r="E6" s="4" t="inlineStr">
        <is>
          <t>MO_OPERARIO</t>
        </is>
      </c>
      <c r="F6" s="3" t="inlineStr">
        <is>
          <t>OPERARIO (2 pers. x 8h)</t>
        </is>
      </c>
      <c r="G6" s="7" t="n">
        <v>16</v>
      </c>
      <c r="H6" s="4" t="inlineStr">
        <is>
          <t>hh</t>
        </is>
      </c>
      <c r="I6" s="5">
        <f>VLOOKUP(E6, MAESTRO_RECURSOS_Y_APU!$B$4:$E$49, 4, FALSE)</f>
        <v/>
      </c>
      <c r="J6" s="5">
        <f>G6*I6</f>
        <v/>
      </c>
      <c r="K6" s="4" t="inlineStr">
        <is>
          <t>AC_MO</t>
        </is>
      </c>
    </row>
    <row r="7">
      <c r="A7" s="8" t="inlineStr">
        <is>
          <t>LOG-4</t>
        </is>
      </c>
      <c r="B7" s="8" t="inlineStr">
        <is>
          <t>2026-07-26</t>
        </is>
      </c>
      <c r="C7" s="9" t="inlineStr">
        <is>
          <t>Tareador (Bildin)</t>
        </is>
      </c>
      <c r="D7" s="8" t="inlineStr">
        <is>
          <t>WBS-200</t>
        </is>
      </c>
      <c r="E7" s="8" t="inlineStr">
        <is>
          <t>MO_OPERARIO</t>
        </is>
      </c>
      <c r="F7" s="9" t="inlineStr">
        <is>
          <t>OPERARIO (2 pers. x 8h)</t>
        </is>
      </c>
      <c r="G7" s="10" t="n">
        <v>16</v>
      </c>
      <c r="H7" s="8" t="inlineStr">
        <is>
          <t>hh</t>
        </is>
      </c>
      <c r="I7" s="11">
        <f>VLOOKUP(E7, MAESTRO_RECURSOS_Y_APU!$B$4:$E$49, 4, FALSE)</f>
        <v/>
      </c>
      <c r="J7" s="11">
        <f>G7*I7</f>
        <v/>
      </c>
      <c r="K7" s="8" t="inlineStr">
        <is>
          <t>AC_MO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4" customWidth="1" min="3" max="3"/>
    <col width="23" customWidth="1" min="4" max="4"/>
    <col width="110" customWidth="1" min="5" max="5"/>
    <col width="101" customWidth="1" min="6" max="6"/>
    <col width="27" customWidth="1" min="7" max="7"/>
    <col width="25" customWidth="1" min="8" max="8"/>
    <col width="25" customWidth="1" min="9" max="9"/>
    <col width="32" customWidth="1" min="10" max="10"/>
  </cols>
  <sheetData>
    <row r="1">
      <c r="A1" s="1" t="inlineStr">
        <is>
          <t>DASHBOARD Y CONTROL DE RESULTADO OPERATIVO (CUANTIFICACIÓN DINÁMICA CON FORMULAS SUMIFS)</t>
        </is>
      </c>
    </row>
    <row r="2"/>
    <row r="3">
      <c r="A3" s="12" t="inlineStr">
        <is>
          <t>Código WBS</t>
        </is>
      </c>
      <c r="B3" s="12" t="inlineStr">
        <is>
          <t>Descripción del Frente WBS</t>
        </is>
      </c>
      <c r="C3" s="12" t="inlineStr">
        <is>
          <t>Presupuesto BAC (S/)</t>
        </is>
      </c>
      <c r="D3" s="12" t="inlineStr">
        <is>
          <t>Planificado PV (S/)</t>
        </is>
      </c>
      <c r="E3" s="12" t="inlineStr">
        <is>
          <t>Valor Ganado EV (S/)</t>
        </is>
      </c>
      <c r="F3" s="12" t="inlineStr">
        <is>
          <t>Costo Real AC (S/)</t>
        </is>
      </c>
      <c r="G3" s="12" t="inlineStr">
        <is>
          <t>Variación Costo CV (S/)</t>
        </is>
      </c>
      <c r="H3" s="12" t="inlineStr">
        <is>
          <t>CPI (Costo)</t>
        </is>
      </c>
      <c r="I3" s="12" t="inlineStr">
        <is>
          <t>SPI (Plazo)</t>
        </is>
      </c>
      <c r="J3" s="12" t="inlineStr">
        <is>
          <t>EAC Proyectado (S/)</t>
        </is>
      </c>
    </row>
    <row r="4">
      <c r="A4" s="4" t="inlineStr">
        <is>
          <t>WBS-100</t>
        </is>
      </c>
      <c r="B4" s="3" t="inlineStr">
        <is>
          <t>Obras Preliminares, Trazo y Movilización</t>
        </is>
      </c>
      <c r="C4" s="5" t="n">
        <v>22900</v>
      </c>
      <c r="D4" s="5" t="n">
        <v>22900</v>
      </c>
      <c r="E4" s="5">
        <f>SUMIFS(DB_REGISTROS_DIARIOS!J:J, DB_REGISTROS_DIARIOS!D:D, A4, DB_REGISTROS_DIARIOS!K:K, "EV_PRODUCCION")</f>
        <v/>
      </c>
      <c r="F4" s="5">
        <f>SUMIFS(DB_REGISTROS_DIARIOS!J:J, DB_REGISTROS_DIARIOS!D:D, A4, DB_REGISTROS_DIARIOS!K:K, "AC_*")</f>
        <v/>
      </c>
      <c r="G4" s="5">
        <f>E4-F4</f>
        <v/>
      </c>
      <c r="H4" s="7">
        <f>IF(F4&gt;0, E4/F4, 1.0)</f>
        <v/>
      </c>
      <c r="I4" s="7">
        <f>IF(D4&gt;0, E4/D4, 1.0)</f>
        <v/>
      </c>
      <c r="J4" s="5">
        <f>IF(H4&gt;0, F4+(C4-E4)/H4, C4)</f>
        <v/>
      </c>
    </row>
    <row r="5">
      <c r="A5" s="4" t="inlineStr">
        <is>
          <t>WBS-200</t>
        </is>
      </c>
      <c r="B5" s="3" t="inlineStr">
        <is>
          <t>Red de Alcantarillado, Zanjas y Buzones</t>
        </is>
      </c>
      <c r="C5" s="5" t="n">
        <v>298000</v>
      </c>
      <c r="D5" s="5" t="n">
        <v>31170</v>
      </c>
      <c r="E5" s="5">
        <f>SUMIFS(DB_REGISTROS_DIARIOS!J:J, DB_REGISTROS_DIARIOS!D:D, A5, DB_REGISTROS_DIARIOS!K:K, "EV_PRODUCCION")</f>
        <v/>
      </c>
      <c r="F5" s="5">
        <f>SUMIFS(DB_REGISTROS_DIARIOS!J:J, DB_REGISTROS_DIARIOS!D:D, A5, DB_REGISTROS_DIARIOS!K:K, "AC_*")</f>
        <v/>
      </c>
      <c r="G5" s="5">
        <f>E5-F5</f>
        <v/>
      </c>
      <c r="H5" s="7">
        <f>IF(F5&gt;0, E5/F5, 1.0)</f>
        <v/>
      </c>
      <c r="I5" s="7">
        <f>IF(D5&gt;0, E5/D5, 1.0)</f>
        <v/>
      </c>
      <c r="J5" s="5">
        <f>IF(H5&gt;0, F5+(C5-E5)/H5, C5)</f>
        <v/>
      </c>
    </row>
    <row r="6">
      <c r="A6" s="4" t="inlineStr">
        <is>
          <t>WBS-300</t>
        </is>
      </c>
      <c r="B6" s="3" t="inlineStr">
        <is>
          <t>Red de Agua Potable y Conexiones Domiciliarias</t>
        </is>
      </c>
      <c r="C6" s="5" t="n">
        <v>55250</v>
      </c>
      <c r="D6" s="5" t="n">
        <v>0</v>
      </c>
      <c r="E6" s="5">
        <f>SUMIFS(DB_REGISTROS_DIARIOS!J:J, DB_REGISTROS_DIARIOS!D:D, A6, DB_REGISTROS_DIARIOS!K:K, "EV_PRODUCCION")</f>
        <v/>
      </c>
      <c r="F6" s="5">
        <f>SUMIFS(DB_REGISTROS_DIARIOS!J:J, DB_REGISTROS_DIARIOS!D:D, A6, DB_REGISTROS_DIARIOS!K:K, "AC_*")</f>
        <v/>
      </c>
      <c r="G6" s="5">
        <f>E6-F6</f>
        <v/>
      </c>
      <c r="H6" s="7">
        <f>IF(F6&gt;0, E6/F6, 1.0)</f>
        <v/>
      </c>
      <c r="I6" s="7">
        <f>IF(D6&gt;0, E6/D6, 1.0)</f>
        <v/>
      </c>
      <c r="J6" s="5">
        <f>IF(H6&gt;0, F6+(C6-E6)/H6, C6)</f>
        <v/>
      </c>
    </row>
    <row r="7">
      <c r="A7" s="4" t="inlineStr">
        <is>
          <t>WBS-400</t>
        </is>
      </c>
      <c r="B7" s="3" t="inlineStr">
        <is>
          <t>Pruebas Hidráulicas, Desinfección y Entrega</t>
        </is>
      </c>
      <c r="C7" s="5" t="n">
        <v>10450</v>
      </c>
      <c r="D7" s="5" t="n">
        <v>0</v>
      </c>
      <c r="E7" s="5">
        <f>SUMIFS(DB_REGISTROS_DIARIOS!J:J, DB_REGISTROS_DIARIOS!D:D, A7, DB_REGISTROS_DIARIOS!K:K, "EV_PRODUCCION")</f>
        <v/>
      </c>
      <c r="F7" s="5">
        <f>SUMIFS(DB_REGISTROS_DIARIOS!J:J, DB_REGISTROS_DIARIOS!D:D, A7, DB_REGISTROS_DIARIOS!K:K, "AC_*")</f>
        <v/>
      </c>
      <c r="G7" s="5">
        <f>E7-F7</f>
        <v/>
      </c>
      <c r="H7" s="7">
        <f>IF(F7&gt;0, E7/F7, 1.0)</f>
        <v/>
      </c>
      <c r="I7" s="7">
        <f>IF(D7&gt;0, E7/D7, 1.0)</f>
        <v/>
      </c>
      <c r="J7" s="5">
        <f>IF(H7&gt;0, F7+(C7-E7)/H7, C7)</f>
        <v/>
      </c>
    </row>
    <row r="8">
      <c r="A8" s="13" t="inlineStr">
        <is>
          <t>TOTAL PROYECTO</t>
        </is>
      </c>
      <c r="B8" s="13" t="n"/>
      <c r="C8" s="14">
        <f>SUM(C4:C7)</f>
        <v/>
      </c>
      <c r="D8" s="14">
        <f>SUM(D4:D7)</f>
        <v/>
      </c>
      <c r="E8" s="14">
        <f>SUM(E4:E7)</f>
        <v/>
      </c>
      <c r="F8" s="14">
        <f>SUM(F4:F7)</f>
        <v/>
      </c>
      <c r="G8" s="14">
        <f>E8-F8</f>
        <v/>
      </c>
      <c r="H8" s="15">
        <f>IF(F8&gt;0, E8/F8, 1.0)</f>
        <v/>
      </c>
      <c r="I8" s="15">
        <f>IF(D8&gt;0, E8/D8, 1.0)</f>
        <v/>
      </c>
      <c r="J8" s="14">
        <f>SUM(J4:J7)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2026-07-26T22:57:51Z</dcterms:created>
  <dcterms:modified xmlns:dcterms="http://purl.org/dc/terms/" xmlns:xsi="http://www.w3.org/2001/XMLSchema-instance" xsi:type="dcterms:W3CDTF">2026-07-26T22:57:51Z</dcterms:modified>
</cp:coreProperties>
</file>