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Agentes de IA\Habilitación urbana\"/>
    </mc:Choice>
  </mc:AlternateContent>
  <xr:revisionPtr revIDLastSave="0" documentId="8_{DEE6375E-D4FE-4F4A-ACBA-365B9EE7B128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1. Presupuesto Base" sheetId="1" r:id="rId1"/>
    <sheet name="02. Analisis de PU" sheetId="2" r:id="rId2"/>
    <sheet name="03. Listado de Insumo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7" i="3" l="1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38" i="3" s="1"/>
  <c r="H183" i="2"/>
  <c r="F181" i="2"/>
  <c r="H181" i="2" s="1"/>
  <c r="F180" i="2"/>
  <c r="H180" i="2" s="1"/>
  <c r="H177" i="2"/>
  <c r="H178" i="2" s="1"/>
  <c r="H176" i="2"/>
  <c r="F173" i="2"/>
  <c r="H173" i="2" s="1"/>
  <c r="F172" i="2"/>
  <c r="H172" i="2" s="1"/>
  <c r="F171" i="2"/>
  <c r="H171" i="2" s="1"/>
  <c r="H174" i="2" s="1"/>
  <c r="H161" i="2"/>
  <c r="H160" i="2"/>
  <c r="H162" i="2" s="1"/>
  <c r="H157" i="2"/>
  <c r="F157" i="2"/>
  <c r="F156" i="2"/>
  <c r="H156" i="2" s="1"/>
  <c r="F155" i="2"/>
  <c r="H155" i="2" s="1"/>
  <c r="H145" i="2"/>
  <c r="H144" i="2"/>
  <c r="H146" i="2" s="1"/>
  <c r="F141" i="2"/>
  <c r="H141" i="2" s="1"/>
  <c r="H140" i="2"/>
  <c r="F140" i="2"/>
  <c r="F139" i="2"/>
  <c r="H139" i="2" s="1"/>
  <c r="H142" i="2" s="1"/>
  <c r="H129" i="2"/>
  <c r="H128" i="2"/>
  <c r="H130" i="2" s="1"/>
  <c r="F125" i="2"/>
  <c r="H125" i="2" s="1"/>
  <c r="F124" i="2"/>
  <c r="H124" i="2" s="1"/>
  <c r="H126" i="2" s="1"/>
  <c r="H123" i="2"/>
  <c r="F123" i="2"/>
  <c r="H116" i="2"/>
  <c r="F114" i="2"/>
  <c r="H114" i="2" s="1"/>
  <c r="H111" i="2"/>
  <c r="H112" i="2" s="1"/>
  <c r="F108" i="2"/>
  <c r="H108" i="2" s="1"/>
  <c r="F107" i="2"/>
  <c r="H107" i="2" s="1"/>
  <c r="H106" i="2"/>
  <c r="F106" i="2"/>
  <c r="F105" i="2"/>
  <c r="H105" i="2" s="1"/>
  <c r="H98" i="2"/>
  <c r="F96" i="2"/>
  <c r="H96" i="2" s="1"/>
  <c r="F95" i="2"/>
  <c r="H95" i="2" s="1"/>
  <c r="H92" i="2"/>
  <c r="H91" i="2"/>
  <c r="H93" i="2" s="1"/>
  <c r="F88" i="2"/>
  <c r="H88" i="2" s="1"/>
  <c r="F87" i="2"/>
  <c r="H87" i="2" s="1"/>
  <c r="H86" i="2"/>
  <c r="H89" i="2" s="1"/>
  <c r="F86" i="2"/>
  <c r="H76" i="2"/>
  <c r="H75" i="2"/>
  <c r="H77" i="2" s="1"/>
  <c r="H72" i="2"/>
  <c r="F72" i="2"/>
  <c r="F71" i="2"/>
  <c r="H71" i="2" s="1"/>
  <c r="F70" i="2"/>
  <c r="H70" i="2" s="1"/>
  <c r="H73" i="2" s="1"/>
  <c r="H69" i="2"/>
  <c r="F69" i="2"/>
  <c r="H59" i="2"/>
  <c r="H60" i="2" s="1"/>
  <c r="F56" i="2"/>
  <c r="H56" i="2" s="1"/>
  <c r="H57" i="2" s="1"/>
  <c r="H55" i="2"/>
  <c r="F55" i="2"/>
  <c r="H47" i="2"/>
  <c r="F47" i="2"/>
  <c r="F42" i="2"/>
  <c r="H42" i="2" s="1"/>
  <c r="F41" i="2"/>
  <c r="H41" i="2" s="1"/>
  <c r="H43" i="2" s="1"/>
  <c r="F33" i="2"/>
  <c r="H33" i="2" s="1"/>
  <c r="H30" i="2"/>
  <c r="H29" i="2"/>
  <c r="H31" i="2" s="1"/>
  <c r="H28" i="2"/>
  <c r="F25" i="2"/>
  <c r="H25" i="2" s="1"/>
  <c r="F24" i="2"/>
  <c r="H24" i="2" s="1"/>
  <c r="F23" i="2"/>
  <c r="H23" i="2" s="1"/>
  <c r="H26" i="2" s="1"/>
  <c r="H16" i="2"/>
  <c r="H12" i="2"/>
  <c r="H11" i="2"/>
  <c r="H13" i="2" s="1"/>
  <c r="F8" i="2"/>
  <c r="H8" i="2" s="1"/>
  <c r="F7" i="2"/>
  <c r="H7" i="2" s="1"/>
  <c r="H9" i="2" s="1"/>
  <c r="H158" i="2" l="1"/>
  <c r="G48" i="2"/>
  <c r="H48" i="2" s="1"/>
  <c r="H49" i="2" s="1"/>
  <c r="H50" i="2" s="1"/>
  <c r="E11" i="1" s="1"/>
  <c r="F11" i="1" s="1"/>
  <c r="G182" i="2"/>
  <c r="H182" i="2" s="1"/>
  <c r="H184" i="2" s="1"/>
  <c r="H185" i="2" s="1"/>
  <c r="E21" i="1" s="1"/>
  <c r="F21" i="1" s="1"/>
  <c r="H35" i="2"/>
  <c r="H36" i="2" s="1"/>
  <c r="E10" i="1" s="1"/>
  <c r="F10" i="1" s="1"/>
  <c r="G97" i="2"/>
  <c r="H97" i="2" s="1"/>
  <c r="H99" i="2" s="1"/>
  <c r="H100" i="2" s="1"/>
  <c r="E14" i="1" s="1"/>
  <c r="F14" i="1" s="1"/>
  <c r="G132" i="2"/>
  <c r="H132" i="2" s="1"/>
  <c r="H133" i="2" s="1"/>
  <c r="H134" i="2" s="1"/>
  <c r="E16" i="1" s="1"/>
  <c r="F16" i="1" s="1"/>
  <c r="G62" i="2"/>
  <c r="H62" i="2" s="1"/>
  <c r="H63" i="2" s="1"/>
  <c r="H64" i="2" s="1"/>
  <c r="E12" i="1" s="1"/>
  <c r="F12" i="1" s="1"/>
  <c r="G79" i="2"/>
  <c r="H79" i="2" s="1"/>
  <c r="H80" i="2" s="1"/>
  <c r="H81" i="2" s="1"/>
  <c r="E13" i="1" s="1"/>
  <c r="F13" i="1" s="1"/>
  <c r="G15" i="2"/>
  <c r="H15" i="2" s="1"/>
  <c r="H17" i="2" s="1"/>
  <c r="H18" i="2" s="1"/>
  <c r="E8" i="1" s="1"/>
  <c r="F8" i="1" s="1"/>
  <c r="G148" i="2"/>
  <c r="H148" i="2" s="1"/>
  <c r="H149" i="2" s="1"/>
  <c r="H150" i="2" s="1"/>
  <c r="E18" i="1" s="1"/>
  <c r="F18" i="1" s="1"/>
  <c r="G34" i="2"/>
  <c r="H34" i="2" s="1"/>
  <c r="H109" i="2"/>
  <c r="G115" i="2" l="1"/>
  <c r="H115" i="2" s="1"/>
  <c r="H117" i="2" s="1"/>
  <c r="H118" i="2" s="1"/>
  <c r="E15" i="1" s="1"/>
  <c r="F15" i="1" s="1"/>
  <c r="G164" i="2"/>
  <c r="H164" i="2" s="1"/>
  <c r="H165" i="2" s="1"/>
  <c r="H166" i="2" s="1"/>
  <c r="E19" i="1" s="1"/>
  <c r="F19" i="1" s="1"/>
  <c r="F23" i="1" l="1"/>
  <c r="H36" i="3" l="1"/>
  <c r="H20" i="3"/>
  <c r="H15" i="3"/>
  <c r="H23" i="3"/>
  <c r="F25" i="1"/>
  <c r="H7" i="3"/>
  <c r="F24" i="1"/>
  <c r="F26" i="1" s="1"/>
  <c r="H33" i="3"/>
  <c r="H31" i="3"/>
  <c r="H28" i="3"/>
  <c r="H12" i="3"/>
  <c r="H22" i="3"/>
  <c r="H10" i="3"/>
  <c r="H14" i="3"/>
  <c r="H30" i="3"/>
  <c r="H8" i="3"/>
  <c r="H9" i="3"/>
  <c r="H11" i="3"/>
  <c r="H16" i="3"/>
  <c r="H27" i="3"/>
  <c r="H34" i="3"/>
  <c r="H21" i="3"/>
  <c r="H37" i="3"/>
  <c r="H25" i="3"/>
  <c r="H26" i="3"/>
  <c r="H18" i="3"/>
  <c r="H32" i="3"/>
  <c r="H6" i="3"/>
  <c r="H17" i="3"/>
  <c r="H5" i="3"/>
  <c r="H19" i="3"/>
  <c r="H35" i="3"/>
  <c r="H13" i="3"/>
  <c r="H29" i="3"/>
  <c r="H24" i="3"/>
  <c r="F27" i="1" l="1"/>
  <c r="F28" i="1" s="1"/>
  <c r="H38" i="3"/>
</calcChain>
</file>

<file path=xl/sharedStrings.xml><?xml version="1.0" encoding="utf-8"?>
<sst xmlns="http://schemas.openxmlformats.org/spreadsheetml/2006/main" count="631" uniqueCount="172">
  <si>
    <t>PRESUPUESTO OFICIAL COMERCIAL (LICITACIÓN / OFERTA CLIENTE)</t>
  </si>
  <si>
    <t>Proyecto: Redes Sanitarias de Agua Potable y Alcantarillado - Habilitación Urbana Los Cedros</t>
  </si>
  <si>
    <t>Plazo: 60 días calendario (8 semanas) | Modalidad: Suma Alzada / Precios Unitarios</t>
  </si>
  <si>
    <t>Item</t>
  </si>
  <si>
    <t>Descripción de Partida / Especialidad</t>
  </si>
  <si>
    <t>Unidad</t>
  </si>
  <si>
    <t>Metrado</t>
  </si>
  <si>
    <t>P.U. Directo (S/)</t>
  </si>
  <si>
    <t>Parcial Directo (S/)</t>
  </si>
  <si>
    <t>01</t>
  </si>
  <si>
    <t>REDES SANITARIAS DE HABILITACIÓN URBANA</t>
  </si>
  <si>
    <t>01.01</t>
  </si>
  <si>
    <t>OBRAS PRELIMINARES Y TRABAJOS PROVISIONALES</t>
  </si>
  <si>
    <t>Obras Preliminares y Trabajos Provisionales</t>
  </si>
  <si>
    <t>GLB</t>
  </si>
  <si>
    <t>01.02</t>
  </si>
  <si>
    <t>RED DE ALCANTARILLADO SANITARIO Y BUZONES</t>
  </si>
  <si>
    <t>01.02.01</t>
  </si>
  <si>
    <t>Trazo, Nivelación y Replanteo de Zanjas</t>
  </si>
  <si>
    <t>M</t>
  </si>
  <si>
    <t>01.02.02</t>
  </si>
  <si>
    <t>Excavación de Zanja H=1.50m - 2.20m a Máquina (Terreno Normal)</t>
  </si>
  <si>
    <t>M3</t>
  </si>
  <si>
    <t>01.02.03</t>
  </si>
  <si>
    <t>Preparación y Colocación de Cama de Arena e=0.10m</t>
  </si>
  <si>
    <t>01.02.04</t>
  </si>
  <si>
    <t>Suministro e Instalación de Tubería PVC UF DN 200mm Serie S-20 para Alcantarillado</t>
  </si>
  <si>
    <t>01.02.05</t>
  </si>
  <si>
    <t>Relleno Compactado de Zanja en Capas de 0.20m con Maquinaria/Plancha</t>
  </si>
  <si>
    <t>01.02.06</t>
  </si>
  <si>
    <t>Construcción de Buzones Prefabricados de Concreto h=1.50m - 2.50m (Inc. Marco y Tapa)</t>
  </si>
  <si>
    <t>UND</t>
  </si>
  <si>
    <t>01.02.07</t>
  </si>
  <si>
    <t>Conexiones Domiciliarias de Alcantarillado (Caja de Registro + Acometida)</t>
  </si>
  <si>
    <t>01.03</t>
  </si>
  <si>
    <t>RED DE AGUA POTABLE Y CONEXIONES DOMICILIARIAS</t>
  </si>
  <si>
    <t>01.03.01</t>
  </si>
  <si>
    <t>Suministro e Instalación de Tubería PVC C-10 DN 110mm para Agua Potable</t>
  </si>
  <si>
    <t>01.03.02</t>
  </si>
  <si>
    <t>Conexiones Domiciliarias de Agua Potable (Caja de Agua + Abrazadera + Acometida)</t>
  </si>
  <si>
    <t>01.04</t>
  </si>
  <si>
    <t>PRUEBAS HIDRÁULICAS Y PUESTA EN SERVICIO</t>
  </si>
  <si>
    <t>01.04.01</t>
  </si>
  <si>
    <t>Pruebas Hidráulicas de Redes de Agua y Alcantarillado + Desinfección</t>
  </si>
  <si>
    <t>COSTO DIRECTO TOTAL (CD)</t>
  </si>
  <si>
    <t>GASTOS GENERALES (10.00%)</t>
  </si>
  <si>
    <t>UTILIDAD (8.00%)</t>
  </si>
  <si>
    <t>SUBTOTAL (VALOR DE VENTA SIN IGV)</t>
  </si>
  <si>
    <t>IMPUESTO GENERAL A LAS VENTAS (I.G.V. 18.00%)</t>
  </si>
  <si>
    <t>TOTAL PRESUPUESTO COMERCIAL (CON IGV)</t>
  </si>
  <si>
    <t>ANÁLISIS DE PRECIOS UNITARIOS DIRECTOS - PRESUPUESTO COMERCIAL</t>
  </si>
  <si>
    <t>Item: 01.01</t>
  </si>
  <si>
    <t>Rendimiento:</t>
  </si>
  <si>
    <t>GLB/DIA</t>
  </si>
  <si>
    <t>Código Rec.</t>
  </si>
  <si>
    <t>Descripción Recurso</t>
  </si>
  <si>
    <t>Cuadrilla</t>
  </si>
  <si>
    <t>Jornal</t>
  </si>
  <si>
    <t>Cantidad / Aporte</t>
  </si>
  <si>
    <t>Precio (S/)</t>
  </si>
  <si>
    <t>Parcial (S/)</t>
  </si>
  <si>
    <t>MANO DE OBRA</t>
  </si>
  <si>
    <t>MO_CAPATAZ</t>
  </si>
  <si>
    <t>CAPATAZ</t>
  </si>
  <si>
    <t>hh</t>
  </si>
  <si>
    <t>MO_PEON</t>
  </si>
  <si>
    <t>PEON</t>
  </si>
  <si>
    <t>Subtotal Mano de Obra</t>
  </si>
  <si>
    <t>MATERIALES</t>
  </si>
  <si>
    <t>MAT_CARTEL</t>
  </si>
  <si>
    <t>CARTEL DE OBRA 3.60X2.40M</t>
  </si>
  <si>
    <t>und</t>
  </si>
  <si>
    <t>MAT_CASETA</t>
  </si>
  <si>
    <t>CASETA DE ALMACEN Y OFICINA PROVISIONAL</t>
  </si>
  <si>
    <t>glb</t>
  </si>
  <si>
    <t>Subtotal Materiales</t>
  </si>
  <si>
    <t>EQUIPOS Y MAQUINARIA</t>
  </si>
  <si>
    <t>EQ_HERRAMIENTAS</t>
  </si>
  <si>
    <t>HERRAMIENTAS MANUALES</t>
  </si>
  <si>
    <t>%MO</t>
  </si>
  <si>
    <t>SUB_MOVILIZACION</t>
  </si>
  <si>
    <t>SUBCONTRATO DE MOVILIZACION Y DESMOVILIZACION DE MAQUINARIA</t>
  </si>
  <si>
    <t>Subtotal Equipos &amp; Subcontratos</t>
  </si>
  <si>
    <t>PRECIO UNITARIO DIRECTO (S/)</t>
  </si>
  <si>
    <t>Item: 01.02.01</t>
  </si>
  <si>
    <t>M/DIA</t>
  </si>
  <si>
    <t>MO_OPERARIO</t>
  </si>
  <si>
    <t>OPERARIO</t>
  </si>
  <si>
    <t>MAT_ESTACA</t>
  </si>
  <si>
    <t>ESTACAS Y MADERA PARA TRAZO</t>
  </si>
  <si>
    <t>pza</t>
  </si>
  <si>
    <t>MAT_PINTURA</t>
  </si>
  <si>
    <t>PINTURA SPRAY MARCADOR DE ZANJA</t>
  </si>
  <si>
    <t>gla</t>
  </si>
  <si>
    <t>MAT_CORDEL</t>
  </si>
  <si>
    <t>CORDEL / NYLON</t>
  </si>
  <si>
    <t>m</t>
  </si>
  <si>
    <t>EQ_ESTACION_TOTAL</t>
  </si>
  <si>
    <t>EQUIPO DE TOPOGRAFIA ESTACION TOTAL</t>
  </si>
  <si>
    <t>hm</t>
  </si>
  <si>
    <t>Item: 01.02.02</t>
  </si>
  <si>
    <t>M3/DIA</t>
  </si>
  <si>
    <t>EQ_EXCAVADORA</t>
  </si>
  <si>
    <t>EXCAVADORA SOBRE ORUGAS 140 HP</t>
  </si>
  <si>
    <t>Item: 01.02.03</t>
  </si>
  <si>
    <t>MAT_ARENA_CAMAS</t>
  </si>
  <si>
    <t>ARENA FINA SELECCIONADA PARA CAMA E=0.10M</t>
  </si>
  <si>
    <t>m3</t>
  </si>
  <si>
    <t>Item: 01.02.04</t>
  </si>
  <si>
    <t>MO_OFICIAL</t>
  </si>
  <si>
    <t>OFICIAL</t>
  </si>
  <si>
    <t>MAT_TUB_PVC_200</t>
  </si>
  <si>
    <t>TUBERIA PVC UF DN 200MM SERIE S-20 ALCANTARILLADO</t>
  </si>
  <si>
    <t>MAT_LUBRICANTE</t>
  </si>
  <si>
    <t>LUBRICANTE PARA TUBERIA CON ESPIGA Y CAMPANA</t>
  </si>
  <si>
    <t>kg</t>
  </si>
  <si>
    <t>Item: 01.02.05</t>
  </si>
  <si>
    <t>MAT_MATERIAL_PR</t>
  </si>
  <si>
    <t>MATERIAL DE PRÉSTAMO AFIRMADO PARA RELLENO COMPACTADO</t>
  </si>
  <si>
    <t>MAT_AGUA</t>
  </si>
  <si>
    <t>AGUA PARA COMPACTACIÓN Y PRUEBAS</t>
  </si>
  <si>
    <t>EQ_RETROEXCAVADORA</t>
  </si>
  <si>
    <t>RETROEXCAVADORA SOBRE LLANTAS 62 HP</t>
  </si>
  <si>
    <t>EQ_PLANCHA</t>
  </si>
  <si>
    <t>PLANCHA COMPACTADORA 7 HP</t>
  </si>
  <si>
    <t>SUB_ENSAYOS_COMPAC</t>
  </si>
  <si>
    <t>SUBCONTRATO DE ENSAYOS DE DENSIDAD DE CAMPO (PROCTOR/DENSIDAD)</t>
  </si>
  <si>
    <t>Item: 01.02.06</t>
  </si>
  <si>
    <t>UND/DIA</t>
  </si>
  <si>
    <t>MAT_BUZON_PREF</t>
  </si>
  <si>
    <t>BUZON PREFABRICADO CONCRETO H=1.5-2.5M CON MARCO Y TAPA</t>
  </si>
  <si>
    <t>EQ_CAMION_GRUAN</t>
  </si>
  <si>
    <t>CAMION GRUA 5 TN PARA MONTAJE DE BUZONES</t>
  </si>
  <si>
    <t>SUB_MONTAJE_BUZON</t>
  </si>
  <si>
    <t>SUBCONTRATO SERVICIO ASENTADO Y ANCLAJE BUZONES PREFABRICADOS</t>
  </si>
  <si>
    <t>Item: 01.02.07</t>
  </si>
  <si>
    <t>MAT_CAJA_REGISTRO</t>
  </si>
  <si>
    <t>CAJA DE REGISTRO PREFABRICADA DE CONCRETO 12X24 WITH TAPA</t>
  </si>
  <si>
    <t>MAT_TUB_PVC_160_CONEX</t>
  </si>
  <si>
    <t>TUBERIA PVC SAL DN 160MM PARA ACOMETIDA ALCANTARILLADO</t>
  </si>
  <si>
    <t>Item: 01.03.01</t>
  </si>
  <si>
    <t>MAT_TUB_PVC_110_AGUA</t>
  </si>
  <si>
    <t>TUBERIA PVC C-10 DN 110MM AGUA POTABLE</t>
  </si>
  <si>
    <t>MAT_ACCESORIOS_AGUA</t>
  </si>
  <si>
    <t>ACCESORIOS Y CODOS PVC AGUA 110MM (PROMEDIO/M)</t>
  </si>
  <si>
    <t>Item: 01.03.02</t>
  </si>
  <si>
    <t>MAT_CAJA_AGUA</t>
  </si>
  <si>
    <t>CAJA TERMOFORMADA PARA MEDIDOR + ABRAZADERA + LLAVE DE PASO</t>
  </si>
  <si>
    <t>MAT_TUB_HDPE_1_2</t>
  </si>
  <si>
    <t>TUBERIA HDPE 1/2 PARA ACOMETIDA AGUA</t>
  </si>
  <si>
    <t>Item: 01.04.01</t>
  </si>
  <si>
    <t>MAT_HIPOCLORITO</t>
  </si>
  <si>
    <t>HIPOCLORITO DE CALCIO 70% PARA DESINFECCION</t>
  </si>
  <si>
    <t>EQ_BOMBA_PRUEBA</t>
  </si>
  <si>
    <t>BOMBA HIDROSTÁTICA DE PRUEBA DE PRESIÓN</t>
  </si>
  <si>
    <t>EQ_CAMION_CISTERNA</t>
  </si>
  <si>
    <t>CAMION CISTERNA 4X2 (AGUA) 2,000 GLN</t>
  </si>
  <si>
    <t>SUB_PRUEBA_LAB</t>
  </si>
  <si>
    <t>SUBCONTRATO PRUEBAS DE LABORATORIO DE AGUA (BACTERIOLOGICO/FISICOQUIMICO)</t>
  </si>
  <si>
    <t>EXPLOSIÓN DE INSUMOS CONSOLIDADOS Y ANÁLISIS DE INCIDENCIA</t>
  </si>
  <si>
    <t>Código Insumo</t>
  </si>
  <si>
    <t>Descripción del Recurso</t>
  </si>
  <si>
    <t>Tipo Recurso</t>
  </si>
  <si>
    <t>Cantidad Consolidada</t>
  </si>
  <si>
    <t>Precio Unit. (S/)</t>
  </si>
  <si>
    <t>Parcial Total (S/)</t>
  </si>
  <si>
    <t>% Incidencia CD</t>
  </si>
  <si>
    <t>EQP</t>
  </si>
  <si>
    <t>MAT</t>
  </si>
  <si>
    <t>MO</t>
  </si>
  <si>
    <t>SUB</t>
  </si>
  <si>
    <t>TOTAL COSTO DIRECTO INSUMOS CONSOLIDADOS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</si>
</sst>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b/>
      <sz val="11"/>
      <color rgb="FF2F5597"/>
      <name val="Arial"/>
    </font>
    <font>
      <b/>
      <sz val="10"/>
      <name val="Arial"/>
    </font>
    <font>
      <i/>
      <sz val="9"/>
      <name val="Arial"/>
    </font>
    <font>
      <b/>
      <sz val="10"/>
      <color rgb="FFFFFFFF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5" borderId="0" xfId="0" applyFont="1" applyFill="1" applyAlignment="1">
      <alignment horizontal="center"/>
    </xf>
    <xf numFmtId="0" fontId="5" fillId="5" borderId="0" xfId="0" applyFont="1" applyFill="1" applyAlignment="1">
      <alignment horizontal="left"/>
    </xf>
    <xf numFmtId="0" fontId="5" fillId="5" borderId="0" xfId="0" applyFont="1" applyFill="1" applyAlignment="1">
      <alignment horizontal="right"/>
    </xf>
    <xf numFmtId="0" fontId="3" fillId="0" borderId="0" xfId="0" applyFont="1"/>
    <xf numFmtId="0" fontId="6" fillId="0" borderId="0" xfId="0" applyFont="1"/>
    <xf numFmtId="4" fontId="6" fillId="0" borderId="0" xfId="0" applyNumberFormat="1" applyFont="1"/>
    <xf numFmtId="0" fontId="3" fillId="0" borderId="0" xfId="0" applyFont="1" applyAlignment="1">
      <alignment horizontal="right"/>
    </xf>
    <xf numFmtId="4" fontId="3" fillId="6" borderId="0" xfId="0" applyNumberFormat="1" applyFont="1" applyFill="1"/>
    <xf numFmtId="4" fontId="3" fillId="4" borderId="0" xfId="0" applyNumberFormat="1" applyFont="1" applyFill="1"/>
    <xf numFmtId="4" fontId="3" fillId="7" borderId="0" xfId="0" applyNumberFormat="1" applyFont="1" applyFill="1"/>
    <xf numFmtId="4" fontId="3" fillId="0" borderId="0" xfId="0" applyNumberFormat="1" applyFont="1"/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left"/>
    </xf>
    <xf numFmtId="0" fontId="3" fillId="3" borderId="0" xfId="0" applyFont="1" applyFill="1"/>
    <xf numFmtId="2" fontId="0" fillId="0" borderId="0" xfId="0" applyNumberFormat="1"/>
    <xf numFmtId="164" fontId="0" fillId="0" borderId="0" xfId="0" applyNumberFormat="1"/>
    <xf numFmtId="4" fontId="0" fillId="0" borderId="0" xfId="0" applyNumberFormat="1"/>
    <xf numFmtId="10" fontId="0" fillId="0" borderId="0" xfId="0" applyNumberFormat="1"/>
    <xf numFmtId="0" fontId="5" fillId="2" borderId="0" xfId="0" applyFont="1" applyFill="1" applyAlignment="1">
      <alignment horizontal="right"/>
    </xf>
    <xf numFmtId="165" fontId="6" fillId="0" borderId="0" xfId="0" applyNumberFormat="1" applyFont="1"/>
    <xf numFmtId="10" fontId="6" fillId="0" borderId="0" xfId="0" applyNumberFormat="1" applyFont="1"/>
    <xf numFmtId="10" fontId="3" fillId="4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B17" sqref="B17"/>
    </sheetView>
  </sheetViews>
  <sheetFormatPr baseColWidth="10" defaultColWidth="8.88671875" defaultRowHeight="14.4" x14ac:dyDescent="0.3"/>
  <cols>
    <col min="1" max="1" width="12" customWidth="1"/>
    <col min="2" max="2" width="65" customWidth="1"/>
    <col min="3" max="4" width="12" customWidth="1"/>
    <col min="5" max="5" width="22.77734375" customWidth="1"/>
    <col min="6" max="6" width="24" customWidth="1"/>
  </cols>
  <sheetData>
    <row r="1" spans="1:6" ht="17.399999999999999" x14ac:dyDescent="0.3">
      <c r="A1" s="1" t="s">
        <v>0</v>
      </c>
    </row>
    <row r="2" spans="1:6" x14ac:dyDescent="0.3">
      <c r="A2" s="2" t="s">
        <v>1</v>
      </c>
    </row>
    <row r="3" spans="1:6" x14ac:dyDescent="0.3">
      <c r="A3" s="3" t="s">
        <v>2</v>
      </c>
    </row>
    <row r="5" spans="1:6" x14ac:dyDescent="0.3">
      <c r="A5" s="4" t="s">
        <v>3</v>
      </c>
      <c r="B5" s="5" t="s">
        <v>4</v>
      </c>
      <c r="C5" s="4" t="s">
        <v>5</v>
      </c>
      <c r="D5" s="4" t="s">
        <v>6</v>
      </c>
      <c r="E5" s="6" t="s">
        <v>7</v>
      </c>
      <c r="F5" s="6" t="s">
        <v>8</v>
      </c>
    </row>
    <row r="6" spans="1:6" x14ac:dyDescent="0.3">
      <c r="A6" s="7" t="s">
        <v>9</v>
      </c>
      <c r="B6" s="7" t="s">
        <v>10</v>
      </c>
    </row>
    <row r="7" spans="1:6" x14ac:dyDescent="0.3">
      <c r="A7" s="7" t="s">
        <v>11</v>
      </c>
      <c r="B7" s="7" t="s">
        <v>12</v>
      </c>
    </row>
    <row r="8" spans="1:6" x14ac:dyDescent="0.3">
      <c r="A8" s="8" t="s">
        <v>11</v>
      </c>
      <c r="B8" s="8" t="s">
        <v>13</v>
      </c>
      <c r="C8" s="8" t="s">
        <v>14</v>
      </c>
      <c r="D8" s="9">
        <v>1</v>
      </c>
      <c r="E8" s="9">
        <f>'02. Analisis de PU'!H18</f>
        <v>8296.4</v>
      </c>
      <c r="F8" s="9">
        <f>ROUND(D8*E8, 2)</f>
        <v>8296.4</v>
      </c>
    </row>
    <row r="9" spans="1:6" x14ac:dyDescent="0.3">
      <c r="A9" s="7" t="s">
        <v>15</v>
      </c>
      <c r="B9" s="7" t="s">
        <v>16</v>
      </c>
    </row>
    <row r="10" spans="1:6" x14ac:dyDescent="0.3">
      <c r="A10" s="8" t="s">
        <v>17</v>
      </c>
      <c r="B10" s="8" t="s">
        <v>18</v>
      </c>
      <c r="C10" s="8" t="s">
        <v>19</v>
      </c>
      <c r="D10" s="9">
        <v>2400</v>
      </c>
      <c r="E10" s="9">
        <f>'02. Analisis de PU'!H36</f>
        <v>3.35</v>
      </c>
      <c r="F10" s="9">
        <f t="shared" ref="F10:F16" si="0">ROUND(D10*E10, 2)</f>
        <v>8040</v>
      </c>
    </row>
    <row r="11" spans="1:6" x14ac:dyDescent="0.3">
      <c r="A11" s="8" t="s">
        <v>20</v>
      </c>
      <c r="B11" s="8" t="s">
        <v>21</v>
      </c>
      <c r="C11" s="8" t="s">
        <v>22</v>
      </c>
      <c r="D11" s="9">
        <v>3840</v>
      </c>
      <c r="E11" s="9">
        <f>'02. Analisis de PU'!H50</f>
        <v>11.66</v>
      </c>
      <c r="F11" s="9">
        <f t="shared" si="0"/>
        <v>44774.400000000001</v>
      </c>
    </row>
    <row r="12" spans="1:6" x14ac:dyDescent="0.3">
      <c r="A12" s="8" t="s">
        <v>23</v>
      </c>
      <c r="B12" s="8" t="s">
        <v>24</v>
      </c>
      <c r="C12" s="8" t="s">
        <v>19</v>
      </c>
      <c r="D12" s="9">
        <v>2400</v>
      </c>
      <c r="E12" s="9">
        <f>'02. Analisis de PU'!H64</f>
        <v>11.12</v>
      </c>
      <c r="F12" s="9">
        <f t="shared" si="0"/>
        <v>26688</v>
      </c>
    </row>
    <row r="13" spans="1:6" x14ac:dyDescent="0.3">
      <c r="A13" s="8" t="s">
        <v>25</v>
      </c>
      <c r="B13" s="8" t="s">
        <v>26</v>
      </c>
      <c r="C13" s="8" t="s">
        <v>19</v>
      </c>
      <c r="D13" s="9">
        <v>1400</v>
      </c>
      <c r="E13" s="9">
        <f>'02. Analisis de PU'!H81</f>
        <v>55.510000000000005</v>
      </c>
      <c r="F13" s="9">
        <f t="shared" si="0"/>
        <v>77714</v>
      </c>
    </row>
    <row r="14" spans="1:6" x14ac:dyDescent="0.3">
      <c r="A14" s="8" t="s">
        <v>27</v>
      </c>
      <c r="B14" s="8" t="s">
        <v>28</v>
      </c>
      <c r="C14" s="8" t="s">
        <v>22</v>
      </c>
      <c r="D14" s="9">
        <v>3300</v>
      </c>
      <c r="E14" s="9">
        <f>'02. Analisis de PU'!H100</f>
        <v>28.54</v>
      </c>
      <c r="F14" s="9">
        <f t="shared" si="0"/>
        <v>94182</v>
      </c>
    </row>
    <row r="15" spans="1:6" x14ac:dyDescent="0.3">
      <c r="A15" s="8" t="s">
        <v>29</v>
      </c>
      <c r="B15" s="8" t="s">
        <v>30</v>
      </c>
      <c r="C15" s="8" t="s">
        <v>31</v>
      </c>
      <c r="D15" s="9">
        <v>32</v>
      </c>
      <c r="E15" s="9">
        <f>'02. Analisis de PU'!H118</f>
        <v>2500.73</v>
      </c>
      <c r="F15" s="9">
        <f t="shared" si="0"/>
        <v>80023.360000000001</v>
      </c>
    </row>
    <row r="16" spans="1:6" x14ac:dyDescent="0.3">
      <c r="A16" s="8" t="s">
        <v>32</v>
      </c>
      <c r="B16" s="8" t="s">
        <v>33</v>
      </c>
      <c r="C16" s="8" t="s">
        <v>31</v>
      </c>
      <c r="D16" s="9">
        <v>120</v>
      </c>
      <c r="E16" s="9">
        <f>'02. Analisis de PU'!H134</f>
        <v>405.54</v>
      </c>
      <c r="F16" s="9">
        <f t="shared" si="0"/>
        <v>48664.800000000003</v>
      </c>
    </row>
    <row r="17" spans="1:6" x14ac:dyDescent="0.3">
      <c r="A17" s="7" t="s">
        <v>34</v>
      </c>
      <c r="B17" s="7" t="s">
        <v>35</v>
      </c>
    </row>
    <row r="18" spans="1:6" x14ac:dyDescent="0.3">
      <c r="A18" s="8" t="s">
        <v>36</v>
      </c>
      <c r="B18" s="8" t="s">
        <v>37</v>
      </c>
      <c r="C18" s="8" t="s">
        <v>19</v>
      </c>
      <c r="D18" s="9">
        <v>1000</v>
      </c>
      <c r="E18" s="9">
        <f>'02. Analisis de PU'!H150</f>
        <v>38.760000000000005</v>
      </c>
      <c r="F18" s="9">
        <f>ROUND(D18*E18, 2)</f>
        <v>38760</v>
      </c>
    </row>
    <row r="19" spans="1:6" x14ac:dyDescent="0.3">
      <c r="A19" s="8" t="s">
        <v>38</v>
      </c>
      <c r="B19" s="8" t="s">
        <v>39</v>
      </c>
      <c r="C19" s="8" t="s">
        <v>31</v>
      </c>
      <c r="D19" s="9">
        <v>120</v>
      </c>
      <c r="E19" s="9">
        <f>'02. Analisis de PU'!H166</f>
        <v>156.71</v>
      </c>
      <c r="F19" s="9">
        <f>ROUND(D19*E19, 2)</f>
        <v>18805.2</v>
      </c>
    </row>
    <row r="20" spans="1:6" x14ac:dyDescent="0.3">
      <c r="A20" s="7" t="s">
        <v>40</v>
      </c>
      <c r="B20" s="7" t="s">
        <v>41</v>
      </c>
    </row>
    <row r="21" spans="1:6" x14ac:dyDescent="0.3">
      <c r="A21" s="8" t="s">
        <v>42</v>
      </c>
      <c r="B21" s="8" t="s">
        <v>43</v>
      </c>
      <c r="C21" s="8" t="s">
        <v>14</v>
      </c>
      <c r="D21" s="9">
        <v>1</v>
      </c>
      <c r="E21" s="9">
        <f>'02. Analisis de PU'!H185</f>
        <v>9348.06</v>
      </c>
      <c r="F21" s="9">
        <f>ROUND(D21*E21, 2)</f>
        <v>9348.06</v>
      </c>
    </row>
    <row r="23" spans="1:6" x14ac:dyDescent="0.3">
      <c r="E23" s="10" t="s">
        <v>44</v>
      </c>
      <c r="F23" s="11">
        <f>SUM(F8,F10,F11,F12,F13,F14,F15,F16,F18,F19,F21)</f>
        <v>455296.22</v>
      </c>
    </row>
    <row r="24" spans="1:6" x14ac:dyDescent="0.3">
      <c r="E24" s="10" t="s">
        <v>45</v>
      </c>
      <c r="F24" s="9">
        <f>ROUND(F23*0.1, 2)</f>
        <v>45529.62</v>
      </c>
    </row>
    <row r="25" spans="1:6" x14ac:dyDescent="0.3">
      <c r="E25" s="10" t="s">
        <v>46</v>
      </c>
      <c r="F25" s="9">
        <f>ROUND(F23*0.08, 2)</f>
        <v>36423.699999999997</v>
      </c>
    </row>
    <row r="26" spans="1:6" x14ac:dyDescent="0.3">
      <c r="E26" s="10" t="s">
        <v>47</v>
      </c>
      <c r="F26" s="12">
        <f>F23+F24+F25</f>
        <v>537249.53999999992</v>
      </c>
    </row>
    <row r="27" spans="1:6" x14ac:dyDescent="0.3">
      <c r="E27" s="10" t="s">
        <v>48</v>
      </c>
      <c r="F27" s="9">
        <f>ROUND(F26*0.18, 2)</f>
        <v>96704.92</v>
      </c>
    </row>
    <row r="28" spans="1:6" x14ac:dyDescent="0.3">
      <c r="E28" s="10" t="s">
        <v>49</v>
      </c>
      <c r="F28" s="13">
        <f>F26+F27</f>
        <v>633954.46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5"/>
  <sheetViews>
    <sheetView workbookViewId="0"/>
  </sheetViews>
  <sheetFormatPr baseColWidth="10" defaultColWidth="8.88671875" defaultRowHeight="14.4" x14ac:dyDescent="0.3"/>
  <cols>
    <col min="1" max="1" width="25" customWidth="1"/>
    <col min="2" max="2" width="65" customWidth="1"/>
    <col min="3" max="3" width="12" customWidth="1"/>
    <col min="4" max="4" width="13" customWidth="1"/>
    <col min="5" max="5" width="12" customWidth="1"/>
    <col min="6" max="6" width="21" customWidth="1"/>
    <col min="7" max="7" width="15" customWidth="1"/>
    <col min="8" max="8" width="16" customWidth="1"/>
  </cols>
  <sheetData>
    <row r="1" spans="1:8" ht="17.399999999999999" x14ac:dyDescent="0.3">
      <c r="A1" s="1" t="s">
        <v>50</v>
      </c>
    </row>
    <row r="2" spans="1:8" x14ac:dyDescent="0.3">
      <c r="A2" s="2" t="s">
        <v>1</v>
      </c>
    </row>
    <row r="4" spans="1:8" x14ac:dyDescent="0.3">
      <c r="A4" s="7" t="s">
        <v>51</v>
      </c>
      <c r="B4" s="7" t="s">
        <v>13</v>
      </c>
      <c r="F4" s="10" t="s">
        <v>52</v>
      </c>
      <c r="G4" s="14">
        <v>1</v>
      </c>
      <c r="H4" s="3" t="s">
        <v>53</v>
      </c>
    </row>
    <row r="5" spans="1:8" x14ac:dyDescent="0.3">
      <c r="A5" s="15" t="s">
        <v>54</v>
      </c>
      <c r="B5" s="16" t="s">
        <v>55</v>
      </c>
      <c r="C5" s="15" t="s">
        <v>5</v>
      </c>
      <c r="D5" s="15" t="s">
        <v>56</v>
      </c>
      <c r="E5" s="15" t="s">
        <v>57</v>
      </c>
      <c r="F5" s="15" t="s">
        <v>58</v>
      </c>
      <c r="G5" s="16" t="s">
        <v>59</v>
      </c>
      <c r="H5" s="16" t="s">
        <v>60</v>
      </c>
    </row>
    <row r="6" spans="1:8" x14ac:dyDescent="0.3">
      <c r="B6" s="17" t="s">
        <v>61</v>
      </c>
    </row>
    <row r="7" spans="1:8" x14ac:dyDescent="0.3">
      <c r="A7" s="8" t="s">
        <v>62</v>
      </c>
      <c r="B7" s="8" t="s">
        <v>63</v>
      </c>
      <c r="C7" s="8" t="s">
        <v>64</v>
      </c>
      <c r="D7" s="18">
        <v>0.5</v>
      </c>
      <c r="E7" s="18">
        <v>8</v>
      </c>
      <c r="F7" s="19">
        <f>ROUND(D7*E7/G$4, 4)</f>
        <v>4</v>
      </c>
      <c r="G7" s="20">
        <v>32.5</v>
      </c>
      <c r="H7" s="20">
        <f>ROUND(F7*G7, 2)</f>
        <v>130</v>
      </c>
    </row>
    <row r="8" spans="1:8" x14ac:dyDescent="0.3">
      <c r="A8" s="8" t="s">
        <v>65</v>
      </c>
      <c r="B8" s="8" t="s">
        <v>66</v>
      </c>
      <c r="C8" s="8" t="s">
        <v>64</v>
      </c>
      <c r="D8" s="18">
        <v>4</v>
      </c>
      <c r="E8" s="18">
        <v>8</v>
      </c>
      <c r="F8" s="19">
        <f>ROUND(D8*E8/G$4, 4)</f>
        <v>32</v>
      </c>
      <c r="G8" s="20">
        <v>20.100000000000001</v>
      </c>
      <c r="H8" s="20">
        <f>ROUND(F8*G8, 2)</f>
        <v>643.20000000000005</v>
      </c>
    </row>
    <row r="9" spans="1:8" x14ac:dyDescent="0.3">
      <c r="B9" s="10" t="s">
        <v>67</v>
      </c>
      <c r="H9" s="14">
        <f>SUM(H7:H8)</f>
        <v>773.2</v>
      </c>
    </row>
    <row r="10" spans="1:8" x14ac:dyDescent="0.3">
      <c r="B10" s="17" t="s">
        <v>68</v>
      </c>
    </row>
    <row r="11" spans="1:8" x14ac:dyDescent="0.3">
      <c r="A11" s="8" t="s">
        <v>69</v>
      </c>
      <c r="B11" s="8" t="s">
        <v>70</v>
      </c>
      <c r="C11" s="8" t="s">
        <v>71</v>
      </c>
      <c r="F11" s="19">
        <v>1</v>
      </c>
      <c r="G11" s="20">
        <v>1200</v>
      </c>
      <c r="H11" s="20">
        <f>ROUND(F11*G11, 2)</f>
        <v>1200</v>
      </c>
    </row>
    <row r="12" spans="1:8" x14ac:dyDescent="0.3">
      <c r="A12" s="8" t="s">
        <v>72</v>
      </c>
      <c r="B12" s="8" t="s">
        <v>73</v>
      </c>
      <c r="C12" s="8" t="s">
        <v>74</v>
      </c>
      <c r="F12" s="19">
        <v>1</v>
      </c>
      <c r="G12" s="20">
        <v>2300</v>
      </c>
      <c r="H12" s="20">
        <f>ROUND(F12*G12, 2)</f>
        <v>2300</v>
      </c>
    </row>
    <row r="13" spans="1:8" x14ac:dyDescent="0.3">
      <c r="B13" s="10" t="s">
        <v>75</v>
      </c>
      <c r="H13" s="14">
        <f>SUM(H11:H12)</f>
        <v>3500</v>
      </c>
    </row>
    <row r="14" spans="1:8" x14ac:dyDescent="0.3">
      <c r="B14" s="17" t="s">
        <v>76</v>
      </c>
    </row>
    <row r="15" spans="1:8" x14ac:dyDescent="0.3">
      <c r="A15" s="8" t="s">
        <v>77</v>
      </c>
      <c r="B15" s="8" t="s">
        <v>78</v>
      </c>
      <c r="C15" s="8" t="s">
        <v>79</v>
      </c>
      <c r="F15" s="21">
        <v>0.03</v>
      </c>
      <c r="G15" s="20">
        <f>H9</f>
        <v>773.2</v>
      </c>
      <c r="H15" s="20">
        <f>ROUND(F15*G15, 2)</f>
        <v>23.2</v>
      </c>
    </row>
    <row r="16" spans="1:8" x14ac:dyDescent="0.3">
      <c r="A16" s="8" t="s">
        <v>80</v>
      </c>
      <c r="B16" s="8" t="s">
        <v>81</v>
      </c>
      <c r="C16" s="8" t="s">
        <v>74</v>
      </c>
      <c r="F16" s="19">
        <v>1</v>
      </c>
      <c r="G16" s="20">
        <v>4000</v>
      </c>
      <c r="H16" s="20">
        <f>ROUND(F16*G16, 2)</f>
        <v>4000</v>
      </c>
    </row>
    <row r="17" spans="1:8" x14ac:dyDescent="0.3">
      <c r="B17" s="10" t="s">
        <v>82</v>
      </c>
      <c r="H17" s="14">
        <f>SUM(H15:H16)</f>
        <v>4023.2</v>
      </c>
    </row>
    <row r="18" spans="1:8" x14ac:dyDescent="0.3">
      <c r="B18" s="10" t="s">
        <v>83</v>
      </c>
      <c r="H18" s="12">
        <f>SUM(H9, H13, H17)</f>
        <v>8296.4</v>
      </c>
    </row>
    <row r="20" spans="1:8" x14ac:dyDescent="0.3">
      <c r="A20" s="7" t="s">
        <v>84</v>
      </c>
      <c r="B20" s="7" t="s">
        <v>18</v>
      </c>
      <c r="F20" s="10" t="s">
        <v>52</v>
      </c>
      <c r="G20" s="14">
        <v>250</v>
      </c>
      <c r="H20" s="3" t="s">
        <v>85</v>
      </c>
    </row>
    <row r="21" spans="1:8" x14ac:dyDescent="0.3">
      <c r="A21" s="15" t="s">
        <v>54</v>
      </c>
      <c r="B21" s="16" t="s">
        <v>55</v>
      </c>
      <c r="C21" s="15" t="s">
        <v>5</v>
      </c>
      <c r="D21" s="15" t="s">
        <v>56</v>
      </c>
      <c r="E21" s="15" t="s">
        <v>57</v>
      </c>
      <c r="F21" s="15" t="s">
        <v>58</v>
      </c>
      <c r="G21" s="16" t="s">
        <v>59</v>
      </c>
      <c r="H21" s="16" t="s">
        <v>60</v>
      </c>
    </row>
    <row r="22" spans="1:8" x14ac:dyDescent="0.3">
      <c r="B22" s="17" t="s">
        <v>61</v>
      </c>
    </row>
    <row r="23" spans="1:8" x14ac:dyDescent="0.3">
      <c r="A23" s="8" t="s">
        <v>62</v>
      </c>
      <c r="B23" s="8" t="s">
        <v>63</v>
      </c>
      <c r="C23" s="8" t="s">
        <v>64</v>
      </c>
      <c r="D23" s="18">
        <v>0.2</v>
      </c>
      <c r="E23" s="18">
        <v>8</v>
      </c>
      <c r="F23" s="19">
        <f>ROUND(D23*E23/G$20, 4)</f>
        <v>6.4000000000000003E-3</v>
      </c>
      <c r="G23" s="20">
        <v>32.5</v>
      </c>
      <c r="H23" s="20">
        <f>ROUND(F23*G23, 2)</f>
        <v>0.21</v>
      </c>
    </row>
    <row r="24" spans="1:8" x14ac:dyDescent="0.3">
      <c r="A24" s="8" t="s">
        <v>86</v>
      </c>
      <c r="B24" s="8" t="s">
        <v>87</v>
      </c>
      <c r="C24" s="8" t="s">
        <v>64</v>
      </c>
      <c r="D24" s="18">
        <v>1</v>
      </c>
      <c r="E24" s="18">
        <v>8</v>
      </c>
      <c r="F24" s="19">
        <f>ROUND(D24*E24/G$20, 4)</f>
        <v>3.2000000000000001E-2</v>
      </c>
      <c r="G24" s="20">
        <v>26.8</v>
      </c>
      <c r="H24" s="20">
        <f>ROUND(F24*G24, 2)</f>
        <v>0.86</v>
      </c>
    </row>
    <row r="25" spans="1:8" x14ac:dyDescent="0.3">
      <c r="A25" s="8" t="s">
        <v>65</v>
      </c>
      <c r="B25" s="8" t="s">
        <v>66</v>
      </c>
      <c r="C25" s="8" t="s">
        <v>64</v>
      </c>
      <c r="D25" s="18">
        <v>2</v>
      </c>
      <c r="E25" s="18">
        <v>8</v>
      </c>
      <c r="F25" s="19">
        <f>ROUND(D25*E25/G$20, 4)</f>
        <v>6.4000000000000001E-2</v>
      </c>
      <c r="G25" s="20">
        <v>20.100000000000001</v>
      </c>
      <c r="H25" s="20">
        <f>ROUND(F25*G25, 2)</f>
        <v>1.29</v>
      </c>
    </row>
    <row r="26" spans="1:8" x14ac:dyDescent="0.3">
      <c r="B26" s="10" t="s">
        <v>67</v>
      </c>
      <c r="H26" s="14">
        <f>SUM(H23:H25)</f>
        <v>2.3600000000000003</v>
      </c>
    </row>
    <row r="27" spans="1:8" x14ac:dyDescent="0.3">
      <c r="B27" s="17" t="s">
        <v>68</v>
      </c>
    </row>
    <row r="28" spans="1:8" x14ac:dyDescent="0.3">
      <c r="A28" s="8" t="s">
        <v>88</v>
      </c>
      <c r="B28" s="8" t="s">
        <v>89</v>
      </c>
      <c r="C28" s="8" t="s">
        <v>90</v>
      </c>
      <c r="F28" s="19">
        <v>0.05</v>
      </c>
      <c r="G28" s="20">
        <v>4.5</v>
      </c>
      <c r="H28" s="20">
        <f>ROUND(F28*G28, 2)</f>
        <v>0.23</v>
      </c>
    </row>
    <row r="29" spans="1:8" x14ac:dyDescent="0.3">
      <c r="A29" s="8" t="s">
        <v>91</v>
      </c>
      <c r="B29" s="8" t="s">
        <v>92</v>
      </c>
      <c r="C29" s="8" t="s">
        <v>93</v>
      </c>
      <c r="F29" s="19">
        <v>4.0000000000000001E-3</v>
      </c>
      <c r="G29" s="20">
        <v>18</v>
      </c>
      <c r="H29" s="20">
        <f>ROUND(F29*G29, 2)</f>
        <v>7.0000000000000007E-2</v>
      </c>
    </row>
    <row r="30" spans="1:8" x14ac:dyDescent="0.3">
      <c r="A30" s="8" t="s">
        <v>94</v>
      </c>
      <c r="B30" s="8" t="s">
        <v>95</v>
      </c>
      <c r="C30" s="8" t="s">
        <v>96</v>
      </c>
      <c r="F30" s="19">
        <v>0.05</v>
      </c>
      <c r="G30" s="20">
        <v>0.8</v>
      </c>
      <c r="H30" s="20">
        <f>ROUND(F30*G30, 2)</f>
        <v>0.04</v>
      </c>
    </row>
    <row r="31" spans="1:8" x14ac:dyDescent="0.3">
      <c r="B31" s="10" t="s">
        <v>75</v>
      </c>
      <c r="H31" s="14">
        <f>SUM(H28:H30)</f>
        <v>0.34</v>
      </c>
    </row>
    <row r="32" spans="1:8" x14ac:dyDescent="0.3">
      <c r="B32" s="17" t="s">
        <v>76</v>
      </c>
    </row>
    <row r="33" spans="1:8" x14ac:dyDescent="0.3">
      <c r="A33" s="8" t="s">
        <v>97</v>
      </c>
      <c r="B33" s="8" t="s">
        <v>98</v>
      </c>
      <c r="C33" s="8" t="s">
        <v>99</v>
      </c>
      <c r="D33" s="18">
        <v>1</v>
      </c>
      <c r="E33" s="18">
        <v>8</v>
      </c>
      <c r="F33" s="19">
        <f>ROUND(D33*E33/G$20, 4)</f>
        <v>3.2000000000000001E-2</v>
      </c>
      <c r="G33" s="20">
        <v>18</v>
      </c>
      <c r="H33" s="20">
        <f>ROUND(F33*G33, 2)</f>
        <v>0.57999999999999996</v>
      </c>
    </row>
    <row r="34" spans="1:8" x14ac:dyDescent="0.3">
      <c r="A34" s="8" t="s">
        <v>77</v>
      </c>
      <c r="B34" s="8" t="s">
        <v>78</v>
      </c>
      <c r="C34" s="8" t="s">
        <v>79</v>
      </c>
      <c r="F34" s="21">
        <v>0.03</v>
      </c>
      <c r="G34" s="20">
        <f>H26</f>
        <v>2.3600000000000003</v>
      </c>
      <c r="H34" s="20">
        <f>ROUND(F34*G34, 2)</f>
        <v>7.0000000000000007E-2</v>
      </c>
    </row>
    <row r="35" spans="1:8" x14ac:dyDescent="0.3">
      <c r="B35" s="10" t="s">
        <v>82</v>
      </c>
      <c r="H35" s="14">
        <f>SUM(H33:H34)</f>
        <v>0.64999999999999991</v>
      </c>
    </row>
    <row r="36" spans="1:8" x14ac:dyDescent="0.3">
      <c r="B36" s="10" t="s">
        <v>83</v>
      </c>
      <c r="H36" s="12">
        <f>SUM(H26, H31, H35)</f>
        <v>3.35</v>
      </c>
    </row>
    <row r="38" spans="1:8" x14ac:dyDescent="0.3">
      <c r="A38" s="7" t="s">
        <v>100</v>
      </c>
      <c r="B38" s="7" t="s">
        <v>21</v>
      </c>
      <c r="F38" s="10" t="s">
        <v>52</v>
      </c>
      <c r="G38" s="14">
        <v>160</v>
      </c>
      <c r="H38" s="3" t="s">
        <v>101</v>
      </c>
    </row>
    <row r="39" spans="1:8" x14ac:dyDescent="0.3">
      <c r="A39" s="15" t="s">
        <v>54</v>
      </c>
      <c r="B39" s="16" t="s">
        <v>55</v>
      </c>
      <c r="C39" s="15" t="s">
        <v>5</v>
      </c>
      <c r="D39" s="15" t="s">
        <v>56</v>
      </c>
      <c r="E39" s="15" t="s">
        <v>57</v>
      </c>
      <c r="F39" s="15" t="s">
        <v>58</v>
      </c>
      <c r="G39" s="16" t="s">
        <v>59</v>
      </c>
      <c r="H39" s="16" t="s">
        <v>60</v>
      </c>
    </row>
    <row r="40" spans="1:8" x14ac:dyDescent="0.3">
      <c r="B40" s="17" t="s">
        <v>61</v>
      </c>
    </row>
    <row r="41" spans="1:8" x14ac:dyDescent="0.3">
      <c r="A41" s="8" t="s">
        <v>62</v>
      </c>
      <c r="B41" s="8" t="s">
        <v>63</v>
      </c>
      <c r="C41" s="8" t="s">
        <v>64</v>
      </c>
      <c r="D41" s="18">
        <v>0.2</v>
      </c>
      <c r="E41" s="18">
        <v>8</v>
      </c>
      <c r="F41" s="19">
        <f>ROUND(D41*E41/G$38, 4)</f>
        <v>0.01</v>
      </c>
      <c r="G41" s="20">
        <v>32.5</v>
      </c>
      <c r="H41" s="20">
        <f>ROUND(F41*G41, 2)</f>
        <v>0.33</v>
      </c>
    </row>
    <row r="42" spans="1:8" x14ac:dyDescent="0.3">
      <c r="A42" s="8" t="s">
        <v>65</v>
      </c>
      <c r="B42" s="8" t="s">
        <v>66</v>
      </c>
      <c r="C42" s="8" t="s">
        <v>64</v>
      </c>
      <c r="D42" s="18">
        <v>2</v>
      </c>
      <c r="E42" s="18">
        <v>8</v>
      </c>
      <c r="F42" s="19">
        <f>ROUND(D42*E42/G$38, 4)</f>
        <v>0.1</v>
      </c>
      <c r="G42" s="20">
        <v>20.100000000000001</v>
      </c>
      <c r="H42" s="20">
        <f>ROUND(F42*G42, 2)</f>
        <v>2.0099999999999998</v>
      </c>
    </row>
    <row r="43" spans="1:8" x14ac:dyDescent="0.3">
      <c r="B43" s="10" t="s">
        <v>67</v>
      </c>
      <c r="H43" s="14">
        <f>SUM(H41:H42)</f>
        <v>2.34</v>
      </c>
    </row>
    <row r="44" spans="1:8" x14ac:dyDescent="0.3">
      <c r="B44" s="17" t="s">
        <v>68</v>
      </c>
    </row>
    <row r="45" spans="1:8" x14ac:dyDescent="0.3">
      <c r="B45" s="10" t="s">
        <v>75</v>
      </c>
      <c r="H45" s="14">
        <v>0</v>
      </c>
    </row>
    <row r="46" spans="1:8" x14ac:dyDescent="0.3">
      <c r="B46" s="17" t="s">
        <v>76</v>
      </c>
    </row>
    <row r="47" spans="1:8" x14ac:dyDescent="0.3">
      <c r="A47" s="8" t="s">
        <v>102</v>
      </c>
      <c r="B47" s="8" t="s">
        <v>103</v>
      </c>
      <c r="C47" s="8" t="s">
        <v>99</v>
      </c>
      <c r="D47" s="18">
        <v>1</v>
      </c>
      <c r="E47" s="18">
        <v>8</v>
      </c>
      <c r="F47" s="19">
        <f>ROUND(D47*E47/G$38, 4)</f>
        <v>0.05</v>
      </c>
      <c r="G47" s="20">
        <v>185</v>
      </c>
      <c r="H47" s="20">
        <f>ROUND(F47*G47, 2)</f>
        <v>9.25</v>
      </c>
    </row>
    <row r="48" spans="1:8" x14ac:dyDescent="0.3">
      <c r="A48" s="8" t="s">
        <v>77</v>
      </c>
      <c r="B48" s="8" t="s">
        <v>78</v>
      </c>
      <c r="C48" s="8" t="s">
        <v>79</v>
      </c>
      <c r="F48" s="21">
        <v>0.03</v>
      </c>
      <c r="G48" s="20">
        <f>H43</f>
        <v>2.34</v>
      </c>
      <c r="H48" s="20">
        <f>ROUND(F48*G48, 2)</f>
        <v>7.0000000000000007E-2</v>
      </c>
    </row>
    <row r="49" spans="1:8" x14ac:dyDescent="0.3">
      <c r="B49" s="10" t="s">
        <v>82</v>
      </c>
      <c r="H49" s="14">
        <f>SUM(H47:H48)</f>
        <v>9.32</v>
      </c>
    </row>
    <row r="50" spans="1:8" x14ac:dyDescent="0.3">
      <c r="B50" s="10" t="s">
        <v>83</v>
      </c>
      <c r="H50" s="12">
        <f>SUM(H43, H45, H49)</f>
        <v>11.66</v>
      </c>
    </row>
    <row r="52" spans="1:8" x14ac:dyDescent="0.3">
      <c r="A52" s="7" t="s">
        <v>104</v>
      </c>
      <c r="B52" s="7" t="s">
        <v>24</v>
      </c>
      <c r="F52" s="10" t="s">
        <v>52</v>
      </c>
      <c r="G52" s="14">
        <v>120</v>
      </c>
      <c r="H52" s="3" t="s">
        <v>85</v>
      </c>
    </row>
    <row r="53" spans="1:8" x14ac:dyDescent="0.3">
      <c r="A53" s="15" t="s">
        <v>54</v>
      </c>
      <c r="B53" s="16" t="s">
        <v>55</v>
      </c>
      <c r="C53" s="15" t="s">
        <v>5</v>
      </c>
      <c r="D53" s="15" t="s">
        <v>56</v>
      </c>
      <c r="E53" s="15" t="s">
        <v>57</v>
      </c>
      <c r="F53" s="15" t="s">
        <v>58</v>
      </c>
      <c r="G53" s="16" t="s">
        <v>59</v>
      </c>
      <c r="H53" s="16" t="s">
        <v>60</v>
      </c>
    </row>
    <row r="54" spans="1:8" x14ac:dyDescent="0.3">
      <c r="B54" s="17" t="s">
        <v>61</v>
      </c>
    </row>
    <row r="55" spans="1:8" x14ac:dyDescent="0.3">
      <c r="A55" s="8" t="s">
        <v>62</v>
      </c>
      <c r="B55" s="8" t="s">
        <v>63</v>
      </c>
      <c r="C55" s="8" t="s">
        <v>64</v>
      </c>
      <c r="D55" s="18">
        <v>0.1</v>
      </c>
      <c r="E55" s="18">
        <v>8</v>
      </c>
      <c r="F55" s="19">
        <f>ROUND(D55*E55/G$52, 4)</f>
        <v>6.7000000000000002E-3</v>
      </c>
      <c r="G55" s="20">
        <v>32.5</v>
      </c>
      <c r="H55" s="20">
        <f>ROUND(F55*G55, 2)</f>
        <v>0.22</v>
      </c>
    </row>
    <row r="56" spans="1:8" x14ac:dyDescent="0.3">
      <c r="A56" s="8" t="s">
        <v>65</v>
      </c>
      <c r="B56" s="8" t="s">
        <v>66</v>
      </c>
      <c r="C56" s="8" t="s">
        <v>64</v>
      </c>
      <c r="D56" s="18">
        <v>3</v>
      </c>
      <c r="E56" s="18">
        <v>8</v>
      </c>
      <c r="F56" s="19">
        <f>ROUND(D56*E56/G$52, 4)</f>
        <v>0.2</v>
      </c>
      <c r="G56" s="20">
        <v>20.100000000000001</v>
      </c>
      <c r="H56" s="20">
        <f>ROUND(F56*G56, 2)</f>
        <v>4.0199999999999996</v>
      </c>
    </row>
    <row r="57" spans="1:8" x14ac:dyDescent="0.3">
      <c r="B57" s="10" t="s">
        <v>67</v>
      </c>
      <c r="H57" s="14">
        <f>SUM(H55:H56)</f>
        <v>4.2399999999999993</v>
      </c>
    </row>
    <row r="58" spans="1:8" x14ac:dyDescent="0.3">
      <c r="B58" s="17" t="s">
        <v>68</v>
      </c>
    </row>
    <row r="59" spans="1:8" x14ac:dyDescent="0.3">
      <c r="A59" s="8" t="s">
        <v>105</v>
      </c>
      <c r="B59" s="8" t="s">
        <v>106</v>
      </c>
      <c r="C59" s="8" t="s">
        <v>107</v>
      </c>
      <c r="F59" s="19">
        <v>0.15</v>
      </c>
      <c r="G59" s="20">
        <v>45</v>
      </c>
      <c r="H59" s="20">
        <f>ROUND(F59*G59, 2)</f>
        <v>6.75</v>
      </c>
    </row>
    <row r="60" spans="1:8" x14ac:dyDescent="0.3">
      <c r="B60" s="10" t="s">
        <v>75</v>
      </c>
      <c r="H60" s="14">
        <f>SUM(H59:H59)</f>
        <v>6.75</v>
      </c>
    </row>
    <row r="61" spans="1:8" x14ac:dyDescent="0.3">
      <c r="B61" s="17" t="s">
        <v>76</v>
      </c>
    </row>
    <row r="62" spans="1:8" x14ac:dyDescent="0.3">
      <c r="A62" s="8" t="s">
        <v>77</v>
      </c>
      <c r="B62" s="8" t="s">
        <v>78</v>
      </c>
      <c r="C62" s="8" t="s">
        <v>79</v>
      </c>
      <c r="F62" s="21">
        <v>0.03</v>
      </c>
      <c r="G62" s="20">
        <f>H57</f>
        <v>4.2399999999999993</v>
      </c>
      <c r="H62" s="20">
        <f>ROUND(F62*G62, 2)</f>
        <v>0.13</v>
      </c>
    </row>
    <row r="63" spans="1:8" x14ac:dyDescent="0.3">
      <c r="B63" s="10" t="s">
        <v>82</v>
      </c>
      <c r="H63" s="14">
        <f>SUM(H62:H62)</f>
        <v>0.13</v>
      </c>
    </row>
    <row r="64" spans="1:8" x14ac:dyDescent="0.3">
      <c r="B64" s="10" t="s">
        <v>83</v>
      </c>
      <c r="H64" s="12">
        <f>SUM(H57, H60, H63)</f>
        <v>11.12</v>
      </c>
    </row>
    <row r="66" spans="1:8" x14ac:dyDescent="0.3">
      <c r="A66" s="7" t="s">
        <v>108</v>
      </c>
      <c r="B66" s="7" t="s">
        <v>26</v>
      </c>
      <c r="F66" s="10" t="s">
        <v>52</v>
      </c>
      <c r="G66" s="14">
        <v>80</v>
      </c>
      <c r="H66" s="3" t="s">
        <v>85</v>
      </c>
    </row>
    <row r="67" spans="1:8" x14ac:dyDescent="0.3">
      <c r="A67" s="15" t="s">
        <v>54</v>
      </c>
      <c r="B67" s="16" t="s">
        <v>55</v>
      </c>
      <c r="C67" s="15" t="s">
        <v>5</v>
      </c>
      <c r="D67" s="15" t="s">
        <v>56</v>
      </c>
      <c r="E67" s="15" t="s">
        <v>57</v>
      </c>
      <c r="F67" s="15" t="s">
        <v>58</v>
      </c>
      <c r="G67" s="16" t="s">
        <v>59</v>
      </c>
      <c r="H67" s="16" t="s">
        <v>60</v>
      </c>
    </row>
    <row r="68" spans="1:8" x14ac:dyDescent="0.3">
      <c r="B68" s="17" t="s">
        <v>61</v>
      </c>
    </row>
    <row r="69" spans="1:8" x14ac:dyDescent="0.3">
      <c r="A69" s="8" t="s">
        <v>62</v>
      </c>
      <c r="B69" s="8" t="s">
        <v>63</v>
      </c>
      <c r="C69" s="8" t="s">
        <v>64</v>
      </c>
      <c r="D69" s="18">
        <v>0.2</v>
      </c>
      <c r="E69" s="18">
        <v>8</v>
      </c>
      <c r="F69" s="19">
        <f>ROUND(D69*E69/G$66, 4)</f>
        <v>0.02</v>
      </c>
      <c r="G69" s="20">
        <v>32.5</v>
      </c>
      <c r="H69" s="20">
        <f>ROUND(F69*G69, 2)</f>
        <v>0.65</v>
      </c>
    </row>
    <row r="70" spans="1:8" x14ac:dyDescent="0.3">
      <c r="A70" s="8" t="s">
        <v>86</v>
      </c>
      <c r="B70" s="8" t="s">
        <v>87</v>
      </c>
      <c r="C70" s="8" t="s">
        <v>64</v>
      </c>
      <c r="D70" s="18">
        <v>1</v>
      </c>
      <c r="E70" s="18">
        <v>8</v>
      </c>
      <c r="F70" s="19">
        <f>ROUND(D70*E70/G$66, 4)</f>
        <v>0.1</v>
      </c>
      <c r="G70" s="20">
        <v>26.8</v>
      </c>
      <c r="H70" s="20">
        <f>ROUND(F70*G70, 2)</f>
        <v>2.68</v>
      </c>
    </row>
    <row r="71" spans="1:8" x14ac:dyDescent="0.3">
      <c r="A71" s="8" t="s">
        <v>109</v>
      </c>
      <c r="B71" s="8" t="s">
        <v>110</v>
      </c>
      <c r="C71" s="8" t="s">
        <v>64</v>
      </c>
      <c r="D71" s="18">
        <v>1</v>
      </c>
      <c r="E71" s="18">
        <v>8</v>
      </c>
      <c r="F71" s="19">
        <f>ROUND(D71*E71/G$66, 4)</f>
        <v>0.1</v>
      </c>
      <c r="G71" s="20">
        <v>22.4</v>
      </c>
      <c r="H71" s="20">
        <f>ROUND(F71*G71, 2)</f>
        <v>2.2400000000000002</v>
      </c>
    </row>
    <row r="72" spans="1:8" x14ac:dyDescent="0.3">
      <c r="A72" s="8" t="s">
        <v>65</v>
      </c>
      <c r="B72" s="8" t="s">
        <v>66</v>
      </c>
      <c r="C72" s="8" t="s">
        <v>64</v>
      </c>
      <c r="D72" s="18">
        <v>3</v>
      </c>
      <c r="E72" s="18">
        <v>8</v>
      </c>
      <c r="F72" s="19">
        <f>ROUND(D72*E72/G$66, 4)</f>
        <v>0.3</v>
      </c>
      <c r="G72" s="20">
        <v>20.100000000000001</v>
      </c>
      <c r="H72" s="20">
        <f>ROUND(F72*G72, 2)</f>
        <v>6.03</v>
      </c>
    </row>
    <row r="73" spans="1:8" x14ac:dyDescent="0.3">
      <c r="B73" s="10" t="s">
        <v>67</v>
      </c>
      <c r="H73" s="14">
        <f>SUM(H69:H72)</f>
        <v>11.600000000000001</v>
      </c>
    </row>
    <row r="74" spans="1:8" x14ac:dyDescent="0.3">
      <c r="B74" s="17" t="s">
        <v>68</v>
      </c>
    </row>
    <row r="75" spans="1:8" x14ac:dyDescent="0.3">
      <c r="A75" s="8" t="s">
        <v>111</v>
      </c>
      <c r="B75" s="8" t="s">
        <v>112</v>
      </c>
      <c r="C75" s="8" t="s">
        <v>96</v>
      </c>
      <c r="F75" s="19">
        <v>1.02</v>
      </c>
      <c r="G75" s="20">
        <v>42</v>
      </c>
      <c r="H75" s="20">
        <f>ROUND(F75*G75, 2)</f>
        <v>42.84</v>
      </c>
    </row>
    <row r="76" spans="1:8" x14ac:dyDescent="0.3">
      <c r="A76" s="8" t="s">
        <v>113</v>
      </c>
      <c r="B76" s="8" t="s">
        <v>114</v>
      </c>
      <c r="C76" s="8" t="s">
        <v>115</v>
      </c>
      <c r="F76" s="19">
        <v>0.03</v>
      </c>
      <c r="G76" s="20">
        <v>24</v>
      </c>
      <c r="H76" s="20">
        <f>ROUND(F76*G76, 2)</f>
        <v>0.72</v>
      </c>
    </row>
    <row r="77" spans="1:8" x14ac:dyDescent="0.3">
      <c r="B77" s="10" t="s">
        <v>75</v>
      </c>
      <c r="H77" s="14">
        <f>SUM(H75:H76)</f>
        <v>43.56</v>
      </c>
    </row>
    <row r="78" spans="1:8" x14ac:dyDescent="0.3">
      <c r="B78" s="17" t="s">
        <v>76</v>
      </c>
    </row>
    <row r="79" spans="1:8" x14ac:dyDescent="0.3">
      <c r="A79" s="8" t="s">
        <v>77</v>
      </c>
      <c r="B79" s="8" t="s">
        <v>78</v>
      </c>
      <c r="C79" s="8" t="s">
        <v>79</v>
      </c>
      <c r="F79" s="21">
        <v>0.03</v>
      </c>
      <c r="G79" s="20">
        <f>H73</f>
        <v>11.600000000000001</v>
      </c>
      <c r="H79" s="20">
        <f>ROUND(F79*G79, 2)</f>
        <v>0.35</v>
      </c>
    </row>
    <row r="80" spans="1:8" x14ac:dyDescent="0.3">
      <c r="B80" s="10" t="s">
        <v>82</v>
      </c>
      <c r="H80" s="14">
        <f>SUM(H79:H79)</f>
        <v>0.35</v>
      </c>
    </row>
    <row r="81" spans="1:8" x14ac:dyDescent="0.3">
      <c r="B81" s="10" t="s">
        <v>83</v>
      </c>
      <c r="H81" s="12">
        <f>SUM(H73, H77, H80)</f>
        <v>55.510000000000005</v>
      </c>
    </row>
    <row r="83" spans="1:8" x14ac:dyDescent="0.3">
      <c r="A83" s="7" t="s">
        <v>116</v>
      </c>
      <c r="B83" s="7" t="s">
        <v>28</v>
      </c>
      <c r="F83" s="10" t="s">
        <v>52</v>
      </c>
      <c r="G83" s="14">
        <v>110</v>
      </c>
      <c r="H83" s="3" t="s">
        <v>101</v>
      </c>
    </row>
    <row r="84" spans="1:8" x14ac:dyDescent="0.3">
      <c r="A84" s="15" t="s">
        <v>54</v>
      </c>
      <c r="B84" s="16" t="s">
        <v>55</v>
      </c>
      <c r="C84" s="15" t="s">
        <v>5</v>
      </c>
      <c r="D84" s="15" t="s">
        <v>56</v>
      </c>
      <c r="E84" s="15" t="s">
        <v>57</v>
      </c>
      <c r="F84" s="15" t="s">
        <v>58</v>
      </c>
      <c r="G84" s="16" t="s">
        <v>59</v>
      </c>
      <c r="H84" s="16" t="s">
        <v>60</v>
      </c>
    </row>
    <row r="85" spans="1:8" x14ac:dyDescent="0.3">
      <c r="B85" s="17" t="s">
        <v>61</v>
      </c>
    </row>
    <row r="86" spans="1:8" x14ac:dyDescent="0.3">
      <c r="A86" s="8" t="s">
        <v>62</v>
      </c>
      <c r="B86" s="8" t="s">
        <v>63</v>
      </c>
      <c r="C86" s="8" t="s">
        <v>64</v>
      </c>
      <c r="D86" s="18">
        <v>0.2</v>
      </c>
      <c r="E86" s="18">
        <v>8</v>
      </c>
      <c r="F86" s="19">
        <f>ROUND(D86*E86/G$83, 4)</f>
        <v>1.4500000000000001E-2</v>
      </c>
      <c r="G86" s="20">
        <v>32.5</v>
      </c>
      <c r="H86" s="20">
        <f>ROUND(F86*G86, 2)</f>
        <v>0.47</v>
      </c>
    </row>
    <row r="87" spans="1:8" x14ac:dyDescent="0.3">
      <c r="A87" s="8" t="s">
        <v>86</v>
      </c>
      <c r="B87" s="8" t="s">
        <v>87</v>
      </c>
      <c r="C87" s="8" t="s">
        <v>64</v>
      </c>
      <c r="D87" s="18">
        <v>1</v>
      </c>
      <c r="E87" s="18">
        <v>8</v>
      </c>
      <c r="F87" s="19">
        <f>ROUND(D87*E87/G$83, 4)</f>
        <v>7.2700000000000001E-2</v>
      </c>
      <c r="G87" s="20">
        <v>26.8</v>
      </c>
      <c r="H87" s="20">
        <f>ROUND(F87*G87, 2)</f>
        <v>1.95</v>
      </c>
    </row>
    <row r="88" spans="1:8" x14ac:dyDescent="0.3">
      <c r="A88" s="8" t="s">
        <v>65</v>
      </c>
      <c r="B88" s="8" t="s">
        <v>66</v>
      </c>
      <c r="C88" s="8" t="s">
        <v>64</v>
      </c>
      <c r="D88" s="18">
        <v>3</v>
      </c>
      <c r="E88" s="18">
        <v>8</v>
      </c>
      <c r="F88" s="19">
        <f>ROUND(D88*E88/G$83, 4)</f>
        <v>0.21820000000000001</v>
      </c>
      <c r="G88" s="20">
        <v>20.100000000000001</v>
      </c>
      <c r="H88" s="20">
        <f>ROUND(F88*G88, 2)</f>
        <v>4.3899999999999997</v>
      </c>
    </row>
    <row r="89" spans="1:8" x14ac:dyDescent="0.3">
      <c r="B89" s="10" t="s">
        <v>67</v>
      </c>
      <c r="H89" s="14">
        <f>SUM(H86:H88)</f>
        <v>6.81</v>
      </c>
    </row>
    <row r="90" spans="1:8" x14ac:dyDescent="0.3">
      <c r="B90" s="17" t="s">
        <v>68</v>
      </c>
    </row>
    <row r="91" spans="1:8" x14ac:dyDescent="0.3">
      <c r="A91" s="8" t="s">
        <v>117</v>
      </c>
      <c r="B91" s="8" t="s">
        <v>118</v>
      </c>
      <c r="C91" s="8" t="s">
        <v>107</v>
      </c>
      <c r="F91" s="19">
        <v>0.35</v>
      </c>
      <c r="G91" s="20">
        <v>38</v>
      </c>
      <c r="H91" s="20">
        <f>ROUND(F91*G91, 2)</f>
        <v>13.3</v>
      </c>
    </row>
    <row r="92" spans="1:8" x14ac:dyDescent="0.3">
      <c r="A92" s="8" t="s">
        <v>119</v>
      </c>
      <c r="B92" s="8" t="s">
        <v>120</v>
      </c>
      <c r="C92" s="8" t="s">
        <v>107</v>
      </c>
      <c r="F92" s="19">
        <v>0.04</v>
      </c>
      <c r="G92" s="20">
        <v>12</v>
      </c>
      <c r="H92" s="20">
        <f>ROUND(F92*G92, 2)</f>
        <v>0.48</v>
      </c>
    </row>
    <row r="93" spans="1:8" x14ac:dyDescent="0.3">
      <c r="B93" s="10" t="s">
        <v>75</v>
      </c>
      <c r="H93" s="14">
        <f>SUM(H91:H92)</f>
        <v>13.780000000000001</v>
      </c>
    </row>
    <row r="94" spans="1:8" x14ac:dyDescent="0.3">
      <c r="B94" s="17" t="s">
        <v>76</v>
      </c>
    </row>
    <row r="95" spans="1:8" x14ac:dyDescent="0.3">
      <c r="A95" s="8" t="s">
        <v>121</v>
      </c>
      <c r="B95" s="8" t="s">
        <v>122</v>
      </c>
      <c r="C95" s="8" t="s">
        <v>99</v>
      </c>
      <c r="D95" s="18">
        <v>0.5</v>
      </c>
      <c r="E95" s="18">
        <v>8</v>
      </c>
      <c r="F95" s="19">
        <f>ROUND(D95*E95/G$83, 4)</f>
        <v>3.6400000000000002E-2</v>
      </c>
      <c r="G95" s="20">
        <v>130</v>
      </c>
      <c r="H95" s="20">
        <f>ROUND(F95*G95, 2)</f>
        <v>4.7300000000000004</v>
      </c>
    </row>
    <row r="96" spans="1:8" x14ac:dyDescent="0.3">
      <c r="A96" s="8" t="s">
        <v>123</v>
      </c>
      <c r="B96" s="8" t="s">
        <v>124</v>
      </c>
      <c r="C96" s="8" t="s">
        <v>99</v>
      </c>
      <c r="D96" s="18">
        <v>1</v>
      </c>
      <c r="E96" s="18">
        <v>8</v>
      </c>
      <c r="F96" s="19">
        <f>ROUND(D96*E96/G$83, 4)</f>
        <v>7.2700000000000001E-2</v>
      </c>
      <c r="G96" s="20">
        <v>25</v>
      </c>
      <c r="H96" s="20">
        <f>ROUND(F96*G96, 2)</f>
        <v>1.82</v>
      </c>
    </row>
    <row r="97" spans="1:8" x14ac:dyDescent="0.3">
      <c r="A97" s="8" t="s">
        <v>77</v>
      </c>
      <c r="B97" s="8" t="s">
        <v>78</v>
      </c>
      <c r="C97" s="8" t="s">
        <v>79</v>
      </c>
      <c r="F97" s="21">
        <v>0.03</v>
      </c>
      <c r="G97" s="20">
        <f>H89</f>
        <v>6.81</v>
      </c>
      <c r="H97" s="20">
        <f>ROUND(F97*G97, 2)</f>
        <v>0.2</v>
      </c>
    </row>
    <row r="98" spans="1:8" x14ac:dyDescent="0.3">
      <c r="A98" s="8" t="s">
        <v>125</v>
      </c>
      <c r="B98" s="8" t="s">
        <v>126</v>
      </c>
      <c r="C98" s="8" t="s">
        <v>71</v>
      </c>
      <c r="F98" s="19">
        <v>1.4999999999999999E-2</v>
      </c>
      <c r="G98" s="20">
        <v>80</v>
      </c>
      <c r="H98" s="20">
        <f>ROUND(F98*G98, 2)</f>
        <v>1.2</v>
      </c>
    </row>
    <row r="99" spans="1:8" x14ac:dyDescent="0.3">
      <c r="B99" s="10" t="s">
        <v>82</v>
      </c>
      <c r="H99" s="14">
        <f>SUM(H95:H98)</f>
        <v>7.9500000000000011</v>
      </c>
    </row>
    <row r="100" spans="1:8" x14ac:dyDescent="0.3">
      <c r="B100" s="10" t="s">
        <v>83</v>
      </c>
      <c r="H100" s="12">
        <f>SUM(H89, H93, H99)</f>
        <v>28.54</v>
      </c>
    </row>
    <row r="102" spans="1:8" x14ac:dyDescent="0.3">
      <c r="A102" s="7" t="s">
        <v>127</v>
      </c>
      <c r="B102" s="7" t="s">
        <v>30</v>
      </c>
      <c r="F102" s="10" t="s">
        <v>52</v>
      </c>
      <c r="G102" s="14">
        <v>2</v>
      </c>
      <c r="H102" s="3" t="s">
        <v>128</v>
      </c>
    </row>
    <row r="103" spans="1:8" x14ac:dyDescent="0.3">
      <c r="A103" s="15" t="s">
        <v>54</v>
      </c>
      <c r="B103" s="16" t="s">
        <v>55</v>
      </c>
      <c r="C103" s="15" t="s">
        <v>5</v>
      </c>
      <c r="D103" s="15" t="s">
        <v>56</v>
      </c>
      <c r="E103" s="15" t="s">
        <v>57</v>
      </c>
      <c r="F103" s="15" t="s">
        <v>58</v>
      </c>
      <c r="G103" s="16" t="s">
        <v>59</v>
      </c>
      <c r="H103" s="16" t="s">
        <v>60</v>
      </c>
    </row>
    <row r="104" spans="1:8" x14ac:dyDescent="0.3">
      <c r="B104" s="17" t="s">
        <v>61</v>
      </c>
    </row>
    <row r="105" spans="1:8" x14ac:dyDescent="0.3">
      <c r="A105" s="8" t="s">
        <v>62</v>
      </c>
      <c r="B105" s="8" t="s">
        <v>63</v>
      </c>
      <c r="C105" s="8" t="s">
        <v>64</v>
      </c>
      <c r="D105" s="18">
        <v>0.2</v>
      </c>
      <c r="E105" s="18">
        <v>8</v>
      </c>
      <c r="F105" s="19">
        <f>ROUND(D105*E105/G$102, 4)</f>
        <v>0.8</v>
      </c>
      <c r="G105" s="20">
        <v>32.5</v>
      </c>
      <c r="H105" s="20">
        <f>ROUND(F105*G105, 2)</f>
        <v>26</v>
      </c>
    </row>
    <row r="106" spans="1:8" x14ac:dyDescent="0.3">
      <c r="A106" s="8" t="s">
        <v>86</v>
      </c>
      <c r="B106" s="8" t="s">
        <v>87</v>
      </c>
      <c r="C106" s="8" t="s">
        <v>64</v>
      </c>
      <c r="D106" s="18">
        <v>1</v>
      </c>
      <c r="E106" s="18">
        <v>8</v>
      </c>
      <c r="F106" s="19">
        <f>ROUND(D106*E106/G$102, 4)</f>
        <v>4</v>
      </c>
      <c r="G106" s="20">
        <v>26.8</v>
      </c>
      <c r="H106" s="20">
        <f>ROUND(F106*G106, 2)</f>
        <v>107.2</v>
      </c>
    </row>
    <row r="107" spans="1:8" x14ac:dyDescent="0.3">
      <c r="A107" s="8" t="s">
        <v>109</v>
      </c>
      <c r="B107" s="8" t="s">
        <v>110</v>
      </c>
      <c r="C107" s="8" t="s">
        <v>64</v>
      </c>
      <c r="D107" s="18">
        <v>1</v>
      </c>
      <c r="E107" s="18">
        <v>8</v>
      </c>
      <c r="F107" s="19">
        <f>ROUND(D107*E107/G$102, 4)</f>
        <v>4</v>
      </c>
      <c r="G107" s="20">
        <v>22.4</v>
      </c>
      <c r="H107" s="20">
        <f>ROUND(F107*G107, 2)</f>
        <v>89.6</v>
      </c>
    </row>
    <row r="108" spans="1:8" x14ac:dyDescent="0.3">
      <c r="A108" s="8" t="s">
        <v>65</v>
      </c>
      <c r="B108" s="8" t="s">
        <v>66</v>
      </c>
      <c r="C108" s="8" t="s">
        <v>64</v>
      </c>
      <c r="D108" s="18">
        <v>4</v>
      </c>
      <c r="E108" s="18">
        <v>8</v>
      </c>
      <c r="F108" s="19">
        <f>ROUND(D108*E108/G$102, 4)</f>
        <v>16</v>
      </c>
      <c r="G108" s="20">
        <v>20.100000000000001</v>
      </c>
      <c r="H108" s="20">
        <f>ROUND(F108*G108, 2)</f>
        <v>321.60000000000002</v>
      </c>
    </row>
    <row r="109" spans="1:8" x14ac:dyDescent="0.3">
      <c r="B109" s="10" t="s">
        <v>67</v>
      </c>
      <c r="H109" s="14">
        <f>SUM(H105:H108)</f>
        <v>544.4</v>
      </c>
    </row>
    <row r="110" spans="1:8" x14ac:dyDescent="0.3">
      <c r="B110" s="17" t="s">
        <v>68</v>
      </c>
    </row>
    <row r="111" spans="1:8" x14ac:dyDescent="0.3">
      <c r="A111" s="8" t="s">
        <v>129</v>
      </c>
      <c r="B111" s="8" t="s">
        <v>130</v>
      </c>
      <c r="C111" s="8" t="s">
        <v>71</v>
      </c>
      <c r="F111" s="19">
        <v>1</v>
      </c>
      <c r="G111" s="20">
        <v>1050</v>
      </c>
      <c r="H111" s="20">
        <f>ROUND(F111*G111, 2)</f>
        <v>1050</v>
      </c>
    </row>
    <row r="112" spans="1:8" x14ac:dyDescent="0.3">
      <c r="B112" s="10" t="s">
        <v>75</v>
      </c>
      <c r="H112" s="14">
        <f>SUM(H111:H111)</f>
        <v>1050</v>
      </c>
    </row>
    <row r="113" spans="1:8" x14ac:dyDescent="0.3">
      <c r="B113" s="17" t="s">
        <v>76</v>
      </c>
    </row>
    <row r="114" spans="1:8" x14ac:dyDescent="0.3">
      <c r="A114" s="8" t="s">
        <v>131</v>
      </c>
      <c r="B114" s="8" t="s">
        <v>132</v>
      </c>
      <c r="C114" s="8" t="s">
        <v>99</v>
      </c>
      <c r="D114" s="18">
        <v>1</v>
      </c>
      <c r="E114" s="18">
        <v>8</v>
      </c>
      <c r="F114" s="19">
        <f>ROUND(D114*E114/G$102, 4)</f>
        <v>4</v>
      </c>
      <c r="G114" s="20">
        <v>160</v>
      </c>
      <c r="H114" s="20">
        <f>ROUND(F114*G114, 2)</f>
        <v>640</v>
      </c>
    </row>
    <row r="115" spans="1:8" x14ac:dyDescent="0.3">
      <c r="A115" s="8" t="s">
        <v>77</v>
      </c>
      <c r="B115" s="8" t="s">
        <v>78</v>
      </c>
      <c r="C115" s="8" t="s">
        <v>79</v>
      </c>
      <c r="F115" s="21">
        <v>0.03</v>
      </c>
      <c r="G115" s="20">
        <f>H109</f>
        <v>544.4</v>
      </c>
      <c r="H115" s="20">
        <f>ROUND(F115*G115, 2)</f>
        <v>16.329999999999998</v>
      </c>
    </row>
    <row r="116" spans="1:8" x14ac:dyDescent="0.3">
      <c r="A116" s="8" t="s">
        <v>133</v>
      </c>
      <c r="B116" s="8" t="s">
        <v>134</v>
      </c>
      <c r="C116" s="8" t="s">
        <v>71</v>
      </c>
      <c r="F116" s="19">
        <v>1</v>
      </c>
      <c r="G116" s="20">
        <v>250</v>
      </c>
      <c r="H116" s="20">
        <f>ROUND(F116*G116, 2)</f>
        <v>250</v>
      </c>
    </row>
    <row r="117" spans="1:8" x14ac:dyDescent="0.3">
      <c r="B117" s="10" t="s">
        <v>82</v>
      </c>
      <c r="H117" s="14">
        <f>SUM(H114:H116)</f>
        <v>906.33</v>
      </c>
    </row>
    <row r="118" spans="1:8" x14ac:dyDescent="0.3">
      <c r="B118" s="10" t="s">
        <v>83</v>
      </c>
      <c r="H118" s="12">
        <f>SUM(H109, H112, H117)</f>
        <v>2500.73</v>
      </c>
    </row>
    <row r="120" spans="1:8" x14ac:dyDescent="0.3">
      <c r="A120" s="7" t="s">
        <v>135</v>
      </c>
      <c r="B120" s="7" t="s">
        <v>33</v>
      </c>
      <c r="F120" s="10" t="s">
        <v>52</v>
      </c>
      <c r="G120" s="14">
        <v>6</v>
      </c>
      <c r="H120" s="3" t="s">
        <v>128</v>
      </c>
    </row>
    <row r="121" spans="1:8" x14ac:dyDescent="0.3">
      <c r="A121" s="15" t="s">
        <v>54</v>
      </c>
      <c r="B121" s="16" t="s">
        <v>55</v>
      </c>
      <c r="C121" s="15" t="s">
        <v>5</v>
      </c>
      <c r="D121" s="15" t="s">
        <v>56</v>
      </c>
      <c r="E121" s="15" t="s">
        <v>57</v>
      </c>
      <c r="F121" s="15" t="s">
        <v>58</v>
      </c>
      <c r="G121" s="16" t="s">
        <v>59</v>
      </c>
      <c r="H121" s="16" t="s">
        <v>60</v>
      </c>
    </row>
    <row r="122" spans="1:8" x14ac:dyDescent="0.3">
      <c r="B122" s="17" t="s">
        <v>61</v>
      </c>
    </row>
    <row r="123" spans="1:8" x14ac:dyDescent="0.3">
      <c r="A123" s="8" t="s">
        <v>62</v>
      </c>
      <c r="B123" s="8" t="s">
        <v>63</v>
      </c>
      <c r="C123" s="8" t="s">
        <v>64</v>
      </c>
      <c r="D123" s="18">
        <v>0.2</v>
      </c>
      <c r="E123" s="18">
        <v>8</v>
      </c>
      <c r="F123" s="19">
        <f>ROUND(D123*E123/G$120, 4)</f>
        <v>0.26669999999999999</v>
      </c>
      <c r="G123" s="20">
        <v>32.5</v>
      </c>
      <c r="H123" s="20">
        <f>ROUND(F123*G123, 2)</f>
        <v>8.67</v>
      </c>
    </row>
    <row r="124" spans="1:8" x14ac:dyDescent="0.3">
      <c r="A124" s="8" t="s">
        <v>86</v>
      </c>
      <c r="B124" s="8" t="s">
        <v>87</v>
      </c>
      <c r="C124" s="8" t="s">
        <v>64</v>
      </c>
      <c r="D124" s="18">
        <v>1</v>
      </c>
      <c r="E124" s="18">
        <v>8</v>
      </c>
      <c r="F124" s="19">
        <f>ROUND(D124*E124/G$120, 4)</f>
        <v>1.3332999999999999</v>
      </c>
      <c r="G124" s="20">
        <v>26.8</v>
      </c>
      <c r="H124" s="20">
        <f>ROUND(F124*G124, 2)</f>
        <v>35.729999999999997</v>
      </c>
    </row>
    <row r="125" spans="1:8" x14ac:dyDescent="0.3">
      <c r="A125" s="8" t="s">
        <v>65</v>
      </c>
      <c r="B125" s="8" t="s">
        <v>66</v>
      </c>
      <c r="C125" s="8" t="s">
        <v>64</v>
      </c>
      <c r="D125" s="18">
        <v>3</v>
      </c>
      <c r="E125" s="18">
        <v>8</v>
      </c>
      <c r="F125" s="19">
        <f>ROUND(D125*E125/G$120, 4)</f>
        <v>4</v>
      </c>
      <c r="G125" s="20">
        <v>20.100000000000001</v>
      </c>
      <c r="H125" s="20">
        <f>ROUND(F125*G125, 2)</f>
        <v>80.400000000000006</v>
      </c>
    </row>
    <row r="126" spans="1:8" x14ac:dyDescent="0.3">
      <c r="B126" s="10" t="s">
        <v>67</v>
      </c>
      <c r="H126" s="14">
        <f>SUM(H123:H125)</f>
        <v>124.80000000000001</v>
      </c>
    </row>
    <row r="127" spans="1:8" x14ac:dyDescent="0.3">
      <c r="B127" s="17" t="s">
        <v>68</v>
      </c>
    </row>
    <row r="128" spans="1:8" x14ac:dyDescent="0.3">
      <c r="A128" s="8" t="s">
        <v>136</v>
      </c>
      <c r="B128" s="8" t="s">
        <v>137</v>
      </c>
      <c r="C128" s="8" t="s">
        <v>71</v>
      </c>
      <c r="F128" s="19">
        <v>1</v>
      </c>
      <c r="G128" s="20">
        <v>145</v>
      </c>
      <c r="H128" s="20">
        <f>ROUND(F128*G128, 2)</f>
        <v>145</v>
      </c>
    </row>
    <row r="129" spans="1:8" x14ac:dyDescent="0.3">
      <c r="A129" s="8" t="s">
        <v>138</v>
      </c>
      <c r="B129" s="8" t="s">
        <v>139</v>
      </c>
      <c r="C129" s="8" t="s">
        <v>96</v>
      </c>
      <c r="F129" s="19">
        <v>6</v>
      </c>
      <c r="G129" s="20">
        <v>22</v>
      </c>
      <c r="H129" s="20">
        <f>ROUND(F129*G129, 2)</f>
        <v>132</v>
      </c>
    </row>
    <row r="130" spans="1:8" x14ac:dyDescent="0.3">
      <c r="B130" s="10" t="s">
        <v>75</v>
      </c>
      <c r="H130" s="14">
        <f>SUM(H128:H129)</f>
        <v>277</v>
      </c>
    </row>
    <row r="131" spans="1:8" x14ac:dyDescent="0.3">
      <c r="B131" s="17" t="s">
        <v>76</v>
      </c>
    </row>
    <row r="132" spans="1:8" x14ac:dyDescent="0.3">
      <c r="A132" s="8" t="s">
        <v>77</v>
      </c>
      <c r="B132" s="8" t="s">
        <v>78</v>
      </c>
      <c r="C132" s="8" t="s">
        <v>79</v>
      </c>
      <c r="F132" s="21">
        <v>0.03</v>
      </c>
      <c r="G132" s="20">
        <f>H126</f>
        <v>124.80000000000001</v>
      </c>
      <c r="H132" s="20">
        <f>ROUND(F132*G132, 2)</f>
        <v>3.74</v>
      </c>
    </row>
    <row r="133" spans="1:8" x14ac:dyDescent="0.3">
      <c r="B133" s="10" t="s">
        <v>82</v>
      </c>
      <c r="H133" s="14">
        <f>SUM(H132:H132)</f>
        <v>3.74</v>
      </c>
    </row>
    <row r="134" spans="1:8" x14ac:dyDescent="0.3">
      <c r="B134" s="10" t="s">
        <v>83</v>
      </c>
      <c r="H134" s="12">
        <f>SUM(H126, H130, H133)</f>
        <v>405.54</v>
      </c>
    </row>
    <row r="136" spans="1:8" x14ac:dyDescent="0.3">
      <c r="A136" s="7" t="s">
        <v>140</v>
      </c>
      <c r="B136" s="7" t="s">
        <v>37</v>
      </c>
      <c r="F136" s="10" t="s">
        <v>52</v>
      </c>
      <c r="G136" s="14">
        <v>90</v>
      </c>
      <c r="H136" s="3" t="s">
        <v>85</v>
      </c>
    </row>
    <row r="137" spans="1:8" x14ac:dyDescent="0.3">
      <c r="A137" s="15" t="s">
        <v>54</v>
      </c>
      <c r="B137" s="16" t="s">
        <v>55</v>
      </c>
      <c r="C137" s="15" t="s">
        <v>5</v>
      </c>
      <c r="D137" s="15" t="s">
        <v>56</v>
      </c>
      <c r="E137" s="15" t="s">
        <v>57</v>
      </c>
      <c r="F137" s="15" t="s">
        <v>58</v>
      </c>
      <c r="G137" s="16" t="s">
        <v>59</v>
      </c>
      <c r="H137" s="16" t="s">
        <v>60</v>
      </c>
    </row>
    <row r="138" spans="1:8" x14ac:dyDescent="0.3">
      <c r="B138" s="17" t="s">
        <v>61</v>
      </c>
    </row>
    <row r="139" spans="1:8" x14ac:dyDescent="0.3">
      <c r="A139" s="8" t="s">
        <v>62</v>
      </c>
      <c r="B139" s="8" t="s">
        <v>63</v>
      </c>
      <c r="C139" s="8" t="s">
        <v>64</v>
      </c>
      <c r="D139" s="18">
        <v>0.2</v>
      </c>
      <c r="E139" s="18">
        <v>8</v>
      </c>
      <c r="F139" s="19">
        <f>ROUND(D139*E139/G$136, 4)</f>
        <v>1.78E-2</v>
      </c>
      <c r="G139" s="20">
        <v>32.5</v>
      </c>
      <c r="H139" s="20">
        <f>ROUND(F139*G139, 2)</f>
        <v>0.57999999999999996</v>
      </c>
    </row>
    <row r="140" spans="1:8" x14ac:dyDescent="0.3">
      <c r="A140" s="8" t="s">
        <v>86</v>
      </c>
      <c r="B140" s="8" t="s">
        <v>87</v>
      </c>
      <c r="C140" s="8" t="s">
        <v>64</v>
      </c>
      <c r="D140" s="18">
        <v>1</v>
      </c>
      <c r="E140" s="18">
        <v>8</v>
      </c>
      <c r="F140" s="19">
        <f>ROUND(D140*E140/G$136, 4)</f>
        <v>8.8900000000000007E-2</v>
      </c>
      <c r="G140" s="20">
        <v>26.8</v>
      </c>
      <c r="H140" s="20">
        <f>ROUND(F140*G140, 2)</f>
        <v>2.38</v>
      </c>
    </row>
    <row r="141" spans="1:8" x14ac:dyDescent="0.3">
      <c r="A141" s="8" t="s">
        <v>65</v>
      </c>
      <c r="B141" s="8" t="s">
        <v>66</v>
      </c>
      <c r="C141" s="8" t="s">
        <v>64</v>
      </c>
      <c r="D141" s="18">
        <v>2</v>
      </c>
      <c r="E141" s="18">
        <v>8</v>
      </c>
      <c r="F141" s="19">
        <f>ROUND(D141*E141/G$136, 4)</f>
        <v>0.17780000000000001</v>
      </c>
      <c r="G141" s="20">
        <v>20.100000000000001</v>
      </c>
      <c r="H141" s="20">
        <f>ROUND(F141*G141, 2)</f>
        <v>3.57</v>
      </c>
    </row>
    <row r="142" spans="1:8" x14ac:dyDescent="0.3">
      <c r="B142" s="10" t="s">
        <v>67</v>
      </c>
      <c r="H142" s="14">
        <f>SUM(H139:H141)</f>
        <v>6.5299999999999994</v>
      </c>
    </row>
    <row r="143" spans="1:8" x14ac:dyDescent="0.3">
      <c r="B143" s="17" t="s">
        <v>68</v>
      </c>
    </row>
    <row r="144" spans="1:8" x14ac:dyDescent="0.3">
      <c r="A144" s="8" t="s">
        <v>141</v>
      </c>
      <c r="B144" s="8" t="s">
        <v>142</v>
      </c>
      <c r="C144" s="8" t="s">
        <v>96</v>
      </c>
      <c r="F144" s="19">
        <v>1.02</v>
      </c>
      <c r="G144" s="20">
        <v>26.5</v>
      </c>
      <c r="H144" s="20">
        <f>ROUND(F144*G144, 2)</f>
        <v>27.03</v>
      </c>
    </row>
    <row r="145" spans="1:8" x14ac:dyDescent="0.3">
      <c r="A145" s="8" t="s">
        <v>143</v>
      </c>
      <c r="B145" s="8" t="s">
        <v>144</v>
      </c>
      <c r="C145" s="8" t="s">
        <v>74</v>
      </c>
      <c r="F145" s="19">
        <v>1</v>
      </c>
      <c r="G145" s="20">
        <v>5</v>
      </c>
      <c r="H145" s="20">
        <f>ROUND(F145*G145, 2)</f>
        <v>5</v>
      </c>
    </row>
    <row r="146" spans="1:8" x14ac:dyDescent="0.3">
      <c r="B146" s="10" t="s">
        <v>75</v>
      </c>
      <c r="H146" s="14">
        <f>SUM(H144:H145)</f>
        <v>32.03</v>
      </c>
    </row>
    <row r="147" spans="1:8" x14ac:dyDescent="0.3">
      <c r="B147" s="17" t="s">
        <v>76</v>
      </c>
    </row>
    <row r="148" spans="1:8" x14ac:dyDescent="0.3">
      <c r="A148" s="8" t="s">
        <v>77</v>
      </c>
      <c r="B148" s="8" t="s">
        <v>78</v>
      </c>
      <c r="C148" s="8" t="s">
        <v>79</v>
      </c>
      <c r="F148" s="21">
        <v>0.03</v>
      </c>
      <c r="G148" s="20">
        <f>H142</f>
        <v>6.5299999999999994</v>
      </c>
      <c r="H148" s="20">
        <f>ROUND(F148*G148, 2)</f>
        <v>0.2</v>
      </c>
    </row>
    <row r="149" spans="1:8" x14ac:dyDescent="0.3">
      <c r="B149" s="10" t="s">
        <v>82</v>
      </c>
      <c r="H149" s="14">
        <f>SUM(H148:H148)</f>
        <v>0.2</v>
      </c>
    </row>
    <row r="150" spans="1:8" x14ac:dyDescent="0.3">
      <c r="B150" s="10" t="s">
        <v>83</v>
      </c>
      <c r="H150" s="12">
        <f>SUM(H142, H146, H149)</f>
        <v>38.760000000000005</v>
      </c>
    </row>
    <row r="152" spans="1:8" x14ac:dyDescent="0.3">
      <c r="A152" s="7" t="s">
        <v>145</v>
      </c>
      <c r="B152" s="7" t="s">
        <v>39</v>
      </c>
      <c r="F152" s="10" t="s">
        <v>52</v>
      </c>
      <c r="G152" s="14">
        <v>8</v>
      </c>
      <c r="H152" s="3" t="s">
        <v>128</v>
      </c>
    </row>
    <row r="153" spans="1:8" x14ac:dyDescent="0.3">
      <c r="A153" s="15" t="s">
        <v>54</v>
      </c>
      <c r="B153" s="16" t="s">
        <v>55</v>
      </c>
      <c r="C153" s="15" t="s">
        <v>5</v>
      </c>
      <c r="D153" s="15" t="s">
        <v>56</v>
      </c>
      <c r="E153" s="15" t="s">
        <v>57</v>
      </c>
      <c r="F153" s="15" t="s">
        <v>58</v>
      </c>
      <c r="G153" s="16" t="s">
        <v>59</v>
      </c>
      <c r="H153" s="16" t="s">
        <v>60</v>
      </c>
    </row>
    <row r="154" spans="1:8" x14ac:dyDescent="0.3">
      <c r="B154" s="17" t="s">
        <v>61</v>
      </c>
    </row>
    <row r="155" spans="1:8" x14ac:dyDescent="0.3">
      <c r="A155" s="8" t="s">
        <v>62</v>
      </c>
      <c r="B155" s="8" t="s">
        <v>63</v>
      </c>
      <c r="C155" s="8" t="s">
        <v>64</v>
      </c>
      <c r="D155" s="18">
        <v>0.2</v>
      </c>
      <c r="E155" s="18">
        <v>8</v>
      </c>
      <c r="F155" s="19">
        <f>ROUND(D155*E155/G$152, 4)</f>
        <v>0.2</v>
      </c>
      <c r="G155" s="20">
        <v>32.5</v>
      </c>
      <c r="H155" s="20">
        <f>ROUND(F155*G155, 2)</f>
        <v>6.5</v>
      </c>
    </row>
    <row r="156" spans="1:8" x14ac:dyDescent="0.3">
      <c r="A156" s="8" t="s">
        <v>86</v>
      </c>
      <c r="B156" s="8" t="s">
        <v>87</v>
      </c>
      <c r="C156" s="8" t="s">
        <v>64</v>
      </c>
      <c r="D156" s="18">
        <v>1</v>
      </c>
      <c r="E156" s="18">
        <v>8</v>
      </c>
      <c r="F156" s="19">
        <f>ROUND(D156*E156/G$152, 4)</f>
        <v>1</v>
      </c>
      <c r="G156" s="20">
        <v>26.8</v>
      </c>
      <c r="H156" s="20">
        <f>ROUND(F156*G156, 2)</f>
        <v>26.8</v>
      </c>
    </row>
    <row r="157" spans="1:8" x14ac:dyDescent="0.3">
      <c r="A157" s="8" t="s">
        <v>65</v>
      </c>
      <c r="B157" s="8" t="s">
        <v>66</v>
      </c>
      <c r="C157" s="8" t="s">
        <v>64</v>
      </c>
      <c r="D157" s="18">
        <v>2</v>
      </c>
      <c r="E157" s="18">
        <v>8</v>
      </c>
      <c r="F157" s="19">
        <f>ROUND(D157*E157/G$152, 4)</f>
        <v>2</v>
      </c>
      <c r="G157" s="20">
        <v>20.100000000000001</v>
      </c>
      <c r="H157" s="20">
        <f>ROUND(F157*G157, 2)</f>
        <v>40.200000000000003</v>
      </c>
    </row>
    <row r="158" spans="1:8" x14ac:dyDescent="0.3">
      <c r="B158" s="10" t="s">
        <v>67</v>
      </c>
      <c r="H158" s="14">
        <f>SUM(H155:H157)</f>
        <v>73.5</v>
      </c>
    </row>
    <row r="159" spans="1:8" x14ac:dyDescent="0.3">
      <c r="B159" s="17" t="s">
        <v>68</v>
      </c>
    </row>
    <row r="160" spans="1:8" x14ac:dyDescent="0.3">
      <c r="A160" s="8" t="s">
        <v>146</v>
      </c>
      <c r="B160" s="8" t="s">
        <v>147</v>
      </c>
      <c r="C160" s="8" t="s">
        <v>71</v>
      </c>
      <c r="F160" s="19">
        <v>1</v>
      </c>
      <c r="G160" s="20">
        <v>62</v>
      </c>
      <c r="H160" s="20">
        <f>ROUND(F160*G160, 2)</f>
        <v>62</v>
      </c>
    </row>
    <row r="161" spans="1:8" x14ac:dyDescent="0.3">
      <c r="A161" s="8" t="s">
        <v>148</v>
      </c>
      <c r="B161" s="8" t="s">
        <v>149</v>
      </c>
      <c r="C161" s="8" t="s">
        <v>96</v>
      </c>
      <c r="F161" s="19">
        <v>5</v>
      </c>
      <c r="G161" s="20">
        <v>3.8</v>
      </c>
      <c r="H161" s="20">
        <f>ROUND(F161*G161, 2)</f>
        <v>19</v>
      </c>
    </row>
    <row r="162" spans="1:8" x14ac:dyDescent="0.3">
      <c r="B162" s="10" t="s">
        <v>75</v>
      </c>
      <c r="H162" s="14">
        <f>SUM(H160:H161)</f>
        <v>81</v>
      </c>
    </row>
    <row r="163" spans="1:8" x14ac:dyDescent="0.3">
      <c r="B163" s="17" t="s">
        <v>76</v>
      </c>
    </row>
    <row r="164" spans="1:8" x14ac:dyDescent="0.3">
      <c r="A164" s="8" t="s">
        <v>77</v>
      </c>
      <c r="B164" s="8" t="s">
        <v>78</v>
      </c>
      <c r="C164" s="8" t="s">
        <v>79</v>
      </c>
      <c r="F164" s="21">
        <v>0.03</v>
      </c>
      <c r="G164" s="20">
        <f>H158</f>
        <v>73.5</v>
      </c>
      <c r="H164" s="20">
        <f>ROUND(F164*G164, 2)</f>
        <v>2.21</v>
      </c>
    </row>
    <row r="165" spans="1:8" x14ac:dyDescent="0.3">
      <c r="B165" s="10" t="s">
        <v>82</v>
      </c>
      <c r="H165" s="14">
        <f>SUM(H164:H164)</f>
        <v>2.21</v>
      </c>
    </row>
    <row r="166" spans="1:8" x14ac:dyDescent="0.3">
      <c r="B166" s="10" t="s">
        <v>83</v>
      </c>
      <c r="H166" s="12">
        <f>SUM(H158, H162, H165)</f>
        <v>156.71</v>
      </c>
    </row>
    <row r="168" spans="1:8" x14ac:dyDescent="0.3">
      <c r="A168" s="7" t="s">
        <v>150</v>
      </c>
      <c r="B168" s="7" t="s">
        <v>43</v>
      </c>
      <c r="F168" s="10" t="s">
        <v>52</v>
      </c>
      <c r="G168" s="14">
        <v>1</v>
      </c>
      <c r="H168" s="3" t="s">
        <v>53</v>
      </c>
    </row>
    <row r="169" spans="1:8" x14ac:dyDescent="0.3">
      <c r="A169" s="15" t="s">
        <v>54</v>
      </c>
      <c r="B169" s="16" t="s">
        <v>55</v>
      </c>
      <c r="C169" s="15" t="s">
        <v>5</v>
      </c>
      <c r="D169" s="15" t="s">
        <v>56</v>
      </c>
      <c r="E169" s="15" t="s">
        <v>57</v>
      </c>
      <c r="F169" s="15" t="s">
        <v>58</v>
      </c>
      <c r="G169" s="16" t="s">
        <v>59</v>
      </c>
      <c r="H169" s="16" t="s">
        <v>60</v>
      </c>
    </row>
    <row r="170" spans="1:8" x14ac:dyDescent="0.3">
      <c r="B170" s="17" t="s">
        <v>61</v>
      </c>
    </row>
    <row r="171" spans="1:8" x14ac:dyDescent="0.3">
      <c r="A171" s="8" t="s">
        <v>62</v>
      </c>
      <c r="B171" s="8" t="s">
        <v>63</v>
      </c>
      <c r="C171" s="8" t="s">
        <v>64</v>
      </c>
      <c r="D171" s="18">
        <v>0.5</v>
      </c>
      <c r="E171" s="18">
        <v>8</v>
      </c>
      <c r="F171" s="19">
        <f>ROUND(D171*E171/G$168, 4)</f>
        <v>4</v>
      </c>
      <c r="G171" s="20">
        <v>32.5</v>
      </c>
      <c r="H171" s="20">
        <f>ROUND(F171*G171, 2)</f>
        <v>130</v>
      </c>
    </row>
    <row r="172" spans="1:8" x14ac:dyDescent="0.3">
      <c r="A172" s="8" t="s">
        <v>86</v>
      </c>
      <c r="B172" s="8" t="s">
        <v>87</v>
      </c>
      <c r="C172" s="8" t="s">
        <v>64</v>
      </c>
      <c r="D172" s="18">
        <v>2</v>
      </c>
      <c r="E172" s="18">
        <v>8</v>
      </c>
      <c r="F172" s="19">
        <f>ROUND(D172*E172/G$168, 4)</f>
        <v>16</v>
      </c>
      <c r="G172" s="20">
        <v>26.8</v>
      </c>
      <c r="H172" s="20">
        <f>ROUND(F172*G172, 2)</f>
        <v>428.8</v>
      </c>
    </row>
    <row r="173" spans="1:8" x14ac:dyDescent="0.3">
      <c r="A173" s="8" t="s">
        <v>65</v>
      </c>
      <c r="B173" s="8" t="s">
        <v>66</v>
      </c>
      <c r="C173" s="8" t="s">
        <v>64</v>
      </c>
      <c r="D173" s="18">
        <v>4</v>
      </c>
      <c r="E173" s="18">
        <v>8</v>
      </c>
      <c r="F173" s="19">
        <f>ROUND(D173*E173/G$168, 4)</f>
        <v>32</v>
      </c>
      <c r="G173" s="20">
        <v>20.100000000000001</v>
      </c>
      <c r="H173" s="20">
        <f>ROUND(F173*G173, 2)</f>
        <v>643.20000000000005</v>
      </c>
    </row>
    <row r="174" spans="1:8" x14ac:dyDescent="0.3">
      <c r="B174" s="10" t="s">
        <v>67</v>
      </c>
      <c r="H174" s="14">
        <f>SUM(H171:H173)</f>
        <v>1202</v>
      </c>
    </row>
    <row r="175" spans="1:8" x14ac:dyDescent="0.3">
      <c r="B175" s="17" t="s">
        <v>68</v>
      </c>
    </row>
    <row r="176" spans="1:8" x14ac:dyDescent="0.3">
      <c r="A176" s="8" t="s">
        <v>151</v>
      </c>
      <c r="B176" s="8" t="s">
        <v>152</v>
      </c>
      <c r="C176" s="8" t="s">
        <v>115</v>
      </c>
      <c r="F176" s="19">
        <v>50</v>
      </c>
      <c r="G176" s="20">
        <v>35</v>
      </c>
      <c r="H176" s="20">
        <f>ROUND(F176*G176, 2)</f>
        <v>1750</v>
      </c>
    </row>
    <row r="177" spans="1:8" x14ac:dyDescent="0.3">
      <c r="A177" s="8" t="s">
        <v>119</v>
      </c>
      <c r="B177" s="8" t="s">
        <v>120</v>
      </c>
      <c r="C177" s="8" t="s">
        <v>107</v>
      </c>
      <c r="F177" s="19">
        <v>100</v>
      </c>
      <c r="G177" s="20">
        <v>12</v>
      </c>
      <c r="H177" s="20">
        <f>ROUND(F177*G177, 2)</f>
        <v>1200</v>
      </c>
    </row>
    <row r="178" spans="1:8" x14ac:dyDescent="0.3">
      <c r="B178" s="10" t="s">
        <v>75</v>
      </c>
      <c r="H178" s="14">
        <f>SUM(H176:H177)</f>
        <v>2950</v>
      </c>
    </row>
    <row r="179" spans="1:8" x14ac:dyDescent="0.3">
      <c r="B179" s="17" t="s">
        <v>76</v>
      </c>
    </row>
    <row r="180" spans="1:8" x14ac:dyDescent="0.3">
      <c r="A180" s="8" t="s">
        <v>153</v>
      </c>
      <c r="B180" s="8" t="s">
        <v>154</v>
      </c>
      <c r="C180" s="8" t="s">
        <v>99</v>
      </c>
      <c r="D180" s="18">
        <v>1</v>
      </c>
      <c r="E180" s="18">
        <v>8</v>
      </c>
      <c r="F180" s="19">
        <f>ROUND(D180*E180/G$168, 4)</f>
        <v>8</v>
      </c>
      <c r="G180" s="20">
        <v>30</v>
      </c>
      <c r="H180" s="20">
        <f>ROUND(F180*G180, 2)</f>
        <v>240</v>
      </c>
    </row>
    <row r="181" spans="1:8" x14ac:dyDescent="0.3">
      <c r="A181" s="8" t="s">
        <v>155</v>
      </c>
      <c r="B181" s="8" t="s">
        <v>156</v>
      </c>
      <c r="C181" s="8" t="s">
        <v>99</v>
      </c>
      <c r="D181" s="18">
        <v>1</v>
      </c>
      <c r="E181" s="18">
        <v>8</v>
      </c>
      <c r="F181" s="19">
        <f>ROUND(D181*E181/G$168, 4)</f>
        <v>8</v>
      </c>
      <c r="G181" s="20">
        <v>140</v>
      </c>
      <c r="H181" s="20">
        <f>ROUND(F181*G181, 2)</f>
        <v>1120</v>
      </c>
    </row>
    <row r="182" spans="1:8" x14ac:dyDescent="0.3">
      <c r="A182" s="8" t="s">
        <v>77</v>
      </c>
      <c r="B182" s="8" t="s">
        <v>78</v>
      </c>
      <c r="C182" s="8" t="s">
        <v>79</v>
      </c>
      <c r="F182" s="21">
        <v>0.03</v>
      </c>
      <c r="G182" s="20">
        <f>H174</f>
        <v>1202</v>
      </c>
      <c r="H182" s="20">
        <f>ROUND(F182*G182, 2)</f>
        <v>36.06</v>
      </c>
    </row>
    <row r="183" spans="1:8" x14ac:dyDescent="0.3">
      <c r="A183" s="8" t="s">
        <v>157</v>
      </c>
      <c r="B183" s="8" t="s">
        <v>158</v>
      </c>
      <c r="C183" s="8" t="s">
        <v>74</v>
      </c>
      <c r="F183" s="19">
        <v>1</v>
      </c>
      <c r="G183" s="20">
        <v>3800</v>
      </c>
      <c r="H183" s="20">
        <f>ROUND(F183*G183, 2)</f>
        <v>3800</v>
      </c>
    </row>
    <row r="184" spans="1:8" x14ac:dyDescent="0.3">
      <c r="B184" s="10" t="s">
        <v>82</v>
      </c>
      <c r="H184" s="14">
        <f>SUM(H180:H183)</f>
        <v>5196.0599999999995</v>
      </c>
    </row>
    <row r="185" spans="1:8" x14ac:dyDescent="0.3">
      <c r="B185" s="10" t="s">
        <v>83</v>
      </c>
      <c r="H185" s="12">
        <f>SUM(H174, H178, H184)</f>
        <v>9348.06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8"/>
  <sheetViews>
    <sheetView tabSelected="1" topLeftCell="A4" workbookViewId="0">
      <selection activeCell="F9" sqref="F9"/>
    </sheetView>
  </sheetViews>
  <sheetFormatPr baseColWidth="10" defaultColWidth="8.88671875" defaultRowHeight="14.4" x14ac:dyDescent="0.3"/>
  <cols>
    <col min="1" max="1" width="25" customWidth="1"/>
    <col min="2" max="2" width="65" customWidth="1"/>
    <col min="3" max="3" width="16" customWidth="1"/>
    <col min="4" max="4" width="12" customWidth="1"/>
    <col min="5" max="5" width="24" customWidth="1"/>
    <col min="6" max="6" width="21" customWidth="1"/>
    <col min="7" max="7" width="22" customWidth="1"/>
    <col min="8" max="8" width="19" customWidth="1"/>
  </cols>
  <sheetData>
    <row r="1" spans="1:8" ht="17.399999999999999" x14ac:dyDescent="0.3">
      <c r="A1" s="1" t="s">
        <v>159</v>
      </c>
    </row>
    <row r="2" spans="1:8" x14ac:dyDescent="0.3">
      <c r="A2" s="2" t="s">
        <v>1</v>
      </c>
    </row>
    <row r="4" spans="1:8" x14ac:dyDescent="0.3">
      <c r="A4" s="15" t="s">
        <v>160</v>
      </c>
      <c r="B4" s="16" t="s">
        <v>161</v>
      </c>
      <c r="C4" s="15" t="s">
        <v>162</v>
      </c>
      <c r="D4" s="15" t="s">
        <v>5</v>
      </c>
      <c r="E4" s="15" t="s">
        <v>163</v>
      </c>
      <c r="F4" s="22" t="s">
        <v>164</v>
      </c>
      <c r="G4" s="22" t="s">
        <v>165</v>
      </c>
      <c r="H4" s="22" t="s">
        <v>166</v>
      </c>
    </row>
    <row r="5" spans="1:8" x14ac:dyDescent="0.3">
      <c r="A5" s="8" t="s">
        <v>153</v>
      </c>
      <c r="B5" s="8" t="s">
        <v>154</v>
      </c>
      <c r="C5" s="8" t="s">
        <v>167</v>
      </c>
      <c r="D5" s="8" t="s">
        <v>99</v>
      </c>
      <c r="E5" s="23"/>
      <c r="F5" s="9">
        <v>30</v>
      </c>
      <c r="G5" s="9">
        <f t="shared" ref="G5:G37" si="0">ROUND(E5*F5, 2)</f>
        <v>0</v>
      </c>
      <c r="H5" s="24">
        <f>G5/'01. Presupuesto Base'!F$23</f>
        <v>0</v>
      </c>
    </row>
    <row r="6" spans="1:8" x14ac:dyDescent="0.3">
      <c r="A6" s="8" t="s">
        <v>155</v>
      </c>
      <c r="B6" s="8" t="s">
        <v>156</v>
      </c>
      <c r="C6" s="8" t="s">
        <v>167</v>
      </c>
      <c r="D6" s="8" t="s">
        <v>99</v>
      </c>
      <c r="E6" s="23"/>
      <c r="F6" s="9">
        <v>140</v>
      </c>
      <c r="G6" s="9">
        <f t="shared" si="0"/>
        <v>0</v>
      </c>
      <c r="H6" s="24">
        <f>G6/'01. Presupuesto Base'!F$23</f>
        <v>0</v>
      </c>
    </row>
    <row r="7" spans="1:8" x14ac:dyDescent="0.3">
      <c r="A7" s="8" t="s">
        <v>131</v>
      </c>
      <c r="B7" s="8" t="s">
        <v>132</v>
      </c>
      <c r="C7" s="8" t="s">
        <v>167</v>
      </c>
      <c r="D7" s="8" t="s">
        <v>99</v>
      </c>
      <c r="E7" s="23"/>
      <c r="F7" s="9">
        <v>160</v>
      </c>
      <c r="G7" s="9">
        <f t="shared" si="0"/>
        <v>0</v>
      </c>
      <c r="H7" s="24">
        <f>G7/'01. Presupuesto Base'!F$23</f>
        <v>0</v>
      </c>
    </row>
    <row r="8" spans="1:8" x14ac:dyDescent="0.3">
      <c r="A8" s="8" t="s">
        <v>97</v>
      </c>
      <c r="B8" s="8" t="s">
        <v>98</v>
      </c>
      <c r="C8" s="8" t="s">
        <v>167</v>
      </c>
      <c r="D8" s="8" t="s">
        <v>99</v>
      </c>
      <c r="E8" s="23"/>
      <c r="F8" s="9">
        <v>18</v>
      </c>
      <c r="G8" s="9">
        <f t="shared" si="0"/>
        <v>0</v>
      </c>
      <c r="H8" s="24">
        <f>G8/'01. Presupuesto Base'!F$23</f>
        <v>0</v>
      </c>
    </row>
    <row r="9" spans="1:8" x14ac:dyDescent="0.3">
      <c r="A9" s="8" t="s">
        <v>102</v>
      </c>
      <c r="B9" s="8" t="s">
        <v>103</v>
      </c>
      <c r="C9" s="8" t="s">
        <v>167</v>
      </c>
      <c r="D9" s="8" t="s">
        <v>99</v>
      </c>
      <c r="E9" s="23"/>
      <c r="F9" s="9">
        <v>185</v>
      </c>
      <c r="G9" s="9">
        <f t="shared" si="0"/>
        <v>0</v>
      </c>
      <c r="H9" s="24">
        <f>G9/'01. Presupuesto Base'!F$23</f>
        <v>0</v>
      </c>
    </row>
    <row r="10" spans="1:8" x14ac:dyDescent="0.3">
      <c r="A10" s="8" t="s">
        <v>123</v>
      </c>
      <c r="B10" s="8" t="s">
        <v>124</v>
      </c>
      <c r="C10" s="8" t="s">
        <v>167</v>
      </c>
      <c r="D10" s="8" t="s">
        <v>99</v>
      </c>
      <c r="E10" s="23"/>
      <c r="F10" s="9">
        <v>25</v>
      </c>
      <c r="G10" s="9">
        <f t="shared" si="0"/>
        <v>0</v>
      </c>
      <c r="H10" s="24">
        <f>G10/'01. Presupuesto Base'!F$23</f>
        <v>0</v>
      </c>
    </row>
    <row r="11" spans="1:8" x14ac:dyDescent="0.3">
      <c r="A11" s="8" t="s">
        <v>121</v>
      </c>
      <c r="B11" s="8" t="s">
        <v>122</v>
      </c>
      <c r="C11" s="8" t="s">
        <v>167</v>
      </c>
      <c r="D11" s="8" t="s">
        <v>99</v>
      </c>
      <c r="E11" s="23"/>
      <c r="F11" s="9">
        <v>130</v>
      </c>
      <c r="G11" s="9">
        <f t="shared" si="0"/>
        <v>0</v>
      </c>
      <c r="H11" s="24">
        <f>G11/'01. Presupuesto Base'!F$23</f>
        <v>0</v>
      </c>
    </row>
    <row r="12" spans="1:8" x14ac:dyDescent="0.3">
      <c r="A12" s="8" t="s">
        <v>143</v>
      </c>
      <c r="B12" s="8" t="s">
        <v>144</v>
      </c>
      <c r="C12" s="8" t="s">
        <v>168</v>
      </c>
      <c r="D12" s="8" t="s">
        <v>74</v>
      </c>
      <c r="E12" s="23"/>
      <c r="F12" s="9">
        <v>5</v>
      </c>
      <c r="G12" s="9">
        <f t="shared" si="0"/>
        <v>0</v>
      </c>
      <c r="H12" s="24">
        <f>G12/'01. Presupuesto Base'!F$23</f>
        <v>0</v>
      </c>
    </row>
    <row r="13" spans="1:8" x14ac:dyDescent="0.3">
      <c r="A13" s="8" t="s">
        <v>119</v>
      </c>
      <c r="B13" s="8" t="s">
        <v>120</v>
      </c>
      <c r="C13" s="8" t="s">
        <v>168</v>
      </c>
      <c r="D13" s="8" t="s">
        <v>107</v>
      </c>
      <c r="E13" s="23"/>
      <c r="F13" s="9">
        <v>12</v>
      </c>
      <c r="G13" s="9">
        <f t="shared" si="0"/>
        <v>0</v>
      </c>
      <c r="H13" s="24">
        <f>G13/'01. Presupuesto Base'!F$23</f>
        <v>0</v>
      </c>
    </row>
    <row r="14" spans="1:8" x14ac:dyDescent="0.3">
      <c r="A14" s="8" t="s">
        <v>105</v>
      </c>
      <c r="B14" s="8" t="s">
        <v>106</v>
      </c>
      <c r="C14" s="8" t="s">
        <v>168</v>
      </c>
      <c r="D14" s="8" t="s">
        <v>107</v>
      </c>
      <c r="E14" s="23"/>
      <c r="F14" s="9">
        <v>45</v>
      </c>
      <c r="G14" s="9">
        <f t="shared" si="0"/>
        <v>0</v>
      </c>
      <c r="H14" s="24">
        <f>G14/'01. Presupuesto Base'!F$23</f>
        <v>0</v>
      </c>
    </row>
    <row r="15" spans="1:8" x14ac:dyDescent="0.3">
      <c r="A15" s="8" t="s">
        <v>129</v>
      </c>
      <c r="B15" s="8" t="s">
        <v>130</v>
      </c>
      <c r="C15" s="8" t="s">
        <v>168</v>
      </c>
      <c r="D15" s="8" t="s">
        <v>71</v>
      </c>
      <c r="E15" s="23"/>
      <c r="F15" s="9">
        <v>1050</v>
      </c>
      <c r="G15" s="9">
        <f t="shared" si="0"/>
        <v>0</v>
      </c>
      <c r="H15" s="24">
        <f>G15/'01. Presupuesto Base'!F$23</f>
        <v>0</v>
      </c>
    </row>
    <row r="16" spans="1:8" x14ac:dyDescent="0.3">
      <c r="A16" s="8" t="s">
        <v>146</v>
      </c>
      <c r="B16" s="8" t="s">
        <v>147</v>
      </c>
      <c r="C16" s="8" t="s">
        <v>168</v>
      </c>
      <c r="D16" s="8" t="s">
        <v>71</v>
      </c>
      <c r="E16" s="23"/>
      <c r="F16" s="9">
        <v>62</v>
      </c>
      <c r="G16" s="9">
        <f t="shared" si="0"/>
        <v>0</v>
      </c>
      <c r="H16" s="24">
        <f>G16/'01. Presupuesto Base'!F$23</f>
        <v>0</v>
      </c>
    </row>
    <row r="17" spans="1:8" x14ac:dyDescent="0.3">
      <c r="A17" s="8" t="s">
        <v>136</v>
      </c>
      <c r="B17" s="8" t="s">
        <v>137</v>
      </c>
      <c r="C17" s="8" t="s">
        <v>168</v>
      </c>
      <c r="D17" s="8" t="s">
        <v>71</v>
      </c>
      <c r="E17" s="23"/>
      <c r="F17" s="9">
        <v>145</v>
      </c>
      <c r="G17" s="9">
        <f t="shared" si="0"/>
        <v>0</v>
      </c>
      <c r="H17" s="24">
        <f>G17/'01. Presupuesto Base'!F$23</f>
        <v>0</v>
      </c>
    </row>
    <row r="18" spans="1:8" x14ac:dyDescent="0.3">
      <c r="A18" s="8" t="s">
        <v>69</v>
      </c>
      <c r="B18" s="8" t="s">
        <v>70</v>
      </c>
      <c r="C18" s="8" t="s">
        <v>168</v>
      </c>
      <c r="D18" s="8" t="s">
        <v>71</v>
      </c>
      <c r="E18" s="23"/>
      <c r="F18" s="9">
        <v>1200</v>
      </c>
      <c r="G18" s="9">
        <f t="shared" si="0"/>
        <v>0</v>
      </c>
      <c r="H18" s="24">
        <f>G18/'01. Presupuesto Base'!F$23</f>
        <v>0</v>
      </c>
    </row>
    <row r="19" spans="1:8" x14ac:dyDescent="0.3">
      <c r="A19" s="8" t="s">
        <v>72</v>
      </c>
      <c r="B19" s="8" t="s">
        <v>73</v>
      </c>
      <c r="C19" s="8" t="s">
        <v>168</v>
      </c>
      <c r="D19" s="8" t="s">
        <v>74</v>
      </c>
      <c r="E19" s="23"/>
      <c r="F19" s="9">
        <v>2300</v>
      </c>
      <c r="G19" s="9">
        <f t="shared" si="0"/>
        <v>0</v>
      </c>
      <c r="H19" s="24">
        <f>G19/'01. Presupuesto Base'!F$23</f>
        <v>0</v>
      </c>
    </row>
    <row r="20" spans="1:8" x14ac:dyDescent="0.3">
      <c r="A20" s="8" t="s">
        <v>94</v>
      </c>
      <c r="B20" s="8" t="s">
        <v>95</v>
      </c>
      <c r="C20" s="8" t="s">
        <v>168</v>
      </c>
      <c r="D20" s="8" t="s">
        <v>96</v>
      </c>
      <c r="E20" s="23"/>
      <c r="F20" s="9">
        <v>0.8</v>
      </c>
      <c r="G20" s="9">
        <f t="shared" si="0"/>
        <v>0</v>
      </c>
      <c r="H20" s="24">
        <f>G20/'01. Presupuesto Base'!F$23</f>
        <v>0</v>
      </c>
    </row>
    <row r="21" spans="1:8" x14ac:dyDescent="0.3">
      <c r="A21" s="8" t="s">
        <v>88</v>
      </c>
      <c r="B21" s="8" t="s">
        <v>89</v>
      </c>
      <c r="C21" s="8" t="s">
        <v>168</v>
      </c>
      <c r="D21" s="8" t="s">
        <v>90</v>
      </c>
      <c r="E21" s="23"/>
      <c r="F21" s="9">
        <v>4.5</v>
      </c>
      <c r="G21" s="9">
        <f t="shared" si="0"/>
        <v>0</v>
      </c>
      <c r="H21" s="24">
        <f>G21/'01. Presupuesto Base'!F$23</f>
        <v>0</v>
      </c>
    </row>
    <row r="22" spans="1:8" x14ac:dyDescent="0.3">
      <c r="A22" s="8" t="s">
        <v>151</v>
      </c>
      <c r="B22" s="8" t="s">
        <v>152</v>
      </c>
      <c r="C22" s="8" t="s">
        <v>168</v>
      </c>
      <c r="D22" s="8" t="s">
        <v>115</v>
      </c>
      <c r="E22" s="23"/>
      <c r="F22" s="9">
        <v>35</v>
      </c>
      <c r="G22" s="9">
        <f t="shared" si="0"/>
        <v>0</v>
      </c>
      <c r="H22" s="24">
        <f>G22/'01. Presupuesto Base'!F$23</f>
        <v>0</v>
      </c>
    </row>
    <row r="23" spans="1:8" x14ac:dyDescent="0.3">
      <c r="A23" s="8" t="s">
        <v>113</v>
      </c>
      <c r="B23" s="8" t="s">
        <v>114</v>
      </c>
      <c r="C23" s="8" t="s">
        <v>168</v>
      </c>
      <c r="D23" s="8" t="s">
        <v>115</v>
      </c>
      <c r="E23" s="23"/>
      <c r="F23" s="9">
        <v>24</v>
      </c>
      <c r="G23" s="9">
        <f t="shared" si="0"/>
        <v>0</v>
      </c>
      <c r="H23" s="24">
        <f>G23/'01. Presupuesto Base'!F$23</f>
        <v>0</v>
      </c>
    </row>
    <row r="24" spans="1:8" x14ac:dyDescent="0.3">
      <c r="A24" s="8" t="s">
        <v>117</v>
      </c>
      <c r="B24" s="8" t="s">
        <v>118</v>
      </c>
      <c r="C24" s="8" t="s">
        <v>168</v>
      </c>
      <c r="D24" s="8" t="s">
        <v>107</v>
      </c>
      <c r="E24" s="23"/>
      <c r="F24" s="9">
        <v>38</v>
      </c>
      <c r="G24" s="9">
        <f t="shared" si="0"/>
        <v>0</v>
      </c>
      <c r="H24" s="24">
        <f>G24/'01. Presupuesto Base'!F$23</f>
        <v>0</v>
      </c>
    </row>
    <row r="25" spans="1:8" x14ac:dyDescent="0.3">
      <c r="A25" s="8" t="s">
        <v>91</v>
      </c>
      <c r="B25" s="8" t="s">
        <v>92</v>
      </c>
      <c r="C25" s="8" t="s">
        <v>168</v>
      </c>
      <c r="D25" s="8" t="s">
        <v>93</v>
      </c>
      <c r="E25" s="23"/>
      <c r="F25" s="9">
        <v>18</v>
      </c>
      <c r="G25" s="9">
        <f t="shared" si="0"/>
        <v>0</v>
      </c>
      <c r="H25" s="24">
        <f>G25/'01. Presupuesto Base'!F$23</f>
        <v>0</v>
      </c>
    </row>
    <row r="26" spans="1:8" x14ac:dyDescent="0.3">
      <c r="A26" s="8" t="s">
        <v>148</v>
      </c>
      <c r="B26" s="8" t="s">
        <v>149</v>
      </c>
      <c r="C26" s="8" t="s">
        <v>168</v>
      </c>
      <c r="D26" s="8" t="s">
        <v>96</v>
      </c>
      <c r="E26" s="23"/>
      <c r="F26" s="9">
        <v>3.8</v>
      </c>
      <c r="G26" s="9">
        <f t="shared" si="0"/>
        <v>0</v>
      </c>
      <c r="H26" s="24">
        <f>G26/'01. Presupuesto Base'!F$23</f>
        <v>0</v>
      </c>
    </row>
    <row r="27" spans="1:8" x14ac:dyDescent="0.3">
      <c r="A27" s="8" t="s">
        <v>141</v>
      </c>
      <c r="B27" s="8" t="s">
        <v>142</v>
      </c>
      <c r="C27" s="8" t="s">
        <v>168</v>
      </c>
      <c r="D27" s="8" t="s">
        <v>96</v>
      </c>
      <c r="E27" s="23"/>
      <c r="F27" s="9">
        <v>26.5</v>
      </c>
      <c r="G27" s="9">
        <f t="shared" si="0"/>
        <v>0</v>
      </c>
      <c r="H27" s="24">
        <f>G27/'01. Presupuesto Base'!F$23</f>
        <v>0</v>
      </c>
    </row>
    <row r="28" spans="1:8" x14ac:dyDescent="0.3">
      <c r="A28" s="8" t="s">
        <v>138</v>
      </c>
      <c r="B28" s="8" t="s">
        <v>139</v>
      </c>
      <c r="C28" s="8" t="s">
        <v>168</v>
      </c>
      <c r="D28" s="8" t="s">
        <v>96</v>
      </c>
      <c r="E28" s="23"/>
      <c r="F28" s="9">
        <v>22</v>
      </c>
      <c r="G28" s="9">
        <f t="shared" si="0"/>
        <v>0</v>
      </c>
      <c r="H28" s="24">
        <f>G28/'01. Presupuesto Base'!F$23</f>
        <v>0</v>
      </c>
    </row>
    <row r="29" spans="1:8" x14ac:dyDescent="0.3">
      <c r="A29" s="8" t="s">
        <v>111</v>
      </c>
      <c r="B29" s="8" t="s">
        <v>112</v>
      </c>
      <c r="C29" s="8" t="s">
        <v>168</v>
      </c>
      <c r="D29" s="8" t="s">
        <v>96</v>
      </c>
      <c r="E29" s="23"/>
      <c r="F29" s="9">
        <v>42</v>
      </c>
      <c r="G29" s="9">
        <f t="shared" si="0"/>
        <v>0</v>
      </c>
      <c r="H29" s="24">
        <f>G29/'01. Presupuesto Base'!F$23</f>
        <v>0</v>
      </c>
    </row>
    <row r="30" spans="1:8" x14ac:dyDescent="0.3">
      <c r="A30" s="8" t="s">
        <v>62</v>
      </c>
      <c r="B30" s="8" t="s">
        <v>63</v>
      </c>
      <c r="C30" s="8" t="s">
        <v>169</v>
      </c>
      <c r="D30" s="8" t="s">
        <v>64</v>
      </c>
      <c r="E30" s="23"/>
      <c r="F30" s="9">
        <v>32.5</v>
      </c>
      <c r="G30" s="9">
        <f t="shared" si="0"/>
        <v>0</v>
      </c>
      <c r="H30" s="24">
        <f>G30/'01. Presupuesto Base'!F$23</f>
        <v>0</v>
      </c>
    </row>
    <row r="31" spans="1:8" x14ac:dyDescent="0.3">
      <c r="A31" s="8" t="s">
        <v>109</v>
      </c>
      <c r="B31" s="8" t="s">
        <v>110</v>
      </c>
      <c r="C31" s="8" t="s">
        <v>169</v>
      </c>
      <c r="D31" s="8" t="s">
        <v>64</v>
      </c>
      <c r="E31" s="23"/>
      <c r="F31" s="9">
        <v>22.4</v>
      </c>
      <c r="G31" s="9">
        <f t="shared" si="0"/>
        <v>0</v>
      </c>
      <c r="H31" s="24">
        <f>G31/'01. Presupuesto Base'!F$23</f>
        <v>0</v>
      </c>
    </row>
    <row r="32" spans="1:8" x14ac:dyDescent="0.3">
      <c r="A32" s="8" t="s">
        <v>86</v>
      </c>
      <c r="B32" s="8" t="s">
        <v>87</v>
      </c>
      <c r="C32" s="8" t="s">
        <v>169</v>
      </c>
      <c r="D32" s="8" t="s">
        <v>64</v>
      </c>
      <c r="E32" s="23"/>
      <c r="F32" s="9">
        <v>26.8</v>
      </c>
      <c r="G32" s="9">
        <f t="shared" si="0"/>
        <v>0</v>
      </c>
      <c r="H32" s="24">
        <f>G32/'01. Presupuesto Base'!F$23</f>
        <v>0</v>
      </c>
    </row>
    <row r="33" spans="1:8" x14ac:dyDescent="0.3">
      <c r="A33" s="8" t="s">
        <v>65</v>
      </c>
      <c r="B33" s="8" t="s">
        <v>66</v>
      </c>
      <c r="C33" s="8" t="s">
        <v>169</v>
      </c>
      <c r="D33" s="8" t="s">
        <v>64</v>
      </c>
      <c r="E33" s="23"/>
      <c r="F33" s="9">
        <v>20.100000000000001</v>
      </c>
      <c r="G33" s="9">
        <f t="shared" si="0"/>
        <v>0</v>
      </c>
      <c r="H33" s="24">
        <f>G33/'01. Presupuesto Base'!F$23</f>
        <v>0</v>
      </c>
    </row>
    <row r="34" spans="1:8" x14ac:dyDescent="0.3">
      <c r="A34" s="8" t="s">
        <v>125</v>
      </c>
      <c r="B34" s="8" t="s">
        <v>126</v>
      </c>
      <c r="C34" s="8" t="s">
        <v>170</v>
      </c>
      <c r="D34" s="8" t="s">
        <v>71</v>
      </c>
      <c r="E34" s="23"/>
      <c r="F34" s="9">
        <v>80</v>
      </c>
      <c r="G34" s="9">
        <f t="shared" si="0"/>
        <v>0</v>
      </c>
      <c r="H34" s="24">
        <f>G34/'01. Presupuesto Base'!F$23</f>
        <v>0</v>
      </c>
    </row>
    <row r="35" spans="1:8" x14ac:dyDescent="0.3">
      <c r="A35" s="8" t="s">
        <v>133</v>
      </c>
      <c r="B35" s="8" t="s">
        <v>134</v>
      </c>
      <c r="C35" s="8" t="s">
        <v>170</v>
      </c>
      <c r="D35" s="8" t="s">
        <v>71</v>
      </c>
      <c r="E35" s="23"/>
      <c r="F35" s="9">
        <v>250</v>
      </c>
      <c r="G35" s="9">
        <f t="shared" si="0"/>
        <v>0</v>
      </c>
      <c r="H35" s="24">
        <f>G35/'01. Presupuesto Base'!F$23</f>
        <v>0</v>
      </c>
    </row>
    <row r="36" spans="1:8" x14ac:dyDescent="0.3">
      <c r="A36" s="8" t="s">
        <v>80</v>
      </c>
      <c r="B36" s="8" t="s">
        <v>81</v>
      </c>
      <c r="C36" s="8" t="s">
        <v>170</v>
      </c>
      <c r="D36" s="8" t="s">
        <v>74</v>
      </c>
      <c r="E36" s="23"/>
      <c r="F36" s="9">
        <v>4000</v>
      </c>
      <c r="G36" s="9">
        <f t="shared" si="0"/>
        <v>0</v>
      </c>
      <c r="H36" s="24">
        <f>G36/'01. Presupuesto Base'!F$23</f>
        <v>0</v>
      </c>
    </row>
    <row r="37" spans="1:8" x14ac:dyDescent="0.3">
      <c r="A37" s="8" t="s">
        <v>157</v>
      </c>
      <c r="B37" s="8" t="s">
        <v>158</v>
      </c>
      <c r="C37" s="8" t="s">
        <v>170</v>
      </c>
      <c r="D37" s="8" t="s">
        <v>74</v>
      </c>
      <c r="E37" s="23"/>
      <c r="F37" s="9">
        <v>3800</v>
      </c>
      <c r="G37" s="9">
        <f t="shared" si="0"/>
        <v>0</v>
      </c>
      <c r="H37" s="24">
        <f>G37/'01. Presupuesto Base'!F$23</f>
        <v>0</v>
      </c>
    </row>
    <row r="38" spans="1:8" x14ac:dyDescent="0.3">
      <c r="B38" s="10" t="s">
        <v>171</v>
      </c>
      <c r="G38" s="12">
        <f>SUM(G5:G37)</f>
        <v>0</v>
      </c>
      <c r="H38" s="25">
        <f>SUM(H5:H37)</f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01. Presupuesto Base</vt:lpstr>
      <vt:lpstr>02. Analisis de PU</vt:lpstr>
      <vt:lpstr>03. Listado de 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Aurelio Solorzano Rios</cp:lastModifiedBy>
  <dcterms:created xsi:type="dcterms:W3CDTF">2026-07-26T19:32:49Z</dcterms:created>
  <dcterms:modified xsi:type="dcterms:W3CDTF">2026-07-26T21:00:09Z</dcterms:modified>
</cp:coreProperties>
</file>