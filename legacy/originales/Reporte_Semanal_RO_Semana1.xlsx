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gentes de IA\Habilitación urbana\"/>
    </mc:Choice>
  </mc:AlternateContent>
  <xr:revisionPtr revIDLastSave="0" documentId="13_ncr:1_{2D0E06BA-B8A0-4CF5-9DD6-017C2310A5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ol Semanal RO - Sem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7" i="1" l="1"/>
  <c r="K17" i="1"/>
  <c r="I17" i="1"/>
  <c r="H17" i="1"/>
  <c r="G17" i="1"/>
  <c r="F17" i="1"/>
  <c r="M16" i="1"/>
  <c r="L16" i="1"/>
  <c r="N16" i="1" s="1"/>
  <c r="O16" i="1" s="1"/>
  <c r="K16" i="1"/>
  <c r="J16" i="1"/>
  <c r="M15" i="1"/>
  <c r="L15" i="1"/>
  <c r="N15" i="1" s="1"/>
  <c r="O15" i="1" s="1"/>
  <c r="K15" i="1"/>
  <c r="J15" i="1"/>
  <c r="M14" i="1"/>
  <c r="L14" i="1"/>
  <c r="N14" i="1" s="1"/>
  <c r="O14" i="1" s="1"/>
  <c r="K14" i="1"/>
  <c r="J14" i="1"/>
  <c r="N13" i="1"/>
  <c r="O13" i="1" s="1"/>
  <c r="M13" i="1"/>
  <c r="L13" i="1"/>
  <c r="K13" i="1"/>
  <c r="J13" i="1"/>
  <c r="M12" i="1"/>
  <c r="L12" i="1"/>
  <c r="N12" i="1" s="1"/>
  <c r="O12" i="1" s="1"/>
  <c r="K12" i="1"/>
  <c r="J12" i="1"/>
  <c r="M11" i="1"/>
  <c r="L11" i="1"/>
  <c r="N11" i="1" s="1"/>
  <c r="O11" i="1" s="1"/>
  <c r="K11" i="1"/>
  <c r="J11" i="1"/>
  <c r="N10" i="1"/>
  <c r="O10" i="1" s="1"/>
  <c r="M10" i="1"/>
  <c r="L10" i="1"/>
  <c r="K10" i="1"/>
  <c r="J10" i="1"/>
  <c r="N9" i="1"/>
  <c r="O9" i="1" s="1"/>
  <c r="M9" i="1"/>
  <c r="L9" i="1"/>
  <c r="K9" i="1"/>
  <c r="J9" i="1"/>
  <c r="M8" i="1"/>
  <c r="L8" i="1"/>
  <c r="N8" i="1" s="1"/>
  <c r="O8" i="1" s="1"/>
  <c r="K8" i="1"/>
  <c r="J8" i="1"/>
  <c r="M7" i="1"/>
  <c r="L7" i="1"/>
  <c r="N7" i="1" s="1"/>
  <c r="O7" i="1" s="1"/>
  <c r="K7" i="1"/>
  <c r="J7" i="1"/>
  <c r="M6" i="1"/>
  <c r="L6" i="1"/>
  <c r="N6" i="1" s="1"/>
  <c r="O6" i="1" s="1"/>
  <c r="K6" i="1"/>
  <c r="J6" i="1"/>
  <c r="J17" i="1" l="1"/>
  <c r="L17" i="1"/>
  <c r="N17" i="1" s="1"/>
  <c r="O17" i="1" s="1"/>
</calcChain>
</file>

<file path=xl/sharedStrings.xml><?xml version="1.0" encoding="utf-8"?>
<sst xmlns="http://schemas.openxmlformats.org/spreadsheetml/2006/main" count="52" uniqueCount="45">
  <si>
    <t>INFORME SEMANAL DE RESULTADO OPERATIVO Y VALOR GANADO (EVM) - SEMANA 1</t>
  </si>
  <si>
    <t>Proyecto: Redes Sanitarias de Agua Potable y Alcantarillado - Habilitación Urbana Los Cedros</t>
  </si>
  <si>
    <t>Periodo Evaluado: Semana 1 (Día 1 al Día 6) | Corte: Viernes 5:00 PM</t>
  </si>
  <si>
    <t>Item</t>
  </si>
  <si>
    <t>Descripción Partida</t>
  </si>
  <si>
    <t>Und.</t>
  </si>
  <si>
    <t>Metrado Total</t>
  </si>
  <si>
    <t>P.U. Meta (S/)</t>
  </si>
  <si>
    <t>BAC Meta (S/)</t>
  </si>
  <si>
    <t>PV Plan. (S/)</t>
  </si>
  <si>
    <t>EV Ganado (S/)</t>
  </si>
  <si>
    <t>AC Real (S/)</t>
  </si>
  <si>
    <t>CV Costo (S/)</t>
  </si>
  <si>
    <t>SV Plazo (S/)</t>
  </si>
  <si>
    <t>CPI (Costo)</t>
  </si>
  <si>
    <t>SPI (Plazo)</t>
  </si>
  <si>
    <t>EAC Proyectado (S/)</t>
  </si>
  <si>
    <t>Desvío EAC (S/)</t>
  </si>
  <si>
    <t>01.01</t>
  </si>
  <si>
    <t>Obras Preliminares y Trabajos Provisionales</t>
  </si>
  <si>
    <t>GLB</t>
  </si>
  <si>
    <t>01.02.01</t>
  </si>
  <si>
    <t>Trazo, Nivelación y Replanteo de Zanjas</t>
  </si>
  <si>
    <t>M</t>
  </si>
  <si>
    <t>01.02.02</t>
  </si>
  <si>
    <t>Excavación de Zanja H=1.50m - 2.20m a Máquina (Terreno Normal)</t>
  </si>
  <si>
    <t>M3</t>
  </si>
  <si>
    <t>01.02.03</t>
  </si>
  <si>
    <t>Preparación y Colocación de Cama de Arena e=0.10m</t>
  </si>
  <si>
    <t>01.02.04</t>
  </si>
  <si>
    <t>Suministro e Instalación de Tubería PVC UF DN 200mm Serie S-20 para Alcantarillado</t>
  </si>
  <si>
    <t>01.02.05</t>
  </si>
  <si>
    <t>Relleno Compactado de Zanja en Capas de 0.20m con Maquinaria/Plancha</t>
  </si>
  <si>
    <t>01.02.06</t>
  </si>
  <si>
    <t>Construcción de Buzones Prefabricados de Concreto h=1.50m - 2.50m (Inc. Marco y Tapa)</t>
  </si>
  <si>
    <t>UND</t>
  </si>
  <si>
    <t>01.02.07</t>
  </si>
  <si>
    <t>Conexiones Domiciliarias de Alcantarillado (Caja de Registro + Acometida)</t>
  </si>
  <si>
    <t>01.03.01</t>
  </si>
  <si>
    <t>Suministro e Instalación de Tubería PVC C-10 DN 110mm para Agua Potable</t>
  </si>
  <si>
    <t>01.03.02</t>
  </si>
  <si>
    <t>Conexiones Domiciliarias de Agua Potable (Caja de Agua + Abrazadera + Acometida)</t>
  </si>
  <si>
    <t>01.04.01</t>
  </si>
  <si>
    <t>Pruebas Hidráulicas de Redes de Agua y Alcantarillado + Desinfección</t>
  </si>
  <si>
    <t>TOTALES COSTO DIRECTO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</si>
</sst>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1"/>
      <color rgb="FF2F5597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B4C6E7"/>
        <b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4" fillId="0" borderId="0" xfId="0" applyFont="1"/>
    <xf numFmtId="4" fontId="0" fillId="0" borderId="0" xfId="0" applyNumberFormat="1"/>
    <xf numFmtId="2" fontId="0" fillId="3" borderId="0" xfId="0" applyNumberFormat="1" applyFill="1"/>
    <xf numFmtId="2" fontId="0" fillId="0" borderId="0" xfId="0" applyNumberFormat="1"/>
    <xf numFmtId="2" fontId="0" fillId="4" borderId="0" xfId="0" applyNumberFormat="1" applyFill="1"/>
    <xf numFmtId="0" fontId="5" fillId="5" borderId="0" xfId="0" applyFont="1" applyFill="1"/>
    <xf numFmtId="4" fontId="5" fillId="5" borderId="0" xfId="0" applyNumberFormat="1" applyFont="1" applyFill="1"/>
    <xf numFmtId="2" fontId="5" fillId="5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topLeftCell="C1" workbookViewId="0">
      <selection activeCell="J11" sqref="J11"/>
    </sheetView>
  </sheetViews>
  <sheetFormatPr baseColWidth="10" defaultColWidth="8.88671875" defaultRowHeight="14.4" x14ac:dyDescent="0.3"/>
  <cols>
    <col min="2" max="2" width="77" bestFit="1" customWidth="1"/>
    <col min="4" max="5" width="13" bestFit="1" customWidth="1"/>
    <col min="6" max="6" width="13.21875" bestFit="1" customWidth="1"/>
    <col min="7" max="7" width="12" bestFit="1" customWidth="1"/>
    <col min="8" max="8" width="14.44140625" bestFit="1" customWidth="1"/>
    <col min="9" max="9" width="11.5546875" bestFit="1" customWidth="1"/>
    <col min="10" max="10" width="13" bestFit="1" customWidth="1"/>
    <col min="11" max="11" width="12.44140625" bestFit="1" customWidth="1"/>
    <col min="12" max="12" width="11.109375" bestFit="1" customWidth="1"/>
    <col min="13" max="13" width="10.5546875" bestFit="1" customWidth="1"/>
    <col min="14" max="14" width="19.109375" bestFit="1" customWidth="1"/>
    <col min="15" max="15" width="14.88671875" bestFit="1" customWidth="1"/>
  </cols>
  <sheetData>
    <row r="1" spans="1:15" ht="17.399999999999999" x14ac:dyDescent="0.3">
      <c r="A1" s="1" t="s">
        <v>0</v>
      </c>
    </row>
    <row r="2" spans="1:15" x14ac:dyDescent="0.3">
      <c r="A2" s="2" t="s">
        <v>1</v>
      </c>
    </row>
    <row r="3" spans="1:15" x14ac:dyDescent="0.3">
      <c r="A3" t="s">
        <v>2</v>
      </c>
    </row>
    <row r="5" spans="1:15" x14ac:dyDescent="0.3">
      <c r="A5" s="3" t="s">
        <v>3</v>
      </c>
      <c r="B5" s="4" t="s">
        <v>4</v>
      </c>
      <c r="C5" s="3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3" t="s">
        <v>14</v>
      </c>
      <c r="M5" s="3" t="s">
        <v>15</v>
      </c>
      <c r="N5" s="5" t="s">
        <v>16</v>
      </c>
      <c r="O5" s="5" t="s">
        <v>17</v>
      </c>
    </row>
    <row r="6" spans="1:15" x14ac:dyDescent="0.3">
      <c r="A6" s="6" t="s">
        <v>18</v>
      </c>
      <c r="B6" s="6" t="s">
        <v>19</v>
      </c>
      <c r="C6" s="6" t="s">
        <v>20</v>
      </c>
      <c r="D6" s="7">
        <v>1</v>
      </c>
      <c r="E6" s="7">
        <v>8296.4</v>
      </c>
      <c r="F6" s="7">
        <v>8296.4</v>
      </c>
      <c r="G6" s="7">
        <v>8296.4</v>
      </c>
      <c r="H6" s="7">
        <v>8296.4</v>
      </c>
      <c r="I6" s="7">
        <v>14800</v>
      </c>
      <c r="J6" s="7">
        <f t="shared" ref="J6:J17" si="0">H6-I6</f>
        <v>-6503.6</v>
      </c>
      <c r="K6" s="7">
        <f t="shared" ref="K6:K17" si="1">H6-G6</f>
        <v>0</v>
      </c>
      <c r="L6" s="8">
        <f t="shared" ref="L6:L16" si="2">IF(I6&gt;0, H6/I6, 1)</f>
        <v>0.56056756756756754</v>
      </c>
      <c r="M6" s="9">
        <f t="shared" ref="M6:M16" si="3">IF(G6&gt;0, H6/G6, 1)</f>
        <v>1</v>
      </c>
      <c r="N6" s="7">
        <f t="shared" ref="N6:N16" si="4">IF(L6&gt;0, I6+(F6-H6)/L6, F6)</f>
        <v>14800</v>
      </c>
      <c r="O6" s="7">
        <f t="shared" ref="O6:O17" si="5">F6-N6</f>
        <v>-6503.6</v>
      </c>
    </row>
    <row r="7" spans="1:15" x14ac:dyDescent="0.3">
      <c r="A7" s="6" t="s">
        <v>21</v>
      </c>
      <c r="B7" s="6" t="s">
        <v>22</v>
      </c>
      <c r="C7" s="6" t="s">
        <v>23</v>
      </c>
      <c r="D7" s="7">
        <v>2400</v>
      </c>
      <c r="E7" s="7">
        <v>3.35</v>
      </c>
      <c r="F7" s="7">
        <v>8040</v>
      </c>
      <c r="G7" s="7">
        <v>1675</v>
      </c>
      <c r="H7" s="7">
        <v>2010</v>
      </c>
      <c r="I7" s="7">
        <v>7650</v>
      </c>
      <c r="J7" s="7">
        <f t="shared" si="0"/>
        <v>-5640</v>
      </c>
      <c r="K7" s="7">
        <f t="shared" si="1"/>
        <v>335</v>
      </c>
      <c r="L7" s="8">
        <f t="shared" si="2"/>
        <v>0.2627450980392157</v>
      </c>
      <c r="M7" s="9">
        <f t="shared" si="3"/>
        <v>1.2</v>
      </c>
      <c r="N7" s="7">
        <f t="shared" si="4"/>
        <v>30600</v>
      </c>
      <c r="O7" s="7">
        <f t="shared" si="5"/>
        <v>-22560</v>
      </c>
    </row>
    <row r="8" spans="1:15" x14ac:dyDescent="0.3">
      <c r="A8" s="6" t="s">
        <v>24</v>
      </c>
      <c r="B8" s="6" t="s">
        <v>25</v>
      </c>
      <c r="C8" s="6" t="s">
        <v>26</v>
      </c>
      <c r="D8" s="7">
        <v>3840</v>
      </c>
      <c r="E8" s="7">
        <v>11.66</v>
      </c>
      <c r="F8" s="7">
        <v>44774.400000000001</v>
      </c>
      <c r="G8" s="7">
        <v>10494</v>
      </c>
      <c r="H8" s="7">
        <v>9328</v>
      </c>
      <c r="I8" s="7">
        <v>14900</v>
      </c>
      <c r="J8" s="7">
        <f t="shared" si="0"/>
        <v>-5572</v>
      </c>
      <c r="K8" s="7">
        <f t="shared" si="1"/>
        <v>-1166</v>
      </c>
      <c r="L8" s="8">
        <f t="shared" si="2"/>
        <v>0.62604026845637584</v>
      </c>
      <c r="M8" s="9">
        <f t="shared" si="3"/>
        <v>0.88888888888888884</v>
      </c>
      <c r="N8" s="7">
        <f t="shared" si="4"/>
        <v>71520</v>
      </c>
      <c r="O8" s="7">
        <f t="shared" si="5"/>
        <v>-26745.599999999999</v>
      </c>
    </row>
    <row r="9" spans="1:15" x14ac:dyDescent="0.3">
      <c r="A9" s="6" t="s">
        <v>27</v>
      </c>
      <c r="B9" s="6" t="s">
        <v>28</v>
      </c>
      <c r="C9" s="6" t="s">
        <v>23</v>
      </c>
      <c r="D9" s="7">
        <v>2400</v>
      </c>
      <c r="E9" s="7">
        <v>11.12</v>
      </c>
      <c r="F9" s="7">
        <v>26688</v>
      </c>
      <c r="G9" s="7">
        <v>5004</v>
      </c>
      <c r="H9" s="7">
        <v>4448</v>
      </c>
      <c r="I9" s="7">
        <v>5450</v>
      </c>
      <c r="J9" s="7">
        <f t="shared" si="0"/>
        <v>-1002</v>
      </c>
      <c r="K9" s="7">
        <f t="shared" si="1"/>
        <v>-556</v>
      </c>
      <c r="L9" s="8">
        <f t="shared" si="2"/>
        <v>0.81614678899082571</v>
      </c>
      <c r="M9" s="9">
        <f t="shared" si="3"/>
        <v>0.88888888888888884</v>
      </c>
      <c r="N9" s="7">
        <f t="shared" si="4"/>
        <v>32700</v>
      </c>
      <c r="O9" s="7">
        <f t="shared" si="5"/>
        <v>-6012</v>
      </c>
    </row>
    <row r="10" spans="1:15" x14ac:dyDescent="0.3">
      <c r="A10" s="6" t="s">
        <v>29</v>
      </c>
      <c r="B10" s="6" t="s">
        <v>30</v>
      </c>
      <c r="C10" s="6" t="s">
        <v>23</v>
      </c>
      <c r="D10" s="7">
        <v>1400</v>
      </c>
      <c r="E10" s="7">
        <v>55.51</v>
      </c>
      <c r="F10" s="7">
        <v>77714</v>
      </c>
      <c r="G10" s="7">
        <v>13322.4</v>
      </c>
      <c r="H10" s="7">
        <v>11102</v>
      </c>
      <c r="I10" s="7">
        <v>12120</v>
      </c>
      <c r="J10" s="7">
        <f t="shared" si="0"/>
        <v>-1018</v>
      </c>
      <c r="K10" s="7">
        <f t="shared" si="1"/>
        <v>-2220.3999999999996</v>
      </c>
      <c r="L10" s="8">
        <f t="shared" si="2"/>
        <v>0.91600660066006601</v>
      </c>
      <c r="M10" s="9">
        <f t="shared" si="3"/>
        <v>0.83333333333333337</v>
      </c>
      <c r="N10" s="7">
        <f t="shared" si="4"/>
        <v>84840</v>
      </c>
      <c r="O10" s="7">
        <f t="shared" si="5"/>
        <v>-7126</v>
      </c>
    </row>
    <row r="11" spans="1:15" x14ac:dyDescent="0.3">
      <c r="A11" s="6" t="s">
        <v>31</v>
      </c>
      <c r="B11" s="6" t="s">
        <v>32</v>
      </c>
      <c r="C11" s="6" t="s">
        <v>26</v>
      </c>
      <c r="D11" s="7">
        <v>3300</v>
      </c>
      <c r="E11" s="7">
        <v>28.54</v>
      </c>
      <c r="F11" s="7">
        <v>94182</v>
      </c>
      <c r="G11" s="7">
        <v>9989</v>
      </c>
      <c r="H11" s="7">
        <v>8562</v>
      </c>
      <c r="I11" s="7">
        <v>5500</v>
      </c>
      <c r="J11" s="7">
        <f t="shared" si="0"/>
        <v>3062</v>
      </c>
      <c r="K11" s="7">
        <f t="shared" si="1"/>
        <v>-1427</v>
      </c>
      <c r="L11" s="10">
        <f t="shared" si="2"/>
        <v>1.5567272727272727</v>
      </c>
      <c r="M11" s="9">
        <f t="shared" si="3"/>
        <v>0.8571428571428571</v>
      </c>
      <c r="N11" s="7">
        <f t="shared" si="4"/>
        <v>60500</v>
      </c>
      <c r="O11" s="7">
        <f t="shared" si="5"/>
        <v>33682</v>
      </c>
    </row>
    <row r="12" spans="1:15" x14ac:dyDescent="0.3">
      <c r="A12" s="6" t="s">
        <v>33</v>
      </c>
      <c r="B12" s="6" t="s">
        <v>34</v>
      </c>
      <c r="C12" s="6" t="s">
        <v>35</v>
      </c>
      <c r="D12" s="7">
        <v>32</v>
      </c>
      <c r="E12" s="7">
        <v>2500.73</v>
      </c>
      <c r="F12" s="7">
        <v>80023.360000000001</v>
      </c>
      <c r="G12" s="7">
        <v>10002.92</v>
      </c>
      <c r="H12" s="7">
        <v>10002.92</v>
      </c>
      <c r="I12" s="7">
        <v>7700</v>
      </c>
      <c r="J12" s="7">
        <f t="shared" si="0"/>
        <v>2302.92</v>
      </c>
      <c r="K12" s="7">
        <f t="shared" si="1"/>
        <v>0</v>
      </c>
      <c r="L12" s="10">
        <f t="shared" si="2"/>
        <v>1.2990805194805195</v>
      </c>
      <c r="M12" s="9">
        <f t="shared" si="3"/>
        <v>1</v>
      </c>
      <c r="N12" s="7">
        <f t="shared" si="4"/>
        <v>61600</v>
      </c>
      <c r="O12" s="7">
        <f t="shared" si="5"/>
        <v>18423.36</v>
      </c>
    </row>
    <row r="13" spans="1:15" x14ac:dyDescent="0.3">
      <c r="A13" s="6" t="s">
        <v>36</v>
      </c>
      <c r="B13" s="6" t="s">
        <v>37</v>
      </c>
      <c r="C13" s="6" t="s">
        <v>35</v>
      </c>
      <c r="D13" s="7">
        <v>120</v>
      </c>
      <c r="E13" s="7">
        <v>405.54</v>
      </c>
      <c r="F13" s="7">
        <v>48664.800000000003</v>
      </c>
      <c r="G13" s="7">
        <v>0</v>
      </c>
      <c r="H13" s="7">
        <v>0</v>
      </c>
      <c r="I13" s="7">
        <v>0</v>
      </c>
      <c r="J13" s="7">
        <f t="shared" si="0"/>
        <v>0</v>
      </c>
      <c r="K13" s="7">
        <f t="shared" si="1"/>
        <v>0</v>
      </c>
      <c r="L13" s="9">
        <f t="shared" si="2"/>
        <v>1</v>
      </c>
      <c r="M13" s="9">
        <f t="shared" si="3"/>
        <v>1</v>
      </c>
      <c r="N13" s="7">
        <f t="shared" si="4"/>
        <v>48664.800000000003</v>
      </c>
      <c r="O13" s="7">
        <f t="shared" si="5"/>
        <v>0</v>
      </c>
    </row>
    <row r="14" spans="1:15" x14ac:dyDescent="0.3">
      <c r="A14" s="6" t="s">
        <v>38</v>
      </c>
      <c r="B14" s="6" t="s">
        <v>39</v>
      </c>
      <c r="C14" s="6" t="s">
        <v>23</v>
      </c>
      <c r="D14" s="7">
        <v>1000</v>
      </c>
      <c r="E14" s="7">
        <v>38.76</v>
      </c>
      <c r="F14" s="7">
        <v>38760</v>
      </c>
      <c r="G14" s="7">
        <v>0</v>
      </c>
      <c r="H14" s="7">
        <v>0</v>
      </c>
      <c r="I14" s="7">
        <v>0</v>
      </c>
      <c r="J14" s="7">
        <f t="shared" si="0"/>
        <v>0</v>
      </c>
      <c r="K14" s="7">
        <f t="shared" si="1"/>
        <v>0</v>
      </c>
      <c r="L14" s="9">
        <f t="shared" si="2"/>
        <v>1</v>
      </c>
      <c r="M14" s="9">
        <f t="shared" si="3"/>
        <v>1</v>
      </c>
      <c r="N14" s="7">
        <f t="shared" si="4"/>
        <v>38760</v>
      </c>
      <c r="O14" s="7">
        <f t="shared" si="5"/>
        <v>0</v>
      </c>
    </row>
    <row r="15" spans="1:15" x14ac:dyDescent="0.3">
      <c r="A15" s="6" t="s">
        <v>40</v>
      </c>
      <c r="B15" s="6" t="s">
        <v>41</v>
      </c>
      <c r="C15" s="6" t="s">
        <v>35</v>
      </c>
      <c r="D15" s="7">
        <v>120</v>
      </c>
      <c r="E15" s="7">
        <v>156.71</v>
      </c>
      <c r="F15" s="7">
        <v>18805.2</v>
      </c>
      <c r="G15" s="7">
        <v>0</v>
      </c>
      <c r="H15" s="7">
        <v>0</v>
      </c>
      <c r="I15" s="7">
        <v>0</v>
      </c>
      <c r="J15" s="7">
        <f t="shared" si="0"/>
        <v>0</v>
      </c>
      <c r="K15" s="7">
        <f t="shared" si="1"/>
        <v>0</v>
      </c>
      <c r="L15" s="9">
        <f t="shared" si="2"/>
        <v>1</v>
      </c>
      <c r="M15" s="9">
        <f t="shared" si="3"/>
        <v>1</v>
      </c>
      <c r="N15" s="7">
        <f t="shared" si="4"/>
        <v>18805.2</v>
      </c>
      <c r="O15" s="7">
        <f t="shared" si="5"/>
        <v>0</v>
      </c>
    </row>
    <row r="16" spans="1:15" x14ac:dyDescent="0.3">
      <c r="A16" s="6" t="s">
        <v>42</v>
      </c>
      <c r="B16" s="6" t="s">
        <v>43</v>
      </c>
      <c r="C16" s="6" t="s">
        <v>20</v>
      </c>
      <c r="D16" s="7">
        <v>1</v>
      </c>
      <c r="E16" s="7">
        <v>9348.06</v>
      </c>
      <c r="F16" s="7">
        <v>9348.06</v>
      </c>
      <c r="G16" s="7">
        <v>0</v>
      </c>
      <c r="H16" s="7">
        <v>0</v>
      </c>
      <c r="I16" s="7">
        <v>0</v>
      </c>
      <c r="J16" s="7">
        <f t="shared" si="0"/>
        <v>0</v>
      </c>
      <c r="K16" s="7">
        <f t="shared" si="1"/>
        <v>0</v>
      </c>
      <c r="L16" s="9">
        <f t="shared" si="2"/>
        <v>1</v>
      </c>
      <c r="M16" s="9">
        <f t="shared" si="3"/>
        <v>1</v>
      </c>
      <c r="N16" s="7">
        <f t="shared" si="4"/>
        <v>9348.06</v>
      </c>
      <c r="O16" s="7">
        <f t="shared" si="5"/>
        <v>0</v>
      </c>
    </row>
    <row r="17" spans="1:15" x14ac:dyDescent="0.3">
      <c r="A17" s="11"/>
      <c r="B17" s="11" t="s">
        <v>44</v>
      </c>
      <c r="C17" s="11"/>
      <c r="D17" s="11"/>
      <c r="E17" s="11"/>
      <c r="F17" s="12">
        <f>SUM(F6:F16)</f>
        <v>455296.22</v>
      </c>
      <c r="G17" s="12">
        <f>SUM(G6:G16)</f>
        <v>58783.72</v>
      </c>
      <c r="H17" s="12">
        <f>SUM(H6:H16)</f>
        <v>53749.32</v>
      </c>
      <c r="I17" s="12">
        <f>SUM(I6:I16)</f>
        <v>68120</v>
      </c>
      <c r="J17" s="12">
        <f t="shared" si="0"/>
        <v>-14370.68</v>
      </c>
      <c r="K17" s="12">
        <f t="shared" si="1"/>
        <v>-5034.4000000000015</v>
      </c>
      <c r="L17" s="13">
        <f>H17/I17</f>
        <v>0.78903875513799182</v>
      </c>
      <c r="M17" s="13">
        <f>H17/G17</f>
        <v>0.91435724040601718</v>
      </c>
      <c r="N17" s="12">
        <f>I17+(F17-H17)/L17</f>
        <v>577026.4350581551</v>
      </c>
      <c r="O17" s="12">
        <f t="shared" si="5"/>
        <v>-121730.21505815513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Semanal RO - Sem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Aurelio Solorzano Rios</cp:lastModifiedBy>
  <dcterms:created xsi:type="dcterms:W3CDTF">2026-07-26T19:34:02Z</dcterms:created>
  <dcterms:modified xsi:type="dcterms:W3CDTF">2026-07-26T19:35:51Z</dcterms:modified>
</cp:coreProperties>
</file>