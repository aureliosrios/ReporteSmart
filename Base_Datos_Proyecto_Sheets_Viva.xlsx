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3" autoFilterDateGrouping="1"/>
  </bookViews>
  <sheets>
    <sheet xmlns:r="http://schemas.openxmlformats.org/officeDocument/2006/relationships" name="01_PRESUPUESTO_CRONOGRAMA_BASE" sheetId="1" state="visible" r:id="rId1"/>
    <sheet xmlns:r="http://schemas.openxmlformats.org/officeDocument/2006/relationships" name="02_CRONOGRAMA_PV_DIARIO" sheetId="2" state="visible" r:id="rId2"/>
    <sheet xmlns:r="http://schemas.openxmlformats.org/officeDocument/2006/relationships" name="03_CONSOLIDADO_DIARIO_EVM_WBS" sheetId="3" state="visible" r:id="rId3"/>
    <sheet xmlns:r="http://schemas.openxmlformats.org/officeDocument/2006/relationships" name="04_LOG_FIELD_ENTRIES" sheetId="4" state="visible" r:id="rId4"/>
    <sheet xmlns:r="http://schemas.openxmlformats.org/officeDocument/2006/relationships" name="05_MAESTRO_RECURSOS" sheetId="5" state="visible" r:id="rId5"/>
    <sheet xmlns:r="http://schemas.openxmlformats.org/officeDocument/2006/relationships" name="06_MAESTRO_PARTIDAS_EV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S/&quot;\ #,##0.00"/>
    <numFmt numFmtId="165" formatCode="yyyy-mm-dd h:mm:ss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  <fill>
      <patternFill patternType="solid">
        <fgColor rgb="FFC2410C"/>
        <bgColor rgb="FFC2410C"/>
      </patternFill>
    </fill>
    <fill>
      <patternFill patternType="solid">
        <fgColor rgb="FF15803D"/>
        <bgColor rgb="FF15803D"/>
      </patternFill>
    </fill>
    <fill>
      <patternFill patternType="solid">
        <fgColor rgb="FF6B21A8"/>
        <bgColor rgb="FF6B21A8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3A8A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1" fillId="3" borderId="2" applyAlignment="1" pivotButton="0" quotePrefix="0" xfId="0">
      <alignment horizontal="left" vertical="center"/>
    </xf>
    <xf numFmtId="164" fontId="1" fillId="3" borderId="2" applyAlignment="1" pivotButton="0" quotePrefix="0" xfId="0">
      <alignment horizontal="right" vertical="center"/>
    </xf>
    <xf numFmtId="0" fontId="0" fillId="0" borderId="1" pivotButton="0" quotePrefix="0" xfId="0"/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1" fillId="5" borderId="2" applyAlignment="1" pivotButton="0" quotePrefix="0" xfId="0">
      <alignment horizontal="left" vertical="center"/>
    </xf>
    <xf numFmtId="164" fontId="1" fillId="5" borderId="2" applyAlignment="1" pivotButton="0" quotePrefix="0" xfId="0">
      <alignment horizontal="right" vertical="center"/>
    </xf>
    <xf numFmtId="0" fontId="1" fillId="6" borderId="2" applyAlignment="1" pivotButton="0" quotePrefix="0" xfId="0">
      <alignment horizontal="left" vertical="center"/>
    </xf>
    <xf numFmtId="164" fontId="1" fillId="6" borderId="2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1" fillId="6" borderId="0" applyAlignment="1" pivotButton="0" quotePrefix="0" xfId="0">
      <alignment horizontal="center" vertical="center" wrapText="1"/>
    </xf>
    <xf numFmtId="4" fontId="2" fillId="8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right" vertical="center"/>
    </xf>
    <xf numFmtId="10" fontId="2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topLeftCell="C1" workbookViewId="0">
      <selection activeCell="C5" sqref="C5"/>
    </sheetView>
  </sheetViews>
  <sheetFormatPr baseColWidth="10" defaultColWidth="8.88671875" defaultRowHeight="14.4"/>
  <cols>
    <col width="10" customWidth="1" min="1" max="1"/>
    <col width="14" customWidth="1" min="2" max="2"/>
    <col width="75.109375" bestFit="1" customWidth="1" min="3" max="3"/>
    <col width="8" customWidth="1" min="4" max="4"/>
    <col width="12" customWidth="1" min="5" max="5"/>
    <col width="14" customWidth="1" min="6" max="6"/>
    <col width="15" customWidth="1" min="7" max="7"/>
    <col width="12" customWidth="1" min="8" max="12"/>
    <col width="14" customWidth="1" min="13" max="13"/>
  </cols>
  <sheetData>
    <row r="1" ht="36" customHeight="1">
      <c r="A1" s="1" t="inlineStr">
        <is>
          <t>Item</t>
        </is>
      </c>
      <c r="B1" s="1" t="inlineStr">
        <is>
          <t>Código WBS</t>
        </is>
      </c>
      <c r="C1" s="1" t="inlineStr">
        <is>
          <t>Descripción de la Partida Presupuestal</t>
        </is>
      </c>
      <c r="D1" s="1" t="inlineStr">
        <is>
          <t>Unidad</t>
        </is>
      </c>
      <c r="E1" s="1" t="inlineStr">
        <is>
          <t>Metrado Meta</t>
        </is>
      </c>
      <c r="F1" s="1" t="inlineStr">
        <is>
          <t>P.U. Directo (S/)</t>
        </is>
      </c>
      <c r="G1" s="1" t="inlineStr">
        <is>
          <t>Parcial Directo (S/)</t>
        </is>
      </c>
      <c r="H1" s="1" t="inlineStr">
        <is>
          <t>Fecha Inicio</t>
        </is>
      </c>
      <c r="I1" s="1" t="inlineStr">
        <is>
          <t>Fecha Fin</t>
        </is>
      </c>
      <c r="J1" s="1" t="inlineStr">
        <is>
          <t>Duración (Días)</t>
        </is>
      </c>
      <c r="K1" s="1" t="inlineStr">
        <is>
          <t>Día Inicio Obra</t>
        </is>
      </c>
      <c r="L1" s="1" t="inlineStr">
        <is>
          <t>Día Fin Obra</t>
        </is>
      </c>
      <c r="M1" s="1" t="inlineStr">
        <is>
          <t>Tasa PV Diario (S/Día)</t>
        </is>
      </c>
    </row>
    <row r="2" ht="19.95" customHeight="1">
      <c r="A2" s="2" t="inlineStr">
        <is>
          <t>01.01</t>
        </is>
      </c>
      <c r="B2" s="2" t="inlineStr">
        <is>
          <t>WBS-100</t>
        </is>
      </c>
      <c r="C2" s="3" t="inlineStr">
        <is>
          <t>Obras Preliminares y Trabajos Provisionales</t>
        </is>
      </c>
      <c r="D2" s="4" t="inlineStr">
        <is>
          <t>GLB</t>
        </is>
      </c>
      <c r="E2" s="5" t="n">
        <v>1</v>
      </c>
      <c r="F2" s="6" t="n">
        <v>8296.4</v>
      </c>
      <c r="G2" s="7">
        <f>ROUND(E2*F2, 2)</f>
        <v/>
      </c>
      <c r="H2" s="4" t="inlineStr">
        <is>
          <t>2026-08-01</t>
        </is>
      </c>
      <c r="I2" s="4" t="inlineStr">
        <is>
          <t>2026-08-14</t>
        </is>
      </c>
      <c r="J2" s="4">
        <f>(L2-K2)+1</f>
        <v/>
      </c>
      <c r="K2" s="4" t="n">
        <v>1</v>
      </c>
      <c r="L2" s="4" t="n">
        <v>14</v>
      </c>
      <c r="M2" s="7">
        <f>ROUND(G2/J2, 2)</f>
        <v/>
      </c>
    </row>
    <row r="3" ht="19.95" customHeight="1">
      <c r="A3" s="2" t="inlineStr">
        <is>
          <t>01.02.01</t>
        </is>
      </c>
      <c r="B3" s="2" t="inlineStr">
        <is>
          <t>WBS-100</t>
        </is>
      </c>
      <c r="C3" s="3" t="inlineStr">
        <is>
          <t>Trazo, Nivelación y Replanteo de Zanjas</t>
        </is>
      </c>
      <c r="D3" s="4" t="inlineStr">
        <is>
          <t>M</t>
        </is>
      </c>
      <c r="E3" s="5" t="n">
        <v>2400</v>
      </c>
      <c r="F3" s="6" t="n">
        <v>3.35</v>
      </c>
      <c r="G3" s="7">
        <f>ROUND(E3*F3, 2)</f>
        <v/>
      </c>
      <c r="H3" s="4" t="inlineStr">
        <is>
          <t>2026-08-01</t>
        </is>
      </c>
      <c r="I3" s="4" t="inlineStr">
        <is>
          <t>2026-08-14</t>
        </is>
      </c>
      <c r="J3" s="4">
        <f>(L3-K3)+1</f>
        <v/>
      </c>
      <c r="K3" s="4" t="n">
        <v>1</v>
      </c>
      <c r="L3" s="4" t="n">
        <v>14</v>
      </c>
      <c r="M3" s="7">
        <f>ROUND(G3/J3, 2)</f>
        <v/>
      </c>
    </row>
    <row r="4" ht="19.95" customHeight="1">
      <c r="A4" s="2" t="inlineStr">
        <is>
          <t>01.02.02</t>
        </is>
      </c>
      <c r="B4" s="2" t="inlineStr">
        <is>
          <t>WBS-200</t>
        </is>
      </c>
      <c r="C4" s="3" t="inlineStr">
        <is>
          <t>Excavación de Zanja H=1.50m - 2.20m a Máquina (Terreno Normal)</t>
        </is>
      </c>
      <c r="D4" s="4" t="inlineStr">
        <is>
          <t>M3</t>
        </is>
      </c>
      <c r="E4" s="5" t="n">
        <v>3840</v>
      </c>
      <c r="F4" s="6" t="n">
        <v>11.66</v>
      </c>
      <c r="G4" s="7">
        <f>ROUND(E4*F4, 2)</f>
        <v/>
      </c>
      <c r="H4" s="4" t="inlineStr">
        <is>
          <t>2026-08-10</t>
        </is>
      </c>
      <c r="I4" s="4" t="inlineStr">
        <is>
          <t>2026-08-25</t>
        </is>
      </c>
      <c r="J4" s="4">
        <f>(L4-K4)+1</f>
        <v/>
      </c>
      <c r="K4" s="4" t="n">
        <v>10</v>
      </c>
      <c r="L4" s="4" t="n">
        <v>25</v>
      </c>
      <c r="M4" s="7">
        <f>ROUND(G4/J4, 2)</f>
        <v/>
      </c>
    </row>
    <row r="5" ht="19.95" customHeight="1">
      <c r="A5" s="2" t="inlineStr">
        <is>
          <t>01.02.03</t>
        </is>
      </c>
      <c r="B5" s="2" t="inlineStr">
        <is>
          <t>WBS-200</t>
        </is>
      </c>
      <c r="C5" s="3" t="inlineStr">
        <is>
          <t>Preparación y Colocación de Cama de Arena e=0.10m</t>
        </is>
      </c>
      <c r="D5" s="4" t="inlineStr">
        <is>
          <t>M</t>
        </is>
      </c>
      <c r="E5" s="5" t="n">
        <v>2400</v>
      </c>
      <c r="F5" s="6" t="n">
        <v>11.12</v>
      </c>
      <c r="G5" s="7">
        <f>ROUND(E5*F5, 2)</f>
        <v/>
      </c>
      <c r="H5" s="4" t="inlineStr">
        <is>
          <t>2026-08-12</t>
        </is>
      </c>
      <c r="I5" s="4" t="inlineStr">
        <is>
          <t>2026-08-28</t>
        </is>
      </c>
      <c r="J5" s="4">
        <f>(L5-K5)+1</f>
        <v/>
      </c>
      <c r="K5" s="4" t="n">
        <v>12</v>
      </c>
      <c r="L5" s="4" t="n">
        <v>28</v>
      </c>
      <c r="M5" s="7">
        <f>ROUND(G5/J5, 2)</f>
        <v/>
      </c>
    </row>
    <row r="6" ht="19.95" customHeight="1">
      <c r="A6" s="2" t="inlineStr">
        <is>
          <t>01.02.04</t>
        </is>
      </c>
      <c r="B6" s="2" t="inlineStr">
        <is>
          <t>WBS-200</t>
        </is>
      </c>
      <c r="C6" s="3" t="inlineStr">
        <is>
          <t>Suministro e Instalación de Tubería PVC UF DN 200mm Serie S-20 para Alcantarillado</t>
        </is>
      </c>
      <c r="D6" s="4" t="inlineStr">
        <is>
          <t>M</t>
        </is>
      </c>
      <c r="E6" s="5" t="n">
        <v>1400</v>
      </c>
      <c r="F6" s="6" t="n">
        <v>55.51</v>
      </c>
      <c r="G6" s="7">
        <f>ROUND(E6*F6, 2)</f>
        <v/>
      </c>
      <c r="H6" s="4" t="inlineStr">
        <is>
          <t>2026-08-15</t>
        </is>
      </c>
      <c r="I6" s="4" t="inlineStr">
        <is>
          <t>2026-08-31</t>
        </is>
      </c>
      <c r="J6" s="4">
        <f>(L6-K6)+1</f>
        <v/>
      </c>
      <c r="K6" s="4" t="n">
        <v>15</v>
      </c>
      <c r="L6" s="4" t="n">
        <v>31</v>
      </c>
      <c r="M6" s="7">
        <f>ROUND(G6/J6, 2)</f>
        <v/>
      </c>
    </row>
    <row r="7" ht="19.95" customHeight="1">
      <c r="A7" s="2" t="inlineStr">
        <is>
          <t>01.02.05</t>
        </is>
      </c>
      <c r="B7" s="2" t="inlineStr">
        <is>
          <t>WBS-200</t>
        </is>
      </c>
      <c r="C7" s="3" t="inlineStr">
        <is>
          <t>Relleno Compactado de Zanja en Capas de 0.20m con Maquinaria/Plancha</t>
        </is>
      </c>
      <c r="D7" s="4" t="inlineStr">
        <is>
          <t>M3</t>
        </is>
      </c>
      <c r="E7" s="5" t="n">
        <v>3300</v>
      </c>
      <c r="F7" s="6" t="n">
        <v>28.54</v>
      </c>
      <c r="G7" s="7">
        <f>ROUND(E7*F7, 2)</f>
        <v/>
      </c>
      <c r="H7" s="4" t="inlineStr">
        <is>
          <t>2026-08-18</t>
        </is>
      </c>
      <c r="I7" s="4" t="inlineStr">
        <is>
          <t>2026-09-05</t>
        </is>
      </c>
      <c r="J7" s="4">
        <f>(L7-K7)+1</f>
        <v/>
      </c>
      <c r="K7" s="4" t="n">
        <v>18</v>
      </c>
      <c r="L7" s="4" t="n">
        <v>36</v>
      </c>
      <c r="M7" s="7">
        <f>ROUND(G7/J7, 2)</f>
        <v/>
      </c>
    </row>
    <row r="8" ht="19.95" customHeight="1">
      <c r="A8" s="2" t="inlineStr">
        <is>
          <t>01.02.06</t>
        </is>
      </c>
      <c r="B8" s="2" t="inlineStr">
        <is>
          <t>WBS-200</t>
        </is>
      </c>
      <c r="C8" s="3" t="inlineStr">
        <is>
          <t>Construcción de Buzones Prefabricados de Concreto h=1.50m - 2.50m (Inc. Marco y Tapa)</t>
        </is>
      </c>
      <c r="D8" s="4" t="inlineStr">
        <is>
          <t>UND</t>
        </is>
      </c>
      <c r="E8" s="5" t="n">
        <v>32</v>
      </c>
      <c r="F8" s="6" t="n">
        <v>2500.73</v>
      </c>
      <c r="G8" s="7">
        <f>ROUND(E8*F8, 2)</f>
        <v/>
      </c>
      <c r="H8" s="4" t="inlineStr">
        <is>
          <t>2026-08-22</t>
        </is>
      </c>
      <c r="I8" s="4" t="inlineStr">
        <is>
          <t>2026-09-10</t>
        </is>
      </c>
      <c r="J8" s="4">
        <f>(L8-K8)+1</f>
        <v/>
      </c>
      <c r="K8" s="4" t="n">
        <v>22</v>
      </c>
      <c r="L8" s="4" t="n">
        <v>41</v>
      </c>
      <c r="M8" s="7">
        <f>ROUND(G8/J8, 2)</f>
        <v/>
      </c>
    </row>
    <row r="9" ht="19.95" customHeight="1">
      <c r="A9" s="2" t="inlineStr">
        <is>
          <t>01.02.07</t>
        </is>
      </c>
      <c r="B9" s="2" t="inlineStr">
        <is>
          <t>WBS-200</t>
        </is>
      </c>
      <c r="C9" s="3" t="inlineStr">
        <is>
          <t>Conexiones Domiciliarias de Alcantarillado (Caja de Registro + Acometida)</t>
        </is>
      </c>
      <c r="D9" s="4" t="inlineStr">
        <is>
          <t>UND</t>
        </is>
      </c>
      <c r="E9" s="5" t="n">
        <v>120</v>
      </c>
      <c r="F9" s="6" t="n">
        <v>405.54</v>
      </c>
      <c r="G9" s="7">
        <f>ROUND(E9*F9, 2)</f>
        <v/>
      </c>
      <c r="H9" s="4" t="inlineStr">
        <is>
          <t>2026-08-28</t>
        </is>
      </c>
      <c r="I9" s="4" t="inlineStr">
        <is>
          <t>2026-09-12</t>
        </is>
      </c>
      <c r="J9" s="4">
        <f>(L9-K9)+1</f>
        <v/>
      </c>
      <c r="K9" s="4" t="n">
        <v>28</v>
      </c>
      <c r="L9" s="4" t="n">
        <v>43</v>
      </c>
      <c r="M9" s="7">
        <f>ROUND(G9/J9, 2)</f>
        <v/>
      </c>
    </row>
    <row r="10" ht="19.95" customHeight="1">
      <c r="A10" s="2" t="inlineStr">
        <is>
          <t>01.03.01</t>
        </is>
      </c>
      <c r="B10" s="2" t="inlineStr">
        <is>
          <t>WBS-300</t>
        </is>
      </c>
      <c r="C10" s="3" t="inlineStr">
        <is>
          <t>Suministro e Instalación de Tubería PVC C-10 DN 110mm para Agua Potable</t>
        </is>
      </c>
      <c r="D10" s="4" t="inlineStr">
        <is>
          <t>M</t>
        </is>
      </c>
      <c r="E10" s="5" t="n">
        <v>1000</v>
      </c>
      <c r="F10" s="6" t="n">
        <v>38.76</v>
      </c>
      <c r="G10" s="7">
        <f>ROUND(E10*F10, 2)</f>
        <v/>
      </c>
      <c r="H10" s="4" t="inlineStr">
        <is>
          <t>2026-08-22</t>
        </is>
      </c>
      <c r="I10" s="4" t="inlineStr">
        <is>
          <t>2026-09-12</t>
        </is>
      </c>
      <c r="J10" s="4">
        <f>(L10-K10)+1</f>
        <v/>
      </c>
      <c r="K10" s="4" t="n">
        <v>22</v>
      </c>
      <c r="L10" s="4" t="n">
        <v>43</v>
      </c>
      <c r="M10" s="7">
        <f>ROUND(G10/J10, 2)</f>
        <v/>
      </c>
    </row>
    <row r="11" ht="19.95" customHeight="1">
      <c r="A11" s="2" t="inlineStr">
        <is>
          <t>01.03.02</t>
        </is>
      </c>
      <c r="B11" s="2" t="inlineStr">
        <is>
          <t>WBS-300</t>
        </is>
      </c>
      <c r="C11" s="3" t="inlineStr">
        <is>
          <t>Conexiones Domiciliarias de Agua Potable (Caja de Agua + Abrazadera + Acometida)</t>
        </is>
      </c>
      <c r="D11" s="4" t="inlineStr">
        <is>
          <t>UND</t>
        </is>
      </c>
      <c r="E11" s="5" t="n">
        <v>120</v>
      </c>
      <c r="F11" s="6" t="n">
        <v>156.71</v>
      </c>
      <c r="G11" s="7">
        <f>ROUND(E11*F11, 2)</f>
        <v/>
      </c>
      <c r="H11" s="4" t="inlineStr">
        <is>
          <t>2026-09-01</t>
        </is>
      </c>
      <c r="I11" s="4" t="inlineStr">
        <is>
          <t>2026-09-20</t>
        </is>
      </c>
      <c r="J11" s="4">
        <f>(L11-K11)+1</f>
        <v/>
      </c>
      <c r="K11" s="4" t="n">
        <v>32</v>
      </c>
      <c r="L11" s="4" t="n">
        <v>51</v>
      </c>
      <c r="M11" s="7">
        <f>ROUND(G11/J11, 2)</f>
        <v/>
      </c>
    </row>
    <row r="12" ht="19.95" customHeight="1">
      <c r="A12" s="2" t="inlineStr">
        <is>
          <t>01.04.01</t>
        </is>
      </c>
      <c r="B12" s="2" t="inlineStr">
        <is>
          <t>WBS-400</t>
        </is>
      </c>
      <c r="C12" s="3" t="inlineStr">
        <is>
          <t>Pruebas Hidráulicas de Redes de Agua y Alcantarillado + Desinfección</t>
        </is>
      </c>
      <c r="D12" s="4" t="inlineStr">
        <is>
          <t>GLB</t>
        </is>
      </c>
      <c r="E12" s="5" t="n">
        <v>1</v>
      </c>
      <c r="F12" s="6" t="n">
        <v>9348.059999999999</v>
      </c>
      <c r="G12" s="7">
        <f>ROUND(E12*F12, 2)</f>
        <v/>
      </c>
      <c r="H12" s="4" t="inlineStr">
        <is>
          <t>2026-09-17</t>
        </is>
      </c>
      <c r="I12" s="4" t="inlineStr">
        <is>
          <t>2026-09-29</t>
        </is>
      </c>
      <c r="J12" s="4">
        <f>(L12-K12)+1</f>
        <v/>
      </c>
      <c r="K12" s="4" t="n">
        <v>48</v>
      </c>
      <c r="L12" s="4" t="n">
        <v>60</v>
      </c>
      <c r="M12" s="7">
        <f>ROUND(G12/J12, 2)</f>
        <v/>
      </c>
    </row>
    <row r="13" ht="22.05" customHeight="1">
      <c r="A13" s="8" t="n"/>
      <c r="B13" s="8" t="n"/>
      <c r="C13" s="9" t="inlineStr">
        <is>
          <t>COSTO DIRECTO TOTAL (S/)</t>
        </is>
      </c>
      <c r="D13" s="8" t="n"/>
      <c r="E13" s="8" t="n"/>
      <c r="F13" s="8" t="n"/>
      <c r="G13" s="10">
        <f>SUM(G2:G12)</f>
        <v/>
      </c>
      <c r="H13" s="8" t="n"/>
      <c r="I13" s="8" t="n"/>
      <c r="J13" s="8" t="n"/>
      <c r="K13" s="8" t="n"/>
      <c r="L13" s="8" t="n"/>
      <c r="M13" s="8" t="n"/>
    </row>
    <row r="14" ht="22.05" customHeight="1">
      <c r="A14" s="11" t="n"/>
      <c r="B14" s="11" t="n"/>
      <c r="C14" s="12" t="inlineStr">
        <is>
          <t>GASTOS GENERALES (10.00%)</t>
        </is>
      </c>
      <c r="D14" s="11" t="n"/>
      <c r="E14" s="11" t="n"/>
      <c r="F14" s="11" t="n"/>
      <c r="G14" s="13">
        <f>ROUND(G13*0.1, 2)</f>
        <v/>
      </c>
      <c r="H14" s="11" t="n"/>
      <c r="I14" s="11" t="n"/>
      <c r="J14" s="11" t="n"/>
      <c r="K14" s="11" t="n"/>
      <c r="L14" s="11" t="n"/>
      <c r="M14" s="11" t="n"/>
    </row>
    <row r="15" ht="22.05" customHeight="1">
      <c r="A15" s="11" t="n"/>
      <c r="B15" s="11" t="n"/>
      <c r="C15" s="12" t="inlineStr">
        <is>
          <t>UTILIDAD (8.00%)</t>
        </is>
      </c>
      <c r="D15" s="11" t="n"/>
      <c r="E15" s="11" t="n"/>
      <c r="F15" s="11" t="n"/>
      <c r="G15" s="13">
        <f>ROUND(G13*0.08, 2)</f>
        <v/>
      </c>
      <c r="H15" s="11" t="n"/>
      <c r="I15" s="11" t="n"/>
      <c r="J15" s="11" t="n"/>
      <c r="K15" s="11" t="n"/>
      <c r="L15" s="11" t="n"/>
      <c r="M15" s="11" t="n"/>
    </row>
    <row r="16" ht="22.05" customHeight="1">
      <c r="A16" s="8" t="n"/>
      <c r="B16" s="8" t="n"/>
      <c r="C16" s="14" t="inlineStr">
        <is>
          <t>SUB TOTAL / VALOR VENTA (SIN IGV)</t>
        </is>
      </c>
      <c r="D16" s="8" t="n"/>
      <c r="E16" s="8" t="n"/>
      <c r="F16" s="8" t="n"/>
      <c r="G16" s="15">
        <f>SUM(G13:G15)</f>
        <v/>
      </c>
      <c r="H16" s="8" t="n"/>
      <c r="I16" s="8" t="n"/>
      <c r="J16" s="8" t="n"/>
      <c r="K16" s="8" t="n"/>
      <c r="L16" s="8" t="n"/>
      <c r="M16" s="8" t="n"/>
    </row>
    <row r="17" ht="22.05" customHeight="1">
      <c r="A17" s="11" t="n"/>
      <c r="B17" s="11" t="n"/>
      <c r="C17" s="12" t="inlineStr">
        <is>
          <t>IMPUESTO GENERAL A LAS VENTAS (IGV 18%)</t>
        </is>
      </c>
      <c r="D17" s="11" t="n"/>
      <c r="E17" s="11" t="n"/>
      <c r="F17" s="11" t="n"/>
      <c r="G17" s="13">
        <f>ROUND(G16*0.18, 2)</f>
        <v/>
      </c>
      <c r="H17" s="11" t="n"/>
      <c r="I17" s="11" t="n"/>
      <c r="J17" s="11" t="n"/>
      <c r="K17" s="11" t="n"/>
      <c r="L17" s="11" t="n"/>
      <c r="M17" s="11" t="n"/>
    </row>
    <row r="18" ht="22.05" customHeight="1">
      <c r="A18" s="8" t="n"/>
      <c r="B18" s="8" t="n"/>
      <c r="C18" s="16" t="inlineStr">
        <is>
          <t>PRECIO TOTAL COMERCIAL DE OBRA (CON IGV)</t>
        </is>
      </c>
      <c r="D18" s="8" t="n"/>
      <c r="E18" s="8" t="n"/>
      <c r="F18" s="8" t="n"/>
      <c r="G18" s="17">
        <f>G16+G17</f>
        <v/>
      </c>
      <c r="H18" s="8" t="n"/>
      <c r="I18" s="8" t="n"/>
      <c r="J18" s="8" t="n"/>
      <c r="K18" s="8" t="n"/>
      <c r="L18" s="8" t="n"/>
      <c r="M18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topLeftCell="A135" workbookViewId="0">
      <selection activeCell="A1" sqref="A1"/>
    </sheetView>
  </sheetViews>
  <sheetFormatPr baseColWidth="10" defaultColWidth="8.88671875" defaultRowHeight="14.4"/>
  <cols>
    <col width="12" customWidth="1" min="1" max="2"/>
    <col width="14" customWidth="1" min="3" max="3"/>
    <col width="36" customWidth="1" min="4" max="4"/>
    <col width="15" customWidth="1" min="5" max="6"/>
  </cols>
  <sheetData>
    <row r="1" ht="36" customHeight="1">
      <c r="A1" s="18" t="inlineStr">
        <is>
          <t>N° Día Obra</t>
        </is>
      </c>
      <c r="B1" s="18" t="inlineStr">
        <is>
          <t>Fecha Obra</t>
        </is>
      </c>
      <c r="C1" s="18" t="inlineStr">
        <is>
          <t>Código WBS</t>
        </is>
      </c>
      <c r="D1" s="18" t="inlineStr">
        <is>
          <t>Nombre Frente WBS</t>
        </is>
      </c>
      <c r="E1" s="18" t="inlineStr">
        <is>
          <t>PV Diario Programado (S/)</t>
        </is>
      </c>
      <c r="F1" s="18" t="inlineStr">
        <is>
          <t>PV Acumulado WBS (S/)</t>
        </is>
      </c>
    </row>
    <row r="2" ht="19.95" customHeight="1">
      <c r="A2" s="4" t="n">
        <v>1</v>
      </c>
      <c r="B2" s="4" t="inlineStr">
        <is>
          <t>2026-08-01</t>
        </is>
      </c>
      <c r="C2" s="2" t="inlineStr">
        <is>
          <t>WBS-100</t>
        </is>
      </c>
      <c r="D2" s="3" t="inlineStr">
        <is>
          <t>Obras Preliminares, Trazo y Movilización</t>
        </is>
      </c>
      <c r="E2" s="7">
        <f>IF(AND(A2&gt;='01_PRESUPUESTO_CRONOGRAMA_BASE'!K2, A2&lt;='01_PRESUPUESTO_CRONOGRAMA_BASE'!L2), '01_PRESUPUESTO_CRONOGRAMA_BASE'!M2, 0) + IF(AND(A2&gt;='01_PRESUPUESTO_CRONOGRAMA_BASE'!K3, A2&lt;='01_PRESUPUESTO_CRONOGRAMA_BASE'!L3), '01_PRESUPUESTO_CRONOGRAMA_BASE'!M3, 0)</f>
        <v/>
      </c>
      <c r="F2" s="19">
        <f>SUMIFS(E$2:E2, C$2:C2, C2)</f>
        <v/>
      </c>
    </row>
    <row r="3" ht="19.95" customHeight="1">
      <c r="A3" s="4" t="n">
        <v>1</v>
      </c>
      <c r="B3" s="4" t="inlineStr">
        <is>
          <t>2026-08-01</t>
        </is>
      </c>
      <c r="C3" s="2" t="inlineStr">
        <is>
          <t>WBS-200</t>
        </is>
      </c>
      <c r="D3" s="3" t="inlineStr">
        <is>
          <t>Red de Alcantarillado, Zanjas y Buzones</t>
        </is>
      </c>
      <c r="E3" s="7">
        <f>IF(AND(A3&gt;='01_PRESUPUESTO_CRONOGRAMA_BASE'!K4, A3&lt;='01_PRESUPUESTO_CRONOGRAMA_BASE'!L4), '01_PRESUPUESTO_CRONOGRAMA_BASE'!M4, 0) + IF(AND(A3&gt;='01_PRESUPUESTO_CRONOGRAMA_BASE'!K5, A3&lt;='01_PRESUPUESTO_CRONOGRAMA_BASE'!L5), '01_PRESUPUESTO_CRONOGRAMA_BASE'!M5, 0) + IF(AND(A3&gt;='01_PRESUPUESTO_CRONOGRAMA_BASE'!K6, A3&lt;='01_PRESUPUESTO_CRONOGRAMA_BASE'!L6), '01_PRESUPUESTO_CRONOGRAMA_BASE'!M6, 0) + IF(AND(A3&gt;='01_PRESUPUESTO_CRONOGRAMA_BASE'!K7, A3&lt;='01_PRESUPUESTO_CRONOGRAMA_BASE'!L7), '01_PRESUPUESTO_CRONOGRAMA_BASE'!M7, 0) + IF(AND(A3&gt;='01_PRESUPUESTO_CRONOGRAMA_BASE'!K8, A3&lt;='01_PRESUPUESTO_CRONOGRAMA_BASE'!L8), '01_PRESUPUESTO_CRONOGRAMA_BASE'!M8, 0) + IF(AND(A3&gt;='01_PRESUPUESTO_CRONOGRAMA_BASE'!K9, A3&lt;='01_PRESUPUESTO_CRONOGRAMA_BASE'!L9), '01_PRESUPUESTO_CRONOGRAMA_BASE'!M9, 0)</f>
        <v/>
      </c>
      <c r="F3" s="19">
        <f>SUMIFS(E$2:E3, C$2:C3, C3)</f>
        <v/>
      </c>
    </row>
    <row r="4" ht="19.95" customHeight="1">
      <c r="A4" s="4" t="n">
        <v>1</v>
      </c>
      <c r="B4" s="4" t="inlineStr">
        <is>
          <t>2026-08-01</t>
        </is>
      </c>
      <c r="C4" s="2" t="inlineStr">
        <is>
          <t>WBS-300</t>
        </is>
      </c>
      <c r="D4" s="3" t="inlineStr">
        <is>
          <t>Red de Agua Potable y Conexiones Domiciliarias</t>
        </is>
      </c>
      <c r="E4" s="7">
        <f>IF(AND(A4&gt;='01_PRESUPUESTO_CRONOGRAMA_BASE'!K10, A4&lt;='01_PRESUPUESTO_CRONOGRAMA_BASE'!L10), '01_PRESUPUESTO_CRONOGRAMA_BASE'!M10, 0) + IF(AND(A4&gt;='01_PRESUPUESTO_CRONOGRAMA_BASE'!K11, A4&lt;='01_PRESUPUESTO_CRONOGRAMA_BASE'!L11), '01_PRESUPUESTO_CRONOGRAMA_BASE'!M11, 0)</f>
        <v/>
      </c>
      <c r="F4" s="19">
        <f>SUMIFS(E$2:E4, C$2:C4, C4)</f>
        <v/>
      </c>
    </row>
    <row r="5" ht="19.95" customHeight="1">
      <c r="A5" s="4" t="n">
        <v>1</v>
      </c>
      <c r="B5" s="4" t="inlineStr">
        <is>
          <t>2026-08-01</t>
        </is>
      </c>
      <c r="C5" s="2" t="inlineStr">
        <is>
          <t>WBS-400</t>
        </is>
      </c>
      <c r="D5" s="3" t="inlineStr">
        <is>
          <t>Pruebas Hidráulicas, Desinfección y Entrega</t>
        </is>
      </c>
      <c r="E5" s="7">
        <f>IF(AND(A5&gt;='01_PRESUPUESTO_CRONOGRAMA_BASE'!K12, A5&lt;='01_PRESUPUESTO_CRONOGRAMA_BASE'!L12), '01_PRESUPUESTO_CRONOGRAMA_BASE'!M12, 0)</f>
        <v/>
      </c>
      <c r="F5" s="19">
        <f>SUMIFS(E$2:E5, C$2:C5, C5)</f>
        <v/>
      </c>
    </row>
    <row r="6" ht="19.95" customHeight="1">
      <c r="A6" s="4" t="n">
        <v>2</v>
      </c>
      <c r="B6" s="4" t="inlineStr">
        <is>
          <t>2026-08-02</t>
        </is>
      </c>
      <c r="C6" s="2" t="inlineStr">
        <is>
          <t>WBS-100</t>
        </is>
      </c>
      <c r="D6" s="3" t="inlineStr">
        <is>
          <t>Obras Preliminares, Trazo y Movilización</t>
        </is>
      </c>
      <c r="E6" s="7">
        <f>IF(AND(A6&gt;='01_PRESUPUESTO_CRONOGRAMA_BASE'!K2, A6&lt;='01_PRESUPUESTO_CRONOGRAMA_BASE'!L2), '01_PRESUPUESTO_CRONOGRAMA_BASE'!M2, 0) + IF(AND(A6&gt;='01_PRESUPUESTO_CRONOGRAMA_BASE'!K3, A6&lt;='01_PRESUPUESTO_CRONOGRAMA_BASE'!L3), '01_PRESUPUESTO_CRONOGRAMA_BASE'!M3, 0)</f>
        <v/>
      </c>
      <c r="F6" s="19">
        <f>SUMIFS(E$2:E6, C$2:C6, C6)</f>
        <v/>
      </c>
    </row>
    <row r="7" ht="19.95" customHeight="1">
      <c r="A7" s="4" t="n">
        <v>2</v>
      </c>
      <c r="B7" s="4" t="inlineStr">
        <is>
          <t>2026-08-02</t>
        </is>
      </c>
      <c r="C7" s="2" t="inlineStr">
        <is>
          <t>WBS-200</t>
        </is>
      </c>
      <c r="D7" s="3" t="inlineStr">
        <is>
          <t>Red de Alcantarillado, Zanjas y Buzones</t>
        </is>
      </c>
      <c r="E7" s="7">
        <f>IF(AND(A7&gt;='01_PRESUPUESTO_CRONOGRAMA_BASE'!K4, A7&lt;='01_PRESUPUESTO_CRONOGRAMA_BASE'!L4), '01_PRESUPUESTO_CRONOGRAMA_BASE'!M4, 0) + IF(AND(A7&gt;='01_PRESUPUESTO_CRONOGRAMA_BASE'!K5, A7&lt;='01_PRESUPUESTO_CRONOGRAMA_BASE'!L5), '01_PRESUPUESTO_CRONOGRAMA_BASE'!M5, 0) + IF(AND(A7&gt;='01_PRESUPUESTO_CRONOGRAMA_BASE'!K6, A7&lt;='01_PRESUPUESTO_CRONOGRAMA_BASE'!L6), '01_PRESUPUESTO_CRONOGRAMA_BASE'!M6, 0) + IF(AND(A7&gt;='01_PRESUPUESTO_CRONOGRAMA_BASE'!K7, A7&lt;='01_PRESUPUESTO_CRONOGRAMA_BASE'!L7), '01_PRESUPUESTO_CRONOGRAMA_BASE'!M7, 0) + IF(AND(A7&gt;='01_PRESUPUESTO_CRONOGRAMA_BASE'!K8, A7&lt;='01_PRESUPUESTO_CRONOGRAMA_BASE'!L8), '01_PRESUPUESTO_CRONOGRAMA_BASE'!M8, 0) + IF(AND(A7&gt;='01_PRESUPUESTO_CRONOGRAMA_BASE'!K9, A7&lt;='01_PRESUPUESTO_CRONOGRAMA_BASE'!L9), '01_PRESUPUESTO_CRONOGRAMA_BASE'!M9, 0)</f>
        <v/>
      </c>
      <c r="F7" s="19">
        <f>SUMIFS(E$2:E7, C$2:C7, C7)</f>
        <v/>
      </c>
    </row>
    <row r="8" ht="19.95" customHeight="1">
      <c r="A8" s="4" t="n">
        <v>2</v>
      </c>
      <c r="B8" s="4" t="inlineStr">
        <is>
          <t>2026-08-02</t>
        </is>
      </c>
      <c r="C8" s="2" t="inlineStr">
        <is>
          <t>WBS-300</t>
        </is>
      </c>
      <c r="D8" s="3" t="inlineStr">
        <is>
          <t>Red de Agua Potable y Conexiones Domiciliarias</t>
        </is>
      </c>
      <c r="E8" s="7">
        <f>IF(AND(A8&gt;='01_PRESUPUESTO_CRONOGRAMA_BASE'!K10, A8&lt;='01_PRESUPUESTO_CRONOGRAMA_BASE'!L10), '01_PRESUPUESTO_CRONOGRAMA_BASE'!M10, 0) + IF(AND(A8&gt;='01_PRESUPUESTO_CRONOGRAMA_BASE'!K11, A8&lt;='01_PRESUPUESTO_CRONOGRAMA_BASE'!L11), '01_PRESUPUESTO_CRONOGRAMA_BASE'!M11, 0)</f>
        <v/>
      </c>
      <c r="F8" s="19">
        <f>SUMIFS(E$2:E8, C$2:C8, C8)</f>
        <v/>
      </c>
    </row>
    <row r="9" ht="19.95" customHeight="1">
      <c r="A9" s="4" t="n">
        <v>2</v>
      </c>
      <c r="B9" s="4" t="inlineStr">
        <is>
          <t>2026-08-02</t>
        </is>
      </c>
      <c r="C9" s="2" t="inlineStr">
        <is>
          <t>WBS-400</t>
        </is>
      </c>
      <c r="D9" s="3" t="inlineStr">
        <is>
          <t>Pruebas Hidráulicas, Desinfección y Entrega</t>
        </is>
      </c>
      <c r="E9" s="7">
        <f>IF(AND(A9&gt;='01_PRESUPUESTO_CRONOGRAMA_BASE'!K12, A9&lt;='01_PRESUPUESTO_CRONOGRAMA_BASE'!L12), '01_PRESUPUESTO_CRONOGRAMA_BASE'!M12, 0)</f>
        <v/>
      </c>
      <c r="F9" s="19">
        <f>SUMIFS(E$2:E9, C$2:C9, C9)</f>
        <v/>
      </c>
    </row>
    <row r="10" ht="19.95" customHeight="1">
      <c r="A10" s="4" t="n">
        <v>3</v>
      </c>
      <c r="B10" s="4" t="inlineStr">
        <is>
          <t>2026-08-03</t>
        </is>
      </c>
      <c r="C10" s="2" t="inlineStr">
        <is>
          <t>WBS-100</t>
        </is>
      </c>
      <c r="D10" s="3" t="inlineStr">
        <is>
          <t>Obras Preliminares, Trazo y Movilización</t>
        </is>
      </c>
      <c r="E10" s="7">
        <f>IF(AND(A10&gt;='01_PRESUPUESTO_CRONOGRAMA_BASE'!K2, A10&lt;='01_PRESUPUESTO_CRONOGRAMA_BASE'!L2), '01_PRESUPUESTO_CRONOGRAMA_BASE'!M2, 0) + IF(AND(A10&gt;='01_PRESUPUESTO_CRONOGRAMA_BASE'!K3, A10&lt;='01_PRESUPUESTO_CRONOGRAMA_BASE'!L3), '01_PRESUPUESTO_CRONOGRAMA_BASE'!M3, 0)</f>
        <v/>
      </c>
      <c r="F10" s="19">
        <f>SUMIFS(E$2:E10, C$2:C10, C10)</f>
        <v/>
      </c>
    </row>
    <row r="11" ht="19.95" customHeight="1">
      <c r="A11" s="4" t="n">
        <v>3</v>
      </c>
      <c r="B11" s="4" t="inlineStr">
        <is>
          <t>2026-08-03</t>
        </is>
      </c>
      <c r="C11" s="2" t="inlineStr">
        <is>
          <t>WBS-200</t>
        </is>
      </c>
      <c r="D11" s="3" t="inlineStr">
        <is>
          <t>Red de Alcantarillado, Zanjas y Buzones</t>
        </is>
      </c>
      <c r="E11" s="7">
        <f>IF(AND(A11&gt;='01_PRESUPUESTO_CRONOGRAMA_BASE'!K4, A11&lt;='01_PRESUPUESTO_CRONOGRAMA_BASE'!L4), '01_PRESUPUESTO_CRONOGRAMA_BASE'!M4, 0) + IF(AND(A11&gt;='01_PRESUPUESTO_CRONOGRAMA_BASE'!K5, A11&lt;='01_PRESUPUESTO_CRONOGRAMA_BASE'!L5), '01_PRESUPUESTO_CRONOGRAMA_BASE'!M5, 0) + IF(AND(A11&gt;='01_PRESUPUESTO_CRONOGRAMA_BASE'!K6, A11&lt;='01_PRESUPUESTO_CRONOGRAMA_BASE'!L6), '01_PRESUPUESTO_CRONOGRAMA_BASE'!M6, 0) + IF(AND(A11&gt;='01_PRESUPUESTO_CRONOGRAMA_BASE'!K7, A11&lt;='01_PRESUPUESTO_CRONOGRAMA_BASE'!L7), '01_PRESUPUESTO_CRONOGRAMA_BASE'!M7, 0) + IF(AND(A11&gt;='01_PRESUPUESTO_CRONOGRAMA_BASE'!K8, A11&lt;='01_PRESUPUESTO_CRONOGRAMA_BASE'!L8), '01_PRESUPUESTO_CRONOGRAMA_BASE'!M8, 0) + IF(AND(A11&gt;='01_PRESUPUESTO_CRONOGRAMA_BASE'!K9, A11&lt;='01_PRESUPUESTO_CRONOGRAMA_BASE'!L9), '01_PRESUPUESTO_CRONOGRAMA_BASE'!M9, 0)</f>
        <v/>
      </c>
      <c r="F11" s="19">
        <f>SUMIFS(E$2:E11, C$2:C11, C11)</f>
        <v/>
      </c>
    </row>
    <row r="12" ht="19.95" customHeight="1">
      <c r="A12" s="4" t="n">
        <v>3</v>
      </c>
      <c r="B12" s="4" t="inlineStr">
        <is>
          <t>2026-08-03</t>
        </is>
      </c>
      <c r="C12" s="2" t="inlineStr">
        <is>
          <t>WBS-300</t>
        </is>
      </c>
      <c r="D12" s="3" t="inlineStr">
        <is>
          <t>Red de Agua Potable y Conexiones Domiciliarias</t>
        </is>
      </c>
      <c r="E12" s="7">
        <f>IF(AND(A12&gt;='01_PRESUPUESTO_CRONOGRAMA_BASE'!K10, A12&lt;='01_PRESUPUESTO_CRONOGRAMA_BASE'!L10), '01_PRESUPUESTO_CRONOGRAMA_BASE'!M10, 0) + IF(AND(A12&gt;='01_PRESUPUESTO_CRONOGRAMA_BASE'!K11, A12&lt;='01_PRESUPUESTO_CRONOGRAMA_BASE'!L11), '01_PRESUPUESTO_CRONOGRAMA_BASE'!M11, 0)</f>
        <v/>
      </c>
      <c r="F12" s="19">
        <f>SUMIFS(E$2:E12, C$2:C12, C12)</f>
        <v/>
      </c>
    </row>
    <row r="13" ht="19.95" customHeight="1">
      <c r="A13" s="4" t="n">
        <v>3</v>
      </c>
      <c r="B13" s="4" t="inlineStr">
        <is>
          <t>2026-08-03</t>
        </is>
      </c>
      <c r="C13" s="2" t="inlineStr">
        <is>
          <t>WBS-400</t>
        </is>
      </c>
      <c r="D13" s="3" t="inlineStr">
        <is>
          <t>Pruebas Hidráulicas, Desinfección y Entrega</t>
        </is>
      </c>
      <c r="E13" s="7">
        <f>IF(AND(A13&gt;='01_PRESUPUESTO_CRONOGRAMA_BASE'!K12, A13&lt;='01_PRESUPUESTO_CRONOGRAMA_BASE'!L12), '01_PRESUPUESTO_CRONOGRAMA_BASE'!M12, 0)</f>
        <v/>
      </c>
      <c r="F13" s="19">
        <f>SUMIFS(E$2:E13, C$2:C13, C13)</f>
        <v/>
      </c>
    </row>
    <row r="14" ht="19.95" customHeight="1">
      <c r="A14" s="4" t="n">
        <v>4</v>
      </c>
      <c r="B14" s="4" t="inlineStr">
        <is>
          <t>2026-08-04</t>
        </is>
      </c>
      <c r="C14" s="2" t="inlineStr">
        <is>
          <t>WBS-100</t>
        </is>
      </c>
      <c r="D14" s="3" t="inlineStr">
        <is>
          <t>Obras Preliminares, Trazo y Movilización</t>
        </is>
      </c>
      <c r="E14" s="7">
        <f>IF(AND(A14&gt;='01_PRESUPUESTO_CRONOGRAMA_BASE'!K2, A14&lt;='01_PRESUPUESTO_CRONOGRAMA_BASE'!L2), '01_PRESUPUESTO_CRONOGRAMA_BASE'!M2, 0) + IF(AND(A14&gt;='01_PRESUPUESTO_CRONOGRAMA_BASE'!K3, A14&lt;='01_PRESUPUESTO_CRONOGRAMA_BASE'!L3), '01_PRESUPUESTO_CRONOGRAMA_BASE'!M3, 0)</f>
        <v/>
      </c>
      <c r="F14" s="19">
        <f>SUMIFS(E$2:E14, C$2:C14, C14)</f>
        <v/>
      </c>
    </row>
    <row r="15" ht="19.95" customHeight="1">
      <c r="A15" s="4" t="n">
        <v>4</v>
      </c>
      <c r="B15" s="4" t="inlineStr">
        <is>
          <t>2026-08-04</t>
        </is>
      </c>
      <c r="C15" s="2" t="inlineStr">
        <is>
          <t>WBS-200</t>
        </is>
      </c>
      <c r="D15" s="3" t="inlineStr">
        <is>
          <t>Red de Alcantarillado, Zanjas y Buzones</t>
        </is>
      </c>
      <c r="E15" s="7">
        <f>IF(AND(A15&gt;='01_PRESUPUESTO_CRONOGRAMA_BASE'!K4, A15&lt;='01_PRESUPUESTO_CRONOGRAMA_BASE'!L4), '01_PRESUPUESTO_CRONOGRAMA_BASE'!M4, 0) + IF(AND(A15&gt;='01_PRESUPUESTO_CRONOGRAMA_BASE'!K5, A15&lt;='01_PRESUPUESTO_CRONOGRAMA_BASE'!L5), '01_PRESUPUESTO_CRONOGRAMA_BASE'!M5, 0) + IF(AND(A15&gt;='01_PRESUPUESTO_CRONOGRAMA_BASE'!K6, A15&lt;='01_PRESUPUESTO_CRONOGRAMA_BASE'!L6), '01_PRESUPUESTO_CRONOGRAMA_BASE'!M6, 0) + IF(AND(A15&gt;='01_PRESUPUESTO_CRONOGRAMA_BASE'!K7, A15&lt;='01_PRESUPUESTO_CRONOGRAMA_BASE'!L7), '01_PRESUPUESTO_CRONOGRAMA_BASE'!M7, 0) + IF(AND(A15&gt;='01_PRESUPUESTO_CRONOGRAMA_BASE'!K8, A15&lt;='01_PRESUPUESTO_CRONOGRAMA_BASE'!L8), '01_PRESUPUESTO_CRONOGRAMA_BASE'!M8, 0) + IF(AND(A15&gt;='01_PRESUPUESTO_CRONOGRAMA_BASE'!K9, A15&lt;='01_PRESUPUESTO_CRONOGRAMA_BASE'!L9), '01_PRESUPUESTO_CRONOGRAMA_BASE'!M9, 0)</f>
        <v/>
      </c>
      <c r="F15" s="19">
        <f>SUMIFS(E$2:E15, C$2:C15, C15)</f>
        <v/>
      </c>
    </row>
    <row r="16" ht="19.95" customHeight="1">
      <c r="A16" s="4" t="n">
        <v>4</v>
      </c>
      <c r="B16" s="4" t="inlineStr">
        <is>
          <t>2026-08-04</t>
        </is>
      </c>
      <c r="C16" s="2" t="inlineStr">
        <is>
          <t>WBS-300</t>
        </is>
      </c>
      <c r="D16" s="3" t="inlineStr">
        <is>
          <t>Red de Agua Potable y Conexiones Domiciliarias</t>
        </is>
      </c>
      <c r="E16" s="7">
        <f>IF(AND(A16&gt;='01_PRESUPUESTO_CRONOGRAMA_BASE'!K10, A16&lt;='01_PRESUPUESTO_CRONOGRAMA_BASE'!L10), '01_PRESUPUESTO_CRONOGRAMA_BASE'!M10, 0) + IF(AND(A16&gt;='01_PRESUPUESTO_CRONOGRAMA_BASE'!K11, A16&lt;='01_PRESUPUESTO_CRONOGRAMA_BASE'!L11), '01_PRESUPUESTO_CRONOGRAMA_BASE'!M11, 0)</f>
        <v/>
      </c>
      <c r="F16" s="19">
        <f>SUMIFS(E$2:E16, C$2:C16, C16)</f>
        <v/>
      </c>
    </row>
    <row r="17" ht="19.95" customHeight="1">
      <c r="A17" s="4" t="n">
        <v>4</v>
      </c>
      <c r="B17" s="4" t="inlineStr">
        <is>
          <t>2026-08-04</t>
        </is>
      </c>
      <c r="C17" s="2" t="inlineStr">
        <is>
          <t>WBS-400</t>
        </is>
      </c>
      <c r="D17" s="3" t="inlineStr">
        <is>
          <t>Pruebas Hidráulicas, Desinfección y Entrega</t>
        </is>
      </c>
      <c r="E17" s="7">
        <f>IF(AND(A17&gt;='01_PRESUPUESTO_CRONOGRAMA_BASE'!K12, A17&lt;='01_PRESUPUESTO_CRONOGRAMA_BASE'!L12), '01_PRESUPUESTO_CRONOGRAMA_BASE'!M12, 0)</f>
        <v/>
      </c>
      <c r="F17" s="19">
        <f>SUMIFS(E$2:E17, C$2:C17, C17)</f>
        <v/>
      </c>
    </row>
    <row r="18" ht="19.95" customHeight="1">
      <c r="A18" s="4" t="n">
        <v>5</v>
      </c>
      <c r="B18" s="4" t="inlineStr">
        <is>
          <t>2026-08-05</t>
        </is>
      </c>
      <c r="C18" s="2" t="inlineStr">
        <is>
          <t>WBS-100</t>
        </is>
      </c>
      <c r="D18" s="3" t="inlineStr">
        <is>
          <t>Obras Preliminares, Trazo y Movilización</t>
        </is>
      </c>
      <c r="E18" s="7">
        <f>IF(AND(A18&gt;='01_PRESUPUESTO_CRONOGRAMA_BASE'!K2, A18&lt;='01_PRESUPUESTO_CRONOGRAMA_BASE'!L2), '01_PRESUPUESTO_CRONOGRAMA_BASE'!M2, 0) + IF(AND(A18&gt;='01_PRESUPUESTO_CRONOGRAMA_BASE'!K3, A18&lt;='01_PRESUPUESTO_CRONOGRAMA_BASE'!L3), '01_PRESUPUESTO_CRONOGRAMA_BASE'!M3, 0)</f>
        <v/>
      </c>
      <c r="F18" s="19">
        <f>SUMIFS(E$2:E18, C$2:C18, C18)</f>
        <v/>
      </c>
    </row>
    <row r="19" ht="19.95" customHeight="1">
      <c r="A19" s="4" t="n">
        <v>5</v>
      </c>
      <c r="B19" s="4" t="inlineStr">
        <is>
          <t>2026-08-05</t>
        </is>
      </c>
      <c r="C19" s="2" t="inlineStr">
        <is>
          <t>WBS-200</t>
        </is>
      </c>
      <c r="D19" s="3" t="inlineStr">
        <is>
          <t>Red de Alcantarillado, Zanjas y Buzones</t>
        </is>
      </c>
      <c r="E19" s="7">
        <f>IF(AND(A19&gt;='01_PRESUPUESTO_CRONOGRAMA_BASE'!K4, A19&lt;='01_PRESUPUESTO_CRONOGRAMA_BASE'!L4), '01_PRESUPUESTO_CRONOGRAMA_BASE'!M4, 0) + IF(AND(A19&gt;='01_PRESUPUESTO_CRONOGRAMA_BASE'!K5, A19&lt;='01_PRESUPUESTO_CRONOGRAMA_BASE'!L5), '01_PRESUPUESTO_CRONOGRAMA_BASE'!M5, 0) + IF(AND(A19&gt;='01_PRESUPUESTO_CRONOGRAMA_BASE'!K6, A19&lt;='01_PRESUPUESTO_CRONOGRAMA_BASE'!L6), '01_PRESUPUESTO_CRONOGRAMA_BASE'!M6, 0) + IF(AND(A19&gt;='01_PRESUPUESTO_CRONOGRAMA_BASE'!K7, A19&lt;='01_PRESUPUESTO_CRONOGRAMA_BASE'!L7), '01_PRESUPUESTO_CRONOGRAMA_BASE'!M7, 0) + IF(AND(A19&gt;='01_PRESUPUESTO_CRONOGRAMA_BASE'!K8, A19&lt;='01_PRESUPUESTO_CRONOGRAMA_BASE'!L8), '01_PRESUPUESTO_CRONOGRAMA_BASE'!M8, 0) + IF(AND(A19&gt;='01_PRESUPUESTO_CRONOGRAMA_BASE'!K9, A19&lt;='01_PRESUPUESTO_CRONOGRAMA_BASE'!L9), '01_PRESUPUESTO_CRONOGRAMA_BASE'!M9, 0)</f>
        <v/>
      </c>
      <c r="F19" s="19">
        <f>SUMIFS(E$2:E19, C$2:C19, C19)</f>
        <v/>
      </c>
    </row>
    <row r="20" ht="19.95" customHeight="1">
      <c r="A20" s="4" t="n">
        <v>5</v>
      </c>
      <c r="B20" s="4" t="inlineStr">
        <is>
          <t>2026-08-05</t>
        </is>
      </c>
      <c r="C20" s="2" t="inlineStr">
        <is>
          <t>WBS-300</t>
        </is>
      </c>
      <c r="D20" s="3" t="inlineStr">
        <is>
          <t>Red de Agua Potable y Conexiones Domiciliarias</t>
        </is>
      </c>
      <c r="E20" s="7">
        <f>IF(AND(A20&gt;='01_PRESUPUESTO_CRONOGRAMA_BASE'!K10, A20&lt;='01_PRESUPUESTO_CRONOGRAMA_BASE'!L10), '01_PRESUPUESTO_CRONOGRAMA_BASE'!M10, 0) + IF(AND(A20&gt;='01_PRESUPUESTO_CRONOGRAMA_BASE'!K11, A20&lt;='01_PRESUPUESTO_CRONOGRAMA_BASE'!L11), '01_PRESUPUESTO_CRONOGRAMA_BASE'!M11, 0)</f>
        <v/>
      </c>
      <c r="F20" s="19">
        <f>SUMIFS(E$2:E20, C$2:C20, C20)</f>
        <v/>
      </c>
    </row>
    <row r="21" ht="19.95" customHeight="1">
      <c r="A21" s="4" t="n">
        <v>5</v>
      </c>
      <c r="B21" s="4" t="inlineStr">
        <is>
          <t>2026-08-05</t>
        </is>
      </c>
      <c r="C21" s="2" t="inlineStr">
        <is>
          <t>WBS-400</t>
        </is>
      </c>
      <c r="D21" s="3" t="inlineStr">
        <is>
          <t>Pruebas Hidráulicas, Desinfección y Entrega</t>
        </is>
      </c>
      <c r="E21" s="7">
        <f>IF(AND(A21&gt;='01_PRESUPUESTO_CRONOGRAMA_BASE'!K12, A21&lt;='01_PRESUPUESTO_CRONOGRAMA_BASE'!L12), '01_PRESUPUESTO_CRONOGRAMA_BASE'!M12, 0)</f>
        <v/>
      </c>
      <c r="F21" s="19">
        <f>SUMIFS(E$2:E21, C$2:C21, C21)</f>
        <v/>
      </c>
    </row>
    <row r="22" ht="19.95" customHeight="1">
      <c r="A22" s="4" t="n">
        <v>6</v>
      </c>
      <c r="B22" s="4" t="inlineStr">
        <is>
          <t>2026-08-06</t>
        </is>
      </c>
      <c r="C22" s="2" t="inlineStr">
        <is>
          <t>WBS-100</t>
        </is>
      </c>
      <c r="D22" s="3" t="inlineStr">
        <is>
          <t>Obras Preliminares, Trazo y Movilización</t>
        </is>
      </c>
      <c r="E22" s="7">
        <f>IF(AND(A22&gt;='01_PRESUPUESTO_CRONOGRAMA_BASE'!K2, A22&lt;='01_PRESUPUESTO_CRONOGRAMA_BASE'!L2), '01_PRESUPUESTO_CRONOGRAMA_BASE'!M2, 0) + IF(AND(A22&gt;='01_PRESUPUESTO_CRONOGRAMA_BASE'!K3, A22&lt;='01_PRESUPUESTO_CRONOGRAMA_BASE'!L3), '01_PRESUPUESTO_CRONOGRAMA_BASE'!M3, 0)</f>
        <v/>
      </c>
      <c r="F22" s="19">
        <f>SUMIFS(E$2:E22, C$2:C22, C22)</f>
        <v/>
      </c>
    </row>
    <row r="23" ht="19.95" customHeight="1">
      <c r="A23" s="4" t="n">
        <v>6</v>
      </c>
      <c r="B23" s="4" t="inlineStr">
        <is>
          <t>2026-08-06</t>
        </is>
      </c>
      <c r="C23" s="2" t="inlineStr">
        <is>
          <t>WBS-200</t>
        </is>
      </c>
      <c r="D23" s="3" t="inlineStr">
        <is>
          <t>Red de Alcantarillado, Zanjas y Buzones</t>
        </is>
      </c>
      <c r="E23" s="7">
        <f>IF(AND(A23&gt;='01_PRESUPUESTO_CRONOGRAMA_BASE'!K4, A23&lt;='01_PRESUPUESTO_CRONOGRAMA_BASE'!L4), '01_PRESUPUESTO_CRONOGRAMA_BASE'!M4, 0) + IF(AND(A23&gt;='01_PRESUPUESTO_CRONOGRAMA_BASE'!K5, A23&lt;='01_PRESUPUESTO_CRONOGRAMA_BASE'!L5), '01_PRESUPUESTO_CRONOGRAMA_BASE'!M5, 0) + IF(AND(A23&gt;='01_PRESUPUESTO_CRONOGRAMA_BASE'!K6, A23&lt;='01_PRESUPUESTO_CRONOGRAMA_BASE'!L6), '01_PRESUPUESTO_CRONOGRAMA_BASE'!M6, 0) + IF(AND(A23&gt;='01_PRESUPUESTO_CRONOGRAMA_BASE'!K7, A23&lt;='01_PRESUPUESTO_CRONOGRAMA_BASE'!L7), '01_PRESUPUESTO_CRONOGRAMA_BASE'!M7, 0) + IF(AND(A23&gt;='01_PRESUPUESTO_CRONOGRAMA_BASE'!K8, A23&lt;='01_PRESUPUESTO_CRONOGRAMA_BASE'!L8), '01_PRESUPUESTO_CRONOGRAMA_BASE'!M8, 0) + IF(AND(A23&gt;='01_PRESUPUESTO_CRONOGRAMA_BASE'!K9, A23&lt;='01_PRESUPUESTO_CRONOGRAMA_BASE'!L9), '01_PRESUPUESTO_CRONOGRAMA_BASE'!M9, 0)</f>
        <v/>
      </c>
      <c r="F23" s="19">
        <f>SUMIFS(E$2:E23, C$2:C23, C23)</f>
        <v/>
      </c>
    </row>
    <row r="24" ht="19.95" customHeight="1">
      <c r="A24" s="4" t="n">
        <v>6</v>
      </c>
      <c r="B24" s="4" t="inlineStr">
        <is>
          <t>2026-08-06</t>
        </is>
      </c>
      <c r="C24" s="2" t="inlineStr">
        <is>
          <t>WBS-300</t>
        </is>
      </c>
      <c r="D24" s="3" t="inlineStr">
        <is>
          <t>Red de Agua Potable y Conexiones Domiciliarias</t>
        </is>
      </c>
      <c r="E24" s="7">
        <f>IF(AND(A24&gt;='01_PRESUPUESTO_CRONOGRAMA_BASE'!K10, A24&lt;='01_PRESUPUESTO_CRONOGRAMA_BASE'!L10), '01_PRESUPUESTO_CRONOGRAMA_BASE'!M10, 0) + IF(AND(A24&gt;='01_PRESUPUESTO_CRONOGRAMA_BASE'!K11, A24&lt;='01_PRESUPUESTO_CRONOGRAMA_BASE'!L11), '01_PRESUPUESTO_CRONOGRAMA_BASE'!M11, 0)</f>
        <v/>
      </c>
      <c r="F24" s="19">
        <f>SUMIFS(E$2:E24, C$2:C24, C24)</f>
        <v/>
      </c>
    </row>
    <row r="25" ht="19.95" customHeight="1">
      <c r="A25" s="4" t="n">
        <v>6</v>
      </c>
      <c r="B25" s="4" t="inlineStr">
        <is>
          <t>2026-08-06</t>
        </is>
      </c>
      <c r="C25" s="2" t="inlineStr">
        <is>
          <t>WBS-400</t>
        </is>
      </c>
      <c r="D25" s="3" t="inlineStr">
        <is>
          <t>Pruebas Hidráulicas, Desinfección y Entrega</t>
        </is>
      </c>
      <c r="E25" s="7">
        <f>IF(AND(A25&gt;='01_PRESUPUESTO_CRONOGRAMA_BASE'!K12, A25&lt;='01_PRESUPUESTO_CRONOGRAMA_BASE'!L12), '01_PRESUPUESTO_CRONOGRAMA_BASE'!M12, 0)</f>
        <v/>
      </c>
      <c r="F25" s="19">
        <f>SUMIFS(E$2:E25, C$2:C25, C25)</f>
        <v/>
      </c>
    </row>
    <row r="26" ht="19.95" customHeight="1">
      <c r="A26" s="4" t="n">
        <v>7</v>
      </c>
      <c r="B26" s="4" t="inlineStr">
        <is>
          <t>2026-08-07</t>
        </is>
      </c>
      <c r="C26" s="2" t="inlineStr">
        <is>
          <t>WBS-100</t>
        </is>
      </c>
      <c r="D26" s="3" t="inlineStr">
        <is>
          <t>Obras Preliminares, Trazo y Movilización</t>
        </is>
      </c>
      <c r="E26" s="7">
        <f>IF(AND(A26&gt;='01_PRESUPUESTO_CRONOGRAMA_BASE'!K2, A26&lt;='01_PRESUPUESTO_CRONOGRAMA_BASE'!L2), '01_PRESUPUESTO_CRONOGRAMA_BASE'!M2, 0) + IF(AND(A26&gt;='01_PRESUPUESTO_CRONOGRAMA_BASE'!K3, A26&lt;='01_PRESUPUESTO_CRONOGRAMA_BASE'!L3), '01_PRESUPUESTO_CRONOGRAMA_BASE'!M3, 0)</f>
        <v/>
      </c>
      <c r="F26" s="19">
        <f>SUMIFS(E$2:E26, C$2:C26, C26)</f>
        <v/>
      </c>
    </row>
    <row r="27" ht="19.95" customHeight="1">
      <c r="A27" s="4" t="n">
        <v>7</v>
      </c>
      <c r="B27" s="4" t="inlineStr">
        <is>
          <t>2026-08-07</t>
        </is>
      </c>
      <c r="C27" s="2" t="inlineStr">
        <is>
          <t>WBS-200</t>
        </is>
      </c>
      <c r="D27" s="3" t="inlineStr">
        <is>
          <t>Red de Alcantarillado, Zanjas y Buzones</t>
        </is>
      </c>
      <c r="E27" s="7">
        <f>IF(AND(A27&gt;='01_PRESUPUESTO_CRONOGRAMA_BASE'!K4, A27&lt;='01_PRESUPUESTO_CRONOGRAMA_BASE'!L4), '01_PRESUPUESTO_CRONOGRAMA_BASE'!M4, 0) + IF(AND(A27&gt;='01_PRESUPUESTO_CRONOGRAMA_BASE'!K5, A27&lt;='01_PRESUPUESTO_CRONOGRAMA_BASE'!L5), '01_PRESUPUESTO_CRONOGRAMA_BASE'!M5, 0) + IF(AND(A27&gt;='01_PRESUPUESTO_CRONOGRAMA_BASE'!K6, A27&lt;='01_PRESUPUESTO_CRONOGRAMA_BASE'!L6), '01_PRESUPUESTO_CRONOGRAMA_BASE'!M6, 0) + IF(AND(A27&gt;='01_PRESUPUESTO_CRONOGRAMA_BASE'!K7, A27&lt;='01_PRESUPUESTO_CRONOGRAMA_BASE'!L7), '01_PRESUPUESTO_CRONOGRAMA_BASE'!M7, 0) + IF(AND(A27&gt;='01_PRESUPUESTO_CRONOGRAMA_BASE'!K8, A27&lt;='01_PRESUPUESTO_CRONOGRAMA_BASE'!L8), '01_PRESUPUESTO_CRONOGRAMA_BASE'!M8, 0) + IF(AND(A27&gt;='01_PRESUPUESTO_CRONOGRAMA_BASE'!K9, A27&lt;='01_PRESUPUESTO_CRONOGRAMA_BASE'!L9), '01_PRESUPUESTO_CRONOGRAMA_BASE'!M9, 0)</f>
        <v/>
      </c>
      <c r="F27" s="19">
        <f>SUMIFS(E$2:E27, C$2:C27, C27)</f>
        <v/>
      </c>
    </row>
    <row r="28" ht="19.95" customHeight="1">
      <c r="A28" s="4" t="n">
        <v>7</v>
      </c>
      <c r="B28" s="4" t="inlineStr">
        <is>
          <t>2026-08-07</t>
        </is>
      </c>
      <c r="C28" s="2" t="inlineStr">
        <is>
          <t>WBS-300</t>
        </is>
      </c>
      <c r="D28" s="3" t="inlineStr">
        <is>
          <t>Red de Agua Potable y Conexiones Domiciliarias</t>
        </is>
      </c>
      <c r="E28" s="7">
        <f>IF(AND(A28&gt;='01_PRESUPUESTO_CRONOGRAMA_BASE'!K10, A28&lt;='01_PRESUPUESTO_CRONOGRAMA_BASE'!L10), '01_PRESUPUESTO_CRONOGRAMA_BASE'!M10, 0) + IF(AND(A28&gt;='01_PRESUPUESTO_CRONOGRAMA_BASE'!K11, A28&lt;='01_PRESUPUESTO_CRONOGRAMA_BASE'!L11), '01_PRESUPUESTO_CRONOGRAMA_BASE'!M11, 0)</f>
        <v/>
      </c>
      <c r="F28" s="19">
        <f>SUMIFS(E$2:E28, C$2:C28, C28)</f>
        <v/>
      </c>
    </row>
    <row r="29" ht="19.95" customHeight="1">
      <c r="A29" s="4" t="n">
        <v>7</v>
      </c>
      <c r="B29" s="4" t="inlineStr">
        <is>
          <t>2026-08-07</t>
        </is>
      </c>
      <c r="C29" s="2" t="inlineStr">
        <is>
          <t>WBS-400</t>
        </is>
      </c>
      <c r="D29" s="3" t="inlineStr">
        <is>
          <t>Pruebas Hidráulicas, Desinfección y Entrega</t>
        </is>
      </c>
      <c r="E29" s="7">
        <f>IF(AND(A29&gt;='01_PRESUPUESTO_CRONOGRAMA_BASE'!K12, A29&lt;='01_PRESUPUESTO_CRONOGRAMA_BASE'!L12), '01_PRESUPUESTO_CRONOGRAMA_BASE'!M12, 0)</f>
        <v/>
      </c>
      <c r="F29" s="19">
        <f>SUMIFS(E$2:E29, C$2:C29, C29)</f>
        <v/>
      </c>
    </row>
    <row r="30" ht="19.95" customHeight="1">
      <c r="A30" s="4" t="n">
        <v>8</v>
      </c>
      <c r="B30" s="4" t="inlineStr">
        <is>
          <t>2026-08-08</t>
        </is>
      </c>
      <c r="C30" s="2" t="inlineStr">
        <is>
          <t>WBS-100</t>
        </is>
      </c>
      <c r="D30" s="3" t="inlineStr">
        <is>
          <t>Obras Preliminares, Trazo y Movilización</t>
        </is>
      </c>
      <c r="E30" s="7">
        <f>IF(AND(A30&gt;='01_PRESUPUESTO_CRONOGRAMA_BASE'!K2, A30&lt;='01_PRESUPUESTO_CRONOGRAMA_BASE'!L2), '01_PRESUPUESTO_CRONOGRAMA_BASE'!M2, 0) + IF(AND(A30&gt;='01_PRESUPUESTO_CRONOGRAMA_BASE'!K3, A30&lt;='01_PRESUPUESTO_CRONOGRAMA_BASE'!L3), '01_PRESUPUESTO_CRONOGRAMA_BASE'!M3, 0)</f>
        <v/>
      </c>
      <c r="F30" s="19">
        <f>SUMIFS(E$2:E30, C$2:C30, C30)</f>
        <v/>
      </c>
    </row>
    <row r="31" ht="19.95" customHeight="1">
      <c r="A31" s="4" t="n">
        <v>8</v>
      </c>
      <c r="B31" s="4" t="inlineStr">
        <is>
          <t>2026-08-08</t>
        </is>
      </c>
      <c r="C31" s="2" t="inlineStr">
        <is>
          <t>WBS-200</t>
        </is>
      </c>
      <c r="D31" s="3" t="inlineStr">
        <is>
          <t>Red de Alcantarillado, Zanjas y Buzones</t>
        </is>
      </c>
      <c r="E31" s="7">
        <f>IF(AND(A31&gt;='01_PRESUPUESTO_CRONOGRAMA_BASE'!K4, A31&lt;='01_PRESUPUESTO_CRONOGRAMA_BASE'!L4), '01_PRESUPUESTO_CRONOGRAMA_BASE'!M4, 0) + IF(AND(A31&gt;='01_PRESUPUESTO_CRONOGRAMA_BASE'!K5, A31&lt;='01_PRESUPUESTO_CRONOGRAMA_BASE'!L5), '01_PRESUPUESTO_CRONOGRAMA_BASE'!M5, 0) + IF(AND(A31&gt;='01_PRESUPUESTO_CRONOGRAMA_BASE'!K6, A31&lt;='01_PRESUPUESTO_CRONOGRAMA_BASE'!L6), '01_PRESUPUESTO_CRONOGRAMA_BASE'!M6, 0) + IF(AND(A31&gt;='01_PRESUPUESTO_CRONOGRAMA_BASE'!K7, A31&lt;='01_PRESUPUESTO_CRONOGRAMA_BASE'!L7), '01_PRESUPUESTO_CRONOGRAMA_BASE'!M7, 0) + IF(AND(A31&gt;='01_PRESUPUESTO_CRONOGRAMA_BASE'!K8, A31&lt;='01_PRESUPUESTO_CRONOGRAMA_BASE'!L8), '01_PRESUPUESTO_CRONOGRAMA_BASE'!M8, 0) + IF(AND(A31&gt;='01_PRESUPUESTO_CRONOGRAMA_BASE'!K9, A31&lt;='01_PRESUPUESTO_CRONOGRAMA_BASE'!L9), '01_PRESUPUESTO_CRONOGRAMA_BASE'!M9, 0)</f>
        <v/>
      </c>
      <c r="F31" s="19">
        <f>SUMIFS(E$2:E31, C$2:C31, C31)</f>
        <v/>
      </c>
    </row>
    <row r="32" ht="19.95" customHeight="1">
      <c r="A32" s="4" t="n">
        <v>8</v>
      </c>
      <c r="B32" s="4" t="inlineStr">
        <is>
          <t>2026-08-08</t>
        </is>
      </c>
      <c r="C32" s="2" t="inlineStr">
        <is>
          <t>WBS-300</t>
        </is>
      </c>
      <c r="D32" s="3" t="inlineStr">
        <is>
          <t>Red de Agua Potable y Conexiones Domiciliarias</t>
        </is>
      </c>
      <c r="E32" s="7">
        <f>IF(AND(A32&gt;='01_PRESUPUESTO_CRONOGRAMA_BASE'!K10, A32&lt;='01_PRESUPUESTO_CRONOGRAMA_BASE'!L10), '01_PRESUPUESTO_CRONOGRAMA_BASE'!M10, 0) + IF(AND(A32&gt;='01_PRESUPUESTO_CRONOGRAMA_BASE'!K11, A32&lt;='01_PRESUPUESTO_CRONOGRAMA_BASE'!L11), '01_PRESUPUESTO_CRONOGRAMA_BASE'!M11, 0)</f>
        <v/>
      </c>
      <c r="F32" s="19">
        <f>SUMIFS(E$2:E32, C$2:C32, C32)</f>
        <v/>
      </c>
    </row>
    <row r="33" ht="19.95" customHeight="1">
      <c r="A33" s="4" t="n">
        <v>8</v>
      </c>
      <c r="B33" s="4" t="inlineStr">
        <is>
          <t>2026-08-08</t>
        </is>
      </c>
      <c r="C33" s="2" t="inlineStr">
        <is>
          <t>WBS-400</t>
        </is>
      </c>
      <c r="D33" s="3" t="inlineStr">
        <is>
          <t>Pruebas Hidráulicas, Desinfección y Entrega</t>
        </is>
      </c>
      <c r="E33" s="7">
        <f>IF(AND(A33&gt;='01_PRESUPUESTO_CRONOGRAMA_BASE'!K12, A33&lt;='01_PRESUPUESTO_CRONOGRAMA_BASE'!L12), '01_PRESUPUESTO_CRONOGRAMA_BASE'!M12, 0)</f>
        <v/>
      </c>
      <c r="F33" s="19">
        <f>SUMIFS(E$2:E33, C$2:C33, C33)</f>
        <v/>
      </c>
    </row>
    <row r="34" ht="19.95" customHeight="1">
      <c r="A34" s="4" t="n">
        <v>9</v>
      </c>
      <c r="B34" s="4" t="inlineStr">
        <is>
          <t>2026-08-09</t>
        </is>
      </c>
      <c r="C34" s="2" t="inlineStr">
        <is>
          <t>WBS-100</t>
        </is>
      </c>
      <c r="D34" s="3" t="inlineStr">
        <is>
          <t>Obras Preliminares, Trazo y Movilización</t>
        </is>
      </c>
      <c r="E34" s="7">
        <f>IF(AND(A34&gt;='01_PRESUPUESTO_CRONOGRAMA_BASE'!K2, A34&lt;='01_PRESUPUESTO_CRONOGRAMA_BASE'!L2), '01_PRESUPUESTO_CRONOGRAMA_BASE'!M2, 0) + IF(AND(A34&gt;='01_PRESUPUESTO_CRONOGRAMA_BASE'!K3, A34&lt;='01_PRESUPUESTO_CRONOGRAMA_BASE'!L3), '01_PRESUPUESTO_CRONOGRAMA_BASE'!M3, 0)</f>
        <v/>
      </c>
      <c r="F34" s="19">
        <f>SUMIFS(E$2:E34, C$2:C34, C34)</f>
        <v/>
      </c>
    </row>
    <row r="35" ht="19.95" customHeight="1">
      <c r="A35" s="4" t="n">
        <v>9</v>
      </c>
      <c r="B35" s="4" t="inlineStr">
        <is>
          <t>2026-08-09</t>
        </is>
      </c>
      <c r="C35" s="2" t="inlineStr">
        <is>
          <t>WBS-200</t>
        </is>
      </c>
      <c r="D35" s="3" t="inlineStr">
        <is>
          <t>Red de Alcantarillado, Zanjas y Buzones</t>
        </is>
      </c>
      <c r="E35" s="7">
        <f>IF(AND(A35&gt;='01_PRESUPUESTO_CRONOGRAMA_BASE'!K4, A35&lt;='01_PRESUPUESTO_CRONOGRAMA_BASE'!L4), '01_PRESUPUESTO_CRONOGRAMA_BASE'!M4, 0) + IF(AND(A35&gt;='01_PRESUPUESTO_CRONOGRAMA_BASE'!K5, A35&lt;='01_PRESUPUESTO_CRONOGRAMA_BASE'!L5), '01_PRESUPUESTO_CRONOGRAMA_BASE'!M5, 0) + IF(AND(A35&gt;='01_PRESUPUESTO_CRONOGRAMA_BASE'!K6, A35&lt;='01_PRESUPUESTO_CRONOGRAMA_BASE'!L6), '01_PRESUPUESTO_CRONOGRAMA_BASE'!M6, 0) + IF(AND(A35&gt;='01_PRESUPUESTO_CRONOGRAMA_BASE'!K7, A35&lt;='01_PRESUPUESTO_CRONOGRAMA_BASE'!L7), '01_PRESUPUESTO_CRONOGRAMA_BASE'!M7, 0) + IF(AND(A35&gt;='01_PRESUPUESTO_CRONOGRAMA_BASE'!K8, A35&lt;='01_PRESUPUESTO_CRONOGRAMA_BASE'!L8), '01_PRESUPUESTO_CRONOGRAMA_BASE'!M8, 0) + IF(AND(A35&gt;='01_PRESUPUESTO_CRONOGRAMA_BASE'!K9, A35&lt;='01_PRESUPUESTO_CRONOGRAMA_BASE'!L9), '01_PRESUPUESTO_CRONOGRAMA_BASE'!M9, 0)</f>
        <v/>
      </c>
      <c r="F35" s="19">
        <f>SUMIFS(E$2:E35, C$2:C35, C35)</f>
        <v/>
      </c>
    </row>
    <row r="36" ht="19.95" customHeight="1">
      <c r="A36" s="4" t="n">
        <v>9</v>
      </c>
      <c r="B36" s="4" t="inlineStr">
        <is>
          <t>2026-08-09</t>
        </is>
      </c>
      <c r="C36" s="2" t="inlineStr">
        <is>
          <t>WBS-300</t>
        </is>
      </c>
      <c r="D36" s="3" t="inlineStr">
        <is>
          <t>Red de Agua Potable y Conexiones Domiciliarias</t>
        </is>
      </c>
      <c r="E36" s="7">
        <f>IF(AND(A36&gt;='01_PRESUPUESTO_CRONOGRAMA_BASE'!K10, A36&lt;='01_PRESUPUESTO_CRONOGRAMA_BASE'!L10), '01_PRESUPUESTO_CRONOGRAMA_BASE'!M10, 0) + IF(AND(A36&gt;='01_PRESUPUESTO_CRONOGRAMA_BASE'!K11, A36&lt;='01_PRESUPUESTO_CRONOGRAMA_BASE'!L11), '01_PRESUPUESTO_CRONOGRAMA_BASE'!M11, 0)</f>
        <v/>
      </c>
      <c r="F36" s="19">
        <f>SUMIFS(E$2:E36, C$2:C36, C36)</f>
        <v/>
      </c>
    </row>
    <row r="37" ht="19.95" customHeight="1">
      <c r="A37" s="4" t="n">
        <v>9</v>
      </c>
      <c r="B37" s="4" t="inlineStr">
        <is>
          <t>2026-08-09</t>
        </is>
      </c>
      <c r="C37" s="2" t="inlineStr">
        <is>
          <t>WBS-400</t>
        </is>
      </c>
      <c r="D37" s="3" t="inlineStr">
        <is>
          <t>Pruebas Hidráulicas, Desinfección y Entrega</t>
        </is>
      </c>
      <c r="E37" s="7">
        <f>IF(AND(A37&gt;='01_PRESUPUESTO_CRONOGRAMA_BASE'!K12, A37&lt;='01_PRESUPUESTO_CRONOGRAMA_BASE'!L12), '01_PRESUPUESTO_CRONOGRAMA_BASE'!M12, 0)</f>
        <v/>
      </c>
      <c r="F37" s="19">
        <f>SUMIFS(E$2:E37, C$2:C37, C37)</f>
        <v/>
      </c>
    </row>
    <row r="38" ht="19.95" customHeight="1">
      <c r="A38" s="4" t="n">
        <v>10</v>
      </c>
      <c r="B38" s="4" t="inlineStr">
        <is>
          <t>2026-08-10</t>
        </is>
      </c>
      <c r="C38" s="2" t="inlineStr">
        <is>
          <t>WBS-100</t>
        </is>
      </c>
      <c r="D38" s="3" t="inlineStr">
        <is>
          <t>Obras Preliminares, Trazo y Movilización</t>
        </is>
      </c>
      <c r="E38" s="7">
        <f>IF(AND(A38&gt;='01_PRESUPUESTO_CRONOGRAMA_BASE'!K2, A38&lt;='01_PRESUPUESTO_CRONOGRAMA_BASE'!L2), '01_PRESUPUESTO_CRONOGRAMA_BASE'!M2, 0) + IF(AND(A38&gt;='01_PRESUPUESTO_CRONOGRAMA_BASE'!K3, A38&lt;='01_PRESUPUESTO_CRONOGRAMA_BASE'!L3), '01_PRESUPUESTO_CRONOGRAMA_BASE'!M3, 0)</f>
        <v/>
      </c>
      <c r="F38" s="19">
        <f>SUMIFS(E$2:E38, C$2:C38, C38)</f>
        <v/>
      </c>
    </row>
    <row r="39" ht="19.95" customHeight="1">
      <c r="A39" s="4" t="n">
        <v>10</v>
      </c>
      <c r="B39" s="4" t="inlineStr">
        <is>
          <t>2026-08-10</t>
        </is>
      </c>
      <c r="C39" s="2" t="inlineStr">
        <is>
          <t>WBS-200</t>
        </is>
      </c>
      <c r="D39" s="3" t="inlineStr">
        <is>
          <t>Red de Alcantarillado, Zanjas y Buzones</t>
        </is>
      </c>
      <c r="E39" s="7">
        <f>IF(AND(A39&gt;='01_PRESUPUESTO_CRONOGRAMA_BASE'!K4, A39&lt;='01_PRESUPUESTO_CRONOGRAMA_BASE'!L4), '01_PRESUPUESTO_CRONOGRAMA_BASE'!M4, 0) + IF(AND(A39&gt;='01_PRESUPUESTO_CRONOGRAMA_BASE'!K5, A39&lt;='01_PRESUPUESTO_CRONOGRAMA_BASE'!L5), '01_PRESUPUESTO_CRONOGRAMA_BASE'!M5, 0) + IF(AND(A39&gt;='01_PRESUPUESTO_CRONOGRAMA_BASE'!K6, A39&lt;='01_PRESUPUESTO_CRONOGRAMA_BASE'!L6), '01_PRESUPUESTO_CRONOGRAMA_BASE'!M6, 0) + IF(AND(A39&gt;='01_PRESUPUESTO_CRONOGRAMA_BASE'!K7, A39&lt;='01_PRESUPUESTO_CRONOGRAMA_BASE'!L7), '01_PRESUPUESTO_CRONOGRAMA_BASE'!M7, 0) + IF(AND(A39&gt;='01_PRESUPUESTO_CRONOGRAMA_BASE'!K8, A39&lt;='01_PRESUPUESTO_CRONOGRAMA_BASE'!L8), '01_PRESUPUESTO_CRONOGRAMA_BASE'!M8, 0) + IF(AND(A39&gt;='01_PRESUPUESTO_CRONOGRAMA_BASE'!K9, A39&lt;='01_PRESUPUESTO_CRONOGRAMA_BASE'!L9), '01_PRESUPUESTO_CRONOGRAMA_BASE'!M9, 0)</f>
        <v/>
      </c>
      <c r="F39" s="19">
        <f>SUMIFS(E$2:E39, C$2:C39, C39)</f>
        <v/>
      </c>
    </row>
    <row r="40" ht="19.95" customHeight="1">
      <c r="A40" s="4" t="n">
        <v>10</v>
      </c>
      <c r="B40" s="4" t="inlineStr">
        <is>
          <t>2026-08-10</t>
        </is>
      </c>
      <c r="C40" s="2" t="inlineStr">
        <is>
          <t>WBS-300</t>
        </is>
      </c>
      <c r="D40" s="3" t="inlineStr">
        <is>
          <t>Red de Agua Potable y Conexiones Domiciliarias</t>
        </is>
      </c>
      <c r="E40" s="7">
        <f>IF(AND(A40&gt;='01_PRESUPUESTO_CRONOGRAMA_BASE'!K10, A40&lt;='01_PRESUPUESTO_CRONOGRAMA_BASE'!L10), '01_PRESUPUESTO_CRONOGRAMA_BASE'!M10, 0) + IF(AND(A40&gt;='01_PRESUPUESTO_CRONOGRAMA_BASE'!K11, A40&lt;='01_PRESUPUESTO_CRONOGRAMA_BASE'!L11), '01_PRESUPUESTO_CRONOGRAMA_BASE'!M11, 0)</f>
        <v/>
      </c>
      <c r="F40" s="19">
        <f>SUMIFS(E$2:E40, C$2:C40, C40)</f>
        <v/>
      </c>
    </row>
    <row r="41" ht="19.95" customHeight="1">
      <c r="A41" s="4" t="n">
        <v>10</v>
      </c>
      <c r="B41" s="4" t="inlineStr">
        <is>
          <t>2026-08-10</t>
        </is>
      </c>
      <c r="C41" s="2" t="inlineStr">
        <is>
          <t>WBS-400</t>
        </is>
      </c>
      <c r="D41" s="3" t="inlineStr">
        <is>
          <t>Pruebas Hidráulicas, Desinfección y Entrega</t>
        </is>
      </c>
      <c r="E41" s="7">
        <f>IF(AND(A41&gt;='01_PRESUPUESTO_CRONOGRAMA_BASE'!K12, A41&lt;='01_PRESUPUESTO_CRONOGRAMA_BASE'!L12), '01_PRESUPUESTO_CRONOGRAMA_BASE'!M12, 0)</f>
        <v/>
      </c>
      <c r="F41" s="19">
        <f>SUMIFS(E$2:E41, C$2:C41, C41)</f>
        <v/>
      </c>
    </row>
    <row r="42" ht="19.95" customHeight="1">
      <c r="A42" s="4" t="n">
        <v>11</v>
      </c>
      <c r="B42" s="4" t="inlineStr">
        <is>
          <t>2026-08-11</t>
        </is>
      </c>
      <c r="C42" s="2" t="inlineStr">
        <is>
          <t>WBS-100</t>
        </is>
      </c>
      <c r="D42" s="3" t="inlineStr">
        <is>
          <t>Obras Preliminares, Trazo y Movilización</t>
        </is>
      </c>
      <c r="E42" s="7">
        <f>IF(AND(A42&gt;='01_PRESUPUESTO_CRONOGRAMA_BASE'!K2, A42&lt;='01_PRESUPUESTO_CRONOGRAMA_BASE'!L2), '01_PRESUPUESTO_CRONOGRAMA_BASE'!M2, 0) + IF(AND(A42&gt;='01_PRESUPUESTO_CRONOGRAMA_BASE'!K3, A42&lt;='01_PRESUPUESTO_CRONOGRAMA_BASE'!L3), '01_PRESUPUESTO_CRONOGRAMA_BASE'!M3, 0)</f>
        <v/>
      </c>
      <c r="F42" s="19">
        <f>SUMIFS(E$2:E42, C$2:C42, C42)</f>
        <v/>
      </c>
    </row>
    <row r="43" ht="19.95" customHeight="1">
      <c r="A43" s="4" t="n">
        <v>11</v>
      </c>
      <c r="B43" s="4" t="inlineStr">
        <is>
          <t>2026-08-11</t>
        </is>
      </c>
      <c r="C43" s="2" t="inlineStr">
        <is>
          <t>WBS-200</t>
        </is>
      </c>
      <c r="D43" s="3" t="inlineStr">
        <is>
          <t>Red de Alcantarillado, Zanjas y Buzones</t>
        </is>
      </c>
      <c r="E43" s="7">
        <f>IF(AND(A43&gt;='01_PRESUPUESTO_CRONOGRAMA_BASE'!K4, A43&lt;='01_PRESUPUESTO_CRONOGRAMA_BASE'!L4), '01_PRESUPUESTO_CRONOGRAMA_BASE'!M4, 0) + IF(AND(A43&gt;='01_PRESUPUESTO_CRONOGRAMA_BASE'!K5, A43&lt;='01_PRESUPUESTO_CRONOGRAMA_BASE'!L5), '01_PRESUPUESTO_CRONOGRAMA_BASE'!M5, 0) + IF(AND(A43&gt;='01_PRESUPUESTO_CRONOGRAMA_BASE'!K6, A43&lt;='01_PRESUPUESTO_CRONOGRAMA_BASE'!L6), '01_PRESUPUESTO_CRONOGRAMA_BASE'!M6, 0) + IF(AND(A43&gt;='01_PRESUPUESTO_CRONOGRAMA_BASE'!K7, A43&lt;='01_PRESUPUESTO_CRONOGRAMA_BASE'!L7), '01_PRESUPUESTO_CRONOGRAMA_BASE'!M7, 0) + IF(AND(A43&gt;='01_PRESUPUESTO_CRONOGRAMA_BASE'!K8, A43&lt;='01_PRESUPUESTO_CRONOGRAMA_BASE'!L8), '01_PRESUPUESTO_CRONOGRAMA_BASE'!M8, 0) + IF(AND(A43&gt;='01_PRESUPUESTO_CRONOGRAMA_BASE'!K9, A43&lt;='01_PRESUPUESTO_CRONOGRAMA_BASE'!L9), '01_PRESUPUESTO_CRONOGRAMA_BASE'!M9, 0)</f>
        <v/>
      </c>
      <c r="F43" s="19">
        <f>SUMIFS(E$2:E43, C$2:C43, C43)</f>
        <v/>
      </c>
    </row>
    <row r="44" ht="19.95" customHeight="1">
      <c r="A44" s="4" t="n">
        <v>11</v>
      </c>
      <c r="B44" s="4" t="inlineStr">
        <is>
          <t>2026-08-11</t>
        </is>
      </c>
      <c r="C44" s="2" t="inlineStr">
        <is>
          <t>WBS-300</t>
        </is>
      </c>
      <c r="D44" s="3" t="inlineStr">
        <is>
          <t>Red de Agua Potable y Conexiones Domiciliarias</t>
        </is>
      </c>
      <c r="E44" s="7">
        <f>IF(AND(A44&gt;='01_PRESUPUESTO_CRONOGRAMA_BASE'!K10, A44&lt;='01_PRESUPUESTO_CRONOGRAMA_BASE'!L10), '01_PRESUPUESTO_CRONOGRAMA_BASE'!M10, 0) + IF(AND(A44&gt;='01_PRESUPUESTO_CRONOGRAMA_BASE'!K11, A44&lt;='01_PRESUPUESTO_CRONOGRAMA_BASE'!L11), '01_PRESUPUESTO_CRONOGRAMA_BASE'!M11, 0)</f>
        <v/>
      </c>
      <c r="F44" s="19">
        <f>SUMIFS(E$2:E44, C$2:C44, C44)</f>
        <v/>
      </c>
    </row>
    <row r="45" ht="19.95" customHeight="1">
      <c r="A45" s="4" t="n">
        <v>11</v>
      </c>
      <c r="B45" s="4" t="inlineStr">
        <is>
          <t>2026-08-11</t>
        </is>
      </c>
      <c r="C45" s="2" t="inlineStr">
        <is>
          <t>WBS-400</t>
        </is>
      </c>
      <c r="D45" s="3" t="inlineStr">
        <is>
          <t>Pruebas Hidráulicas, Desinfección y Entrega</t>
        </is>
      </c>
      <c r="E45" s="7">
        <f>IF(AND(A45&gt;='01_PRESUPUESTO_CRONOGRAMA_BASE'!K12, A45&lt;='01_PRESUPUESTO_CRONOGRAMA_BASE'!L12), '01_PRESUPUESTO_CRONOGRAMA_BASE'!M12, 0)</f>
        <v/>
      </c>
      <c r="F45" s="19">
        <f>SUMIFS(E$2:E45, C$2:C45, C45)</f>
        <v/>
      </c>
    </row>
    <row r="46" ht="19.95" customHeight="1">
      <c r="A46" s="4" t="n">
        <v>12</v>
      </c>
      <c r="B46" s="4" t="inlineStr">
        <is>
          <t>2026-08-12</t>
        </is>
      </c>
      <c r="C46" s="2" t="inlineStr">
        <is>
          <t>WBS-100</t>
        </is>
      </c>
      <c r="D46" s="3" t="inlineStr">
        <is>
          <t>Obras Preliminares, Trazo y Movilización</t>
        </is>
      </c>
      <c r="E46" s="7">
        <f>IF(AND(A46&gt;='01_PRESUPUESTO_CRONOGRAMA_BASE'!K2, A46&lt;='01_PRESUPUESTO_CRONOGRAMA_BASE'!L2), '01_PRESUPUESTO_CRONOGRAMA_BASE'!M2, 0) + IF(AND(A46&gt;='01_PRESUPUESTO_CRONOGRAMA_BASE'!K3, A46&lt;='01_PRESUPUESTO_CRONOGRAMA_BASE'!L3), '01_PRESUPUESTO_CRONOGRAMA_BASE'!M3, 0)</f>
        <v/>
      </c>
      <c r="F46" s="19">
        <f>SUMIFS(E$2:E46, C$2:C46, C46)</f>
        <v/>
      </c>
    </row>
    <row r="47" ht="19.95" customHeight="1">
      <c r="A47" s="4" t="n">
        <v>12</v>
      </c>
      <c r="B47" s="4" t="inlineStr">
        <is>
          <t>2026-08-12</t>
        </is>
      </c>
      <c r="C47" s="2" t="inlineStr">
        <is>
          <t>WBS-200</t>
        </is>
      </c>
      <c r="D47" s="3" t="inlineStr">
        <is>
          <t>Red de Alcantarillado, Zanjas y Buzones</t>
        </is>
      </c>
      <c r="E47" s="7">
        <f>IF(AND(A47&gt;='01_PRESUPUESTO_CRONOGRAMA_BASE'!K4, A47&lt;='01_PRESUPUESTO_CRONOGRAMA_BASE'!L4), '01_PRESUPUESTO_CRONOGRAMA_BASE'!M4, 0) + IF(AND(A47&gt;='01_PRESUPUESTO_CRONOGRAMA_BASE'!K5, A47&lt;='01_PRESUPUESTO_CRONOGRAMA_BASE'!L5), '01_PRESUPUESTO_CRONOGRAMA_BASE'!M5, 0) + IF(AND(A47&gt;='01_PRESUPUESTO_CRONOGRAMA_BASE'!K6, A47&lt;='01_PRESUPUESTO_CRONOGRAMA_BASE'!L6), '01_PRESUPUESTO_CRONOGRAMA_BASE'!M6, 0) + IF(AND(A47&gt;='01_PRESUPUESTO_CRONOGRAMA_BASE'!K7, A47&lt;='01_PRESUPUESTO_CRONOGRAMA_BASE'!L7), '01_PRESUPUESTO_CRONOGRAMA_BASE'!M7, 0) + IF(AND(A47&gt;='01_PRESUPUESTO_CRONOGRAMA_BASE'!K8, A47&lt;='01_PRESUPUESTO_CRONOGRAMA_BASE'!L8), '01_PRESUPUESTO_CRONOGRAMA_BASE'!M8, 0) + IF(AND(A47&gt;='01_PRESUPUESTO_CRONOGRAMA_BASE'!K9, A47&lt;='01_PRESUPUESTO_CRONOGRAMA_BASE'!L9), '01_PRESUPUESTO_CRONOGRAMA_BASE'!M9, 0)</f>
        <v/>
      </c>
      <c r="F47" s="19">
        <f>SUMIFS(E$2:E47, C$2:C47, C47)</f>
        <v/>
      </c>
    </row>
    <row r="48" ht="19.95" customHeight="1">
      <c r="A48" s="4" t="n">
        <v>12</v>
      </c>
      <c r="B48" s="4" t="inlineStr">
        <is>
          <t>2026-08-12</t>
        </is>
      </c>
      <c r="C48" s="2" t="inlineStr">
        <is>
          <t>WBS-300</t>
        </is>
      </c>
      <c r="D48" s="3" t="inlineStr">
        <is>
          <t>Red de Agua Potable y Conexiones Domiciliarias</t>
        </is>
      </c>
      <c r="E48" s="7">
        <f>IF(AND(A48&gt;='01_PRESUPUESTO_CRONOGRAMA_BASE'!K10, A48&lt;='01_PRESUPUESTO_CRONOGRAMA_BASE'!L10), '01_PRESUPUESTO_CRONOGRAMA_BASE'!M10, 0) + IF(AND(A48&gt;='01_PRESUPUESTO_CRONOGRAMA_BASE'!K11, A48&lt;='01_PRESUPUESTO_CRONOGRAMA_BASE'!L11), '01_PRESUPUESTO_CRONOGRAMA_BASE'!M11, 0)</f>
        <v/>
      </c>
      <c r="F48" s="19">
        <f>SUMIFS(E$2:E48, C$2:C48, C48)</f>
        <v/>
      </c>
    </row>
    <row r="49" ht="19.95" customHeight="1">
      <c r="A49" s="4" t="n">
        <v>12</v>
      </c>
      <c r="B49" s="4" t="inlineStr">
        <is>
          <t>2026-08-12</t>
        </is>
      </c>
      <c r="C49" s="2" t="inlineStr">
        <is>
          <t>WBS-400</t>
        </is>
      </c>
      <c r="D49" s="3" t="inlineStr">
        <is>
          <t>Pruebas Hidráulicas, Desinfección y Entrega</t>
        </is>
      </c>
      <c r="E49" s="7">
        <f>IF(AND(A49&gt;='01_PRESUPUESTO_CRONOGRAMA_BASE'!K12, A49&lt;='01_PRESUPUESTO_CRONOGRAMA_BASE'!L12), '01_PRESUPUESTO_CRONOGRAMA_BASE'!M12, 0)</f>
        <v/>
      </c>
      <c r="F49" s="19">
        <f>SUMIFS(E$2:E49, C$2:C49, C49)</f>
        <v/>
      </c>
    </row>
    <row r="50" ht="19.95" customHeight="1">
      <c r="A50" s="4" t="n">
        <v>13</v>
      </c>
      <c r="B50" s="4" t="inlineStr">
        <is>
          <t>2026-08-13</t>
        </is>
      </c>
      <c r="C50" s="2" t="inlineStr">
        <is>
          <t>WBS-100</t>
        </is>
      </c>
      <c r="D50" s="3" t="inlineStr">
        <is>
          <t>Obras Preliminares, Trazo y Movilización</t>
        </is>
      </c>
      <c r="E50" s="7">
        <f>IF(AND(A50&gt;='01_PRESUPUESTO_CRONOGRAMA_BASE'!K2, A50&lt;='01_PRESUPUESTO_CRONOGRAMA_BASE'!L2), '01_PRESUPUESTO_CRONOGRAMA_BASE'!M2, 0) + IF(AND(A50&gt;='01_PRESUPUESTO_CRONOGRAMA_BASE'!K3, A50&lt;='01_PRESUPUESTO_CRONOGRAMA_BASE'!L3), '01_PRESUPUESTO_CRONOGRAMA_BASE'!M3, 0)</f>
        <v/>
      </c>
      <c r="F50" s="19">
        <f>SUMIFS(E$2:E50, C$2:C50, C50)</f>
        <v/>
      </c>
    </row>
    <row r="51" ht="19.95" customHeight="1">
      <c r="A51" s="4" t="n">
        <v>13</v>
      </c>
      <c r="B51" s="4" t="inlineStr">
        <is>
          <t>2026-08-13</t>
        </is>
      </c>
      <c r="C51" s="2" t="inlineStr">
        <is>
          <t>WBS-200</t>
        </is>
      </c>
      <c r="D51" s="3" t="inlineStr">
        <is>
          <t>Red de Alcantarillado, Zanjas y Buzones</t>
        </is>
      </c>
      <c r="E51" s="7">
        <f>IF(AND(A51&gt;='01_PRESUPUESTO_CRONOGRAMA_BASE'!K4, A51&lt;='01_PRESUPUESTO_CRONOGRAMA_BASE'!L4), '01_PRESUPUESTO_CRONOGRAMA_BASE'!M4, 0) + IF(AND(A51&gt;='01_PRESUPUESTO_CRONOGRAMA_BASE'!K5, A51&lt;='01_PRESUPUESTO_CRONOGRAMA_BASE'!L5), '01_PRESUPUESTO_CRONOGRAMA_BASE'!M5, 0) + IF(AND(A51&gt;='01_PRESUPUESTO_CRONOGRAMA_BASE'!K6, A51&lt;='01_PRESUPUESTO_CRONOGRAMA_BASE'!L6), '01_PRESUPUESTO_CRONOGRAMA_BASE'!M6, 0) + IF(AND(A51&gt;='01_PRESUPUESTO_CRONOGRAMA_BASE'!K7, A51&lt;='01_PRESUPUESTO_CRONOGRAMA_BASE'!L7), '01_PRESUPUESTO_CRONOGRAMA_BASE'!M7, 0) + IF(AND(A51&gt;='01_PRESUPUESTO_CRONOGRAMA_BASE'!K8, A51&lt;='01_PRESUPUESTO_CRONOGRAMA_BASE'!L8), '01_PRESUPUESTO_CRONOGRAMA_BASE'!M8, 0) + IF(AND(A51&gt;='01_PRESUPUESTO_CRONOGRAMA_BASE'!K9, A51&lt;='01_PRESUPUESTO_CRONOGRAMA_BASE'!L9), '01_PRESUPUESTO_CRONOGRAMA_BASE'!M9, 0)</f>
        <v/>
      </c>
      <c r="F51" s="19">
        <f>SUMIFS(E$2:E51, C$2:C51, C51)</f>
        <v/>
      </c>
    </row>
    <row r="52" ht="19.95" customHeight="1">
      <c r="A52" s="4" t="n">
        <v>13</v>
      </c>
      <c r="B52" s="4" t="inlineStr">
        <is>
          <t>2026-08-13</t>
        </is>
      </c>
      <c r="C52" s="2" t="inlineStr">
        <is>
          <t>WBS-300</t>
        </is>
      </c>
      <c r="D52" s="3" t="inlineStr">
        <is>
          <t>Red de Agua Potable y Conexiones Domiciliarias</t>
        </is>
      </c>
      <c r="E52" s="7">
        <f>IF(AND(A52&gt;='01_PRESUPUESTO_CRONOGRAMA_BASE'!K10, A52&lt;='01_PRESUPUESTO_CRONOGRAMA_BASE'!L10), '01_PRESUPUESTO_CRONOGRAMA_BASE'!M10, 0) + IF(AND(A52&gt;='01_PRESUPUESTO_CRONOGRAMA_BASE'!K11, A52&lt;='01_PRESUPUESTO_CRONOGRAMA_BASE'!L11), '01_PRESUPUESTO_CRONOGRAMA_BASE'!M11, 0)</f>
        <v/>
      </c>
      <c r="F52" s="19">
        <f>SUMIFS(E$2:E52, C$2:C52, C52)</f>
        <v/>
      </c>
    </row>
    <row r="53" ht="19.95" customHeight="1">
      <c r="A53" s="4" t="n">
        <v>13</v>
      </c>
      <c r="B53" s="4" t="inlineStr">
        <is>
          <t>2026-08-13</t>
        </is>
      </c>
      <c r="C53" s="2" t="inlineStr">
        <is>
          <t>WBS-400</t>
        </is>
      </c>
      <c r="D53" s="3" t="inlineStr">
        <is>
          <t>Pruebas Hidráulicas, Desinfección y Entrega</t>
        </is>
      </c>
      <c r="E53" s="7">
        <f>IF(AND(A53&gt;='01_PRESUPUESTO_CRONOGRAMA_BASE'!K12, A53&lt;='01_PRESUPUESTO_CRONOGRAMA_BASE'!L12), '01_PRESUPUESTO_CRONOGRAMA_BASE'!M12, 0)</f>
        <v/>
      </c>
      <c r="F53" s="19">
        <f>SUMIFS(E$2:E53, C$2:C53, C53)</f>
        <v/>
      </c>
    </row>
    <row r="54" ht="19.95" customHeight="1">
      <c r="A54" s="4" t="n">
        <v>14</v>
      </c>
      <c r="B54" s="4" t="inlineStr">
        <is>
          <t>2026-08-14</t>
        </is>
      </c>
      <c r="C54" s="2" t="inlineStr">
        <is>
          <t>WBS-100</t>
        </is>
      </c>
      <c r="D54" s="3" t="inlineStr">
        <is>
          <t>Obras Preliminares, Trazo y Movilización</t>
        </is>
      </c>
      <c r="E54" s="7">
        <f>IF(AND(A54&gt;='01_PRESUPUESTO_CRONOGRAMA_BASE'!K2, A54&lt;='01_PRESUPUESTO_CRONOGRAMA_BASE'!L2), '01_PRESUPUESTO_CRONOGRAMA_BASE'!M2, 0) + IF(AND(A54&gt;='01_PRESUPUESTO_CRONOGRAMA_BASE'!K3, A54&lt;='01_PRESUPUESTO_CRONOGRAMA_BASE'!L3), '01_PRESUPUESTO_CRONOGRAMA_BASE'!M3, 0)</f>
        <v/>
      </c>
      <c r="F54" s="19">
        <f>SUMIFS(E$2:E54, C$2:C54, C54)</f>
        <v/>
      </c>
    </row>
    <row r="55" ht="19.95" customHeight="1">
      <c r="A55" s="4" t="n">
        <v>14</v>
      </c>
      <c r="B55" s="4" t="inlineStr">
        <is>
          <t>2026-08-14</t>
        </is>
      </c>
      <c r="C55" s="2" t="inlineStr">
        <is>
          <t>WBS-200</t>
        </is>
      </c>
      <c r="D55" s="3" t="inlineStr">
        <is>
          <t>Red de Alcantarillado, Zanjas y Buzones</t>
        </is>
      </c>
      <c r="E55" s="7">
        <f>IF(AND(A55&gt;='01_PRESUPUESTO_CRONOGRAMA_BASE'!K4, A55&lt;='01_PRESUPUESTO_CRONOGRAMA_BASE'!L4), '01_PRESUPUESTO_CRONOGRAMA_BASE'!M4, 0) + IF(AND(A55&gt;='01_PRESUPUESTO_CRONOGRAMA_BASE'!K5, A55&lt;='01_PRESUPUESTO_CRONOGRAMA_BASE'!L5), '01_PRESUPUESTO_CRONOGRAMA_BASE'!M5, 0) + IF(AND(A55&gt;='01_PRESUPUESTO_CRONOGRAMA_BASE'!K6, A55&lt;='01_PRESUPUESTO_CRONOGRAMA_BASE'!L6), '01_PRESUPUESTO_CRONOGRAMA_BASE'!M6, 0) + IF(AND(A55&gt;='01_PRESUPUESTO_CRONOGRAMA_BASE'!K7, A55&lt;='01_PRESUPUESTO_CRONOGRAMA_BASE'!L7), '01_PRESUPUESTO_CRONOGRAMA_BASE'!M7, 0) + IF(AND(A55&gt;='01_PRESUPUESTO_CRONOGRAMA_BASE'!K8, A55&lt;='01_PRESUPUESTO_CRONOGRAMA_BASE'!L8), '01_PRESUPUESTO_CRONOGRAMA_BASE'!M8, 0) + IF(AND(A55&gt;='01_PRESUPUESTO_CRONOGRAMA_BASE'!K9, A55&lt;='01_PRESUPUESTO_CRONOGRAMA_BASE'!L9), '01_PRESUPUESTO_CRONOGRAMA_BASE'!M9, 0)</f>
        <v/>
      </c>
      <c r="F55" s="19">
        <f>SUMIFS(E$2:E55, C$2:C55, C55)</f>
        <v/>
      </c>
    </row>
    <row r="56" ht="19.95" customHeight="1">
      <c r="A56" s="4" t="n">
        <v>14</v>
      </c>
      <c r="B56" s="4" t="inlineStr">
        <is>
          <t>2026-08-14</t>
        </is>
      </c>
      <c r="C56" s="2" t="inlineStr">
        <is>
          <t>WBS-300</t>
        </is>
      </c>
      <c r="D56" s="3" t="inlineStr">
        <is>
          <t>Red de Agua Potable y Conexiones Domiciliarias</t>
        </is>
      </c>
      <c r="E56" s="7">
        <f>IF(AND(A56&gt;='01_PRESUPUESTO_CRONOGRAMA_BASE'!K10, A56&lt;='01_PRESUPUESTO_CRONOGRAMA_BASE'!L10), '01_PRESUPUESTO_CRONOGRAMA_BASE'!M10, 0) + IF(AND(A56&gt;='01_PRESUPUESTO_CRONOGRAMA_BASE'!K11, A56&lt;='01_PRESUPUESTO_CRONOGRAMA_BASE'!L11), '01_PRESUPUESTO_CRONOGRAMA_BASE'!M11, 0)</f>
        <v/>
      </c>
      <c r="F56" s="19">
        <f>SUMIFS(E$2:E56, C$2:C56, C56)</f>
        <v/>
      </c>
    </row>
    <row r="57" ht="19.95" customHeight="1">
      <c r="A57" s="4" t="n">
        <v>14</v>
      </c>
      <c r="B57" s="4" t="inlineStr">
        <is>
          <t>2026-08-14</t>
        </is>
      </c>
      <c r="C57" s="2" t="inlineStr">
        <is>
          <t>WBS-400</t>
        </is>
      </c>
      <c r="D57" s="3" t="inlineStr">
        <is>
          <t>Pruebas Hidráulicas, Desinfección y Entrega</t>
        </is>
      </c>
      <c r="E57" s="7">
        <f>IF(AND(A57&gt;='01_PRESUPUESTO_CRONOGRAMA_BASE'!K12, A57&lt;='01_PRESUPUESTO_CRONOGRAMA_BASE'!L12), '01_PRESUPUESTO_CRONOGRAMA_BASE'!M12, 0)</f>
        <v/>
      </c>
      <c r="F57" s="19">
        <f>SUMIFS(E$2:E57, C$2:C57, C57)</f>
        <v/>
      </c>
    </row>
    <row r="58" ht="19.95" customHeight="1">
      <c r="A58" s="4" t="n">
        <v>15</v>
      </c>
      <c r="B58" s="4" t="inlineStr">
        <is>
          <t>2026-08-15</t>
        </is>
      </c>
      <c r="C58" s="2" t="inlineStr">
        <is>
          <t>WBS-100</t>
        </is>
      </c>
      <c r="D58" s="3" t="inlineStr">
        <is>
          <t>Obras Preliminares, Trazo y Movilización</t>
        </is>
      </c>
      <c r="E58" s="7">
        <f>IF(AND(A58&gt;='01_PRESUPUESTO_CRONOGRAMA_BASE'!K2, A58&lt;='01_PRESUPUESTO_CRONOGRAMA_BASE'!L2), '01_PRESUPUESTO_CRONOGRAMA_BASE'!M2, 0) + IF(AND(A58&gt;='01_PRESUPUESTO_CRONOGRAMA_BASE'!K3, A58&lt;='01_PRESUPUESTO_CRONOGRAMA_BASE'!L3), '01_PRESUPUESTO_CRONOGRAMA_BASE'!M3, 0)</f>
        <v/>
      </c>
      <c r="F58" s="19">
        <f>SUMIFS(E$2:E58, C$2:C58, C58)</f>
        <v/>
      </c>
    </row>
    <row r="59" ht="19.95" customHeight="1">
      <c r="A59" s="4" t="n">
        <v>15</v>
      </c>
      <c r="B59" s="4" t="inlineStr">
        <is>
          <t>2026-08-15</t>
        </is>
      </c>
      <c r="C59" s="2" t="inlineStr">
        <is>
          <t>WBS-200</t>
        </is>
      </c>
      <c r="D59" s="3" t="inlineStr">
        <is>
          <t>Red de Alcantarillado, Zanjas y Buzones</t>
        </is>
      </c>
      <c r="E59" s="7">
        <f>IF(AND(A59&gt;='01_PRESUPUESTO_CRONOGRAMA_BASE'!K4, A59&lt;='01_PRESUPUESTO_CRONOGRAMA_BASE'!L4), '01_PRESUPUESTO_CRONOGRAMA_BASE'!M4, 0) + IF(AND(A59&gt;='01_PRESUPUESTO_CRONOGRAMA_BASE'!K5, A59&lt;='01_PRESUPUESTO_CRONOGRAMA_BASE'!L5), '01_PRESUPUESTO_CRONOGRAMA_BASE'!M5, 0) + IF(AND(A59&gt;='01_PRESUPUESTO_CRONOGRAMA_BASE'!K6, A59&lt;='01_PRESUPUESTO_CRONOGRAMA_BASE'!L6), '01_PRESUPUESTO_CRONOGRAMA_BASE'!M6, 0) + IF(AND(A59&gt;='01_PRESUPUESTO_CRONOGRAMA_BASE'!K7, A59&lt;='01_PRESUPUESTO_CRONOGRAMA_BASE'!L7), '01_PRESUPUESTO_CRONOGRAMA_BASE'!M7, 0) + IF(AND(A59&gt;='01_PRESUPUESTO_CRONOGRAMA_BASE'!K8, A59&lt;='01_PRESUPUESTO_CRONOGRAMA_BASE'!L8), '01_PRESUPUESTO_CRONOGRAMA_BASE'!M8, 0) + IF(AND(A59&gt;='01_PRESUPUESTO_CRONOGRAMA_BASE'!K9, A59&lt;='01_PRESUPUESTO_CRONOGRAMA_BASE'!L9), '01_PRESUPUESTO_CRONOGRAMA_BASE'!M9, 0)</f>
        <v/>
      </c>
      <c r="F59" s="19">
        <f>SUMIFS(E$2:E59, C$2:C59, C59)</f>
        <v/>
      </c>
    </row>
    <row r="60" ht="19.95" customHeight="1">
      <c r="A60" s="4" t="n">
        <v>15</v>
      </c>
      <c r="B60" s="4" t="inlineStr">
        <is>
          <t>2026-08-15</t>
        </is>
      </c>
      <c r="C60" s="2" t="inlineStr">
        <is>
          <t>WBS-300</t>
        </is>
      </c>
      <c r="D60" s="3" t="inlineStr">
        <is>
          <t>Red de Agua Potable y Conexiones Domiciliarias</t>
        </is>
      </c>
      <c r="E60" s="7">
        <f>IF(AND(A60&gt;='01_PRESUPUESTO_CRONOGRAMA_BASE'!K10, A60&lt;='01_PRESUPUESTO_CRONOGRAMA_BASE'!L10), '01_PRESUPUESTO_CRONOGRAMA_BASE'!M10, 0) + IF(AND(A60&gt;='01_PRESUPUESTO_CRONOGRAMA_BASE'!K11, A60&lt;='01_PRESUPUESTO_CRONOGRAMA_BASE'!L11), '01_PRESUPUESTO_CRONOGRAMA_BASE'!M11, 0)</f>
        <v/>
      </c>
      <c r="F60" s="19">
        <f>SUMIFS(E$2:E60, C$2:C60, C60)</f>
        <v/>
      </c>
    </row>
    <row r="61" ht="19.95" customHeight="1">
      <c r="A61" s="4" t="n">
        <v>15</v>
      </c>
      <c r="B61" s="4" t="inlineStr">
        <is>
          <t>2026-08-15</t>
        </is>
      </c>
      <c r="C61" s="2" t="inlineStr">
        <is>
          <t>WBS-400</t>
        </is>
      </c>
      <c r="D61" s="3" t="inlineStr">
        <is>
          <t>Pruebas Hidráulicas, Desinfección y Entrega</t>
        </is>
      </c>
      <c r="E61" s="7">
        <f>IF(AND(A61&gt;='01_PRESUPUESTO_CRONOGRAMA_BASE'!K12, A61&lt;='01_PRESUPUESTO_CRONOGRAMA_BASE'!L12), '01_PRESUPUESTO_CRONOGRAMA_BASE'!M12, 0)</f>
        <v/>
      </c>
      <c r="F61" s="19">
        <f>SUMIFS(E$2:E61, C$2:C61, C61)</f>
        <v/>
      </c>
    </row>
    <row r="62" ht="19.95" customHeight="1">
      <c r="A62" s="4" t="n">
        <v>16</v>
      </c>
      <c r="B62" s="4" t="inlineStr">
        <is>
          <t>2026-08-16</t>
        </is>
      </c>
      <c r="C62" s="2" t="inlineStr">
        <is>
          <t>WBS-100</t>
        </is>
      </c>
      <c r="D62" s="3" t="inlineStr">
        <is>
          <t>Obras Preliminares, Trazo y Movilización</t>
        </is>
      </c>
      <c r="E62" s="7">
        <f>IF(AND(A62&gt;='01_PRESUPUESTO_CRONOGRAMA_BASE'!K2, A62&lt;='01_PRESUPUESTO_CRONOGRAMA_BASE'!L2), '01_PRESUPUESTO_CRONOGRAMA_BASE'!M2, 0) + IF(AND(A62&gt;='01_PRESUPUESTO_CRONOGRAMA_BASE'!K3, A62&lt;='01_PRESUPUESTO_CRONOGRAMA_BASE'!L3), '01_PRESUPUESTO_CRONOGRAMA_BASE'!M3, 0)</f>
        <v/>
      </c>
      <c r="F62" s="19">
        <f>SUMIFS(E$2:E62, C$2:C62, C62)</f>
        <v/>
      </c>
    </row>
    <row r="63" ht="19.95" customHeight="1">
      <c r="A63" s="4" t="n">
        <v>16</v>
      </c>
      <c r="B63" s="4" t="inlineStr">
        <is>
          <t>2026-08-16</t>
        </is>
      </c>
      <c r="C63" s="2" t="inlineStr">
        <is>
          <t>WBS-200</t>
        </is>
      </c>
      <c r="D63" s="3" t="inlineStr">
        <is>
          <t>Red de Alcantarillado, Zanjas y Buzones</t>
        </is>
      </c>
      <c r="E63" s="7">
        <f>IF(AND(A63&gt;='01_PRESUPUESTO_CRONOGRAMA_BASE'!K4, A63&lt;='01_PRESUPUESTO_CRONOGRAMA_BASE'!L4), '01_PRESUPUESTO_CRONOGRAMA_BASE'!M4, 0) + IF(AND(A63&gt;='01_PRESUPUESTO_CRONOGRAMA_BASE'!K5, A63&lt;='01_PRESUPUESTO_CRONOGRAMA_BASE'!L5), '01_PRESUPUESTO_CRONOGRAMA_BASE'!M5, 0) + IF(AND(A63&gt;='01_PRESUPUESTO_CRONOGRAMA_BASE'!K6, A63&lt;='01_PRESUPUESTO_CRONOGRAMA_BASE'!L6), '01_PRESUPUESTO_CRONOGRAMA_BASE'!M6, 0) + IF(AND(A63&gt;='01_PRESUPUESTO_CRONOGRAMA_BASE'!K7, A63&lt;='01_PRESUPUESTO_CRONOGRAMA_BASE'!L7), '01_PRESUPUESTO_CRONOGRAMA_BASE'!M7, 0) + IF(AND(A63&gt;='01_PRESUPUESTO_CRONOGRAMA_BASE'!K8, A63&lt;='01_PRESUPUESTO_CRONOGRAMA_BASE'!L8), '01_PRESUPUESTO_CRONOGRAMA_BASE'!M8, 0) + IF(AND(A63&gt;='01_PRESUPUESTO_CRONOGRAMA_BASE'!K9, A63&lt;='01_PRESUPUESTO_CRONOGRAMA_BASE'!L9), '01_PRESUPUESTO_CRONOGRAMA_BASE'!M9, 0)</f>
        <v/>
      </c>
      <c r="F63" s="19">
        <f>SUMIFS(E$2:E63, C$2:C63, C63)</f>
        <v/>
      </c>
    </row>
    <row r="64" ht="19.95" customHeight="1">
      <c r="A64" s="4" t="n">
        <v>16</v>
      </c>
      <c r="B64" s="4" t="inlineStr">
        <is>
          <t>2026-08-16</t>
        </is>
      </c>
      <c r="C64" s="2" t="inlineStr">
        <is>
          <t>WBS-300</t>
        </is>
      </c>
      <c r="D64" s="3" t="inlineStr">
        <is>
          <t>Red de Agua Potable y Conexiones Domiciliarias</t>
        </is>
      </c>
      <c r="E64" s="7">
        <f>IF(AND(A64&gt;='01_PRESUPUESTO_CRONOGRAMA_BASE'!K10, A64&lt;='01_PRESUPUESTO_CRONOGRAMA_BASE'!L10), '01_PRESUPUESTO_CRONOGRAMA_BASE'!M10, 0) + IF(AND(A64&gt;='01_PRESUPUESTO_CRONOGRAMA_BASE'!K11, A64&lt;='01_PRESUPUESTO_CRONOGRAMA_BASE'!L11), '01_PRESUPUESTO_CRONOGRAMA_BASE'!M11, 0)</f>
        <v/>
      </c>
      <c r="F64" s="19">
        <f>SUMIFS(E$2:E64, C$2:C64, C64)</f>
        <v/>
      </c>
    </row>
    <row r="65" ht="19.95" customHeight="1">
      <c r="A65" s="4" t="n">
        <v>16</v>
      </c>
      <c r="B65" s="4" t="inlineStr">
        <is>
          <t>2026-08-16</t>
        </is>
      </c>
      <c r="C65" s="2" t="inlineStr">
        <is>
          <t>WBS-400</t>
        </is>
      </c>
      <c r="D65" s="3" t="inlineStr">
        <is>
          <t>Pruebas Hidráulicas, Desinfección y Entrega</t>
        </is>
      </c>
      <c r="E65" s="7">
        <f>IF(AND(A65&gt;='01_PRESUPUESTO_CRONOGRAMA_BASE'!K12, A65&lt;='01_PRESUPUESTO_CRONOGRAMA_BASE'!L12), '01_PRESUPUESTO_CRONOGRAMA_BASE'!M12, 0)</f>
        <v/>
      </c>
      <c r="F65" s="19">
        <f>SUMIFS(E$2:E65, C$2:C65, C65)</f>
        <v/>
      </c>
    </row>
    <row r="66" ht="19.95" customHeight="1">
      <c r="A66" s="4" t="n">
        <v>17</v>
      </c>
      <c r="B66" s="4" t="inlineStr">
        <is>
          <t>2026-08-17</t>
        </is>
      </c>
      <c r="C66" s="2" t="inlineStr">
        <is>
          <t>WBS-100</t>
        </is>
      </c>
      <c r="D66" s="3" t="inlineStr">
        <is>
          <t>Obras Preliminares, Trazo y Movilización</t>
        </is>
      </c>
      <c r="E66" s="7">
        <f>IF(AND(A66&gt;='01_PRESUPUESTO_CRONOGRAMA_BASE'!K2, A66&lt;='01_PRESUPUESTO_CRONOGRAMA_BASE'!L2), '01_PRESUPUESTO_CRONOGRAMA_BASE'!M2, 0) + IF(AND(A66&gt;='01_PRESUPUESTO_CRONOGRAMA_BASE'!K3, A66&lt;='01_PRESUPUESTO_CRONOGRAMA_BASE'!L3), '01_PRESUPUESTO_CRONOGRAMA_BASE'!M3, 0)</f>
        <v/>
      </c>
      <c r="F66" s="19">
        <f>SUMIFS(E$2:E66, C$2:C66, C66)</f>
        <v/>
      </c>
    </row>
    <row r="67" ht="19.95" customHeight="1">
      <c r="A67" s="4" t="n">
        <v>17</v>
      </c>
      <c r="B67" s="4" t="inlineStr">
        <is>
          <t>2026-08-17</t>
        </is>
      </c>
      <c r="C67" s="2" t="inlineStr">
        <is>
          <t>WBS-200</t>
        </is>
      </c>
      <c r="D67" s="3" t="inlineStr">
        <is>
          <t>Red de Alcantarillado, Zanjas y Buzones</t>
        </is>
      </c>
      <c r="E67" s="7">
        <f>IF(AND(A67&gt;='01_PRESUPUESTO_CRONOGRAMA_BASE'!K4, A67&lt;='01_PRESUPUESTO_CRONOGRAMA_BASE'!L4), '01_PRESUPUESTO_CRONOGRAMA_BASE'!M4, 0) + IF(AND(A67&gt;='01_PRESUPUESTO_CRONOGRAMA_BASE'!K5, A67&lt;='01_PRESUPUESTO_CRONOGRAMA_BASE'!L5), '01_PRESUPUESTO_CRONOGRAMA_BASE'!M5, 0) + IF(AND(A67&gt;='01_PRESUPUESTO_CRONOGRAMA_BASE'!K6, A67&lt;='01_PRESUPUESTO_CRONOGRAMA_BASE'!L6), '01_PRESUPUESTO_CRONOGRAMA_BASE'!M6, 0) + IF(AND(A67&gt;='01_PRESUPUESTO_CRONOGRAMA_BASE'!K7, A67&lt;='01_PRESUPUESTO_CRONOGRAMA_BASE'!L7), '01_PRESUPUESTO_CRONOGRAMA_BASE'!M7, 0) + IF(AND(A67&gt;='01_PRESUPUESTO_CRONOGRAMA_BASE'!K8, A67&lt;='01_PRESUPUESTO_CRONOGRAMA_BASE'!L8), '01_PRESUPUESTO_CRONOGRAMA_BASE'!M8, 0) + IF(AND(A67&gt;='01_PRESUPUESTO_CRONOGRAMA_BASE'!K9, A67&lt;='01_PRESUPUESTO_CRONOGRAMA_BASE'!L9), '01_PRESUPUESTO_CRONOGRAMA_BASE'!M9, 0)</f>
        <v/>
      </c>
      <c r="F67" s="19">
        <f>SUMIFS(E$2:E67, C$2:C67, C67)</f>
        <v/>
      </c>
    </row>
    <row r="68" ht="19.95" customHeight="1">
      <c r="A68" s="4" t="n">
        <v>17</v>
      </c>
      <c r="B68" s="4" t="inlineStr">
        <is>
          <t>2026-08-17</t>
        </is>
      </c>
      <c r="C68" s="2" t="inlineStr">
        <is>
          <t>WBS-300</t>
        </is>
      </c>
      <c r="D68" s="3" t="inlineStr">
        <is>
          <t>Red de Agua Potable y Conexiones Domiciliarias</t>
        </is>
      </c>
      <c r="E68" s="7">
        <f>IF(AND(A68&gt;='01_PRESUPUESTO_CRONOGRAMA_BASE'!K10, A68&lt;='01_PRESUPUESTO_CRONOGRAMA_BASE'!L10), '01_PRESUPUESTO_CRONOGRAMA_BASE'!M10, 0) + IF(AND(A68&gt;='01_PRESUPUESTO_CRONOGRAMA_BASE'!K11, A68&lt;='01_PRESUPUESTO_CRONOGRAMA_BASE'!L11), '01_PRESUPUESTO_CRONOGRAMA_BASE'!M11, 0)</f>
        <v/>
      </c>
      <c r="F68" s="19">
        <f>SUMIFS(E$2:E68, C$2:C68, C68)</f>
        <v/>
      </c>
    </row>
    <row r="69" ht="19.95" customHeight="1">
      <c r="A69" s="4" t="n">
        <v>17</v>
      </c>
      <c r="B69" s="4" t="inlineStr">
        <is>
          <t>2026-08-17</t>
        </is>
      </c>
      <c r="C69" s="2" t="inlineStr">
        <is>
          <t>WBS-400</t>
        </is>
      </c>
      <c r="D69" s="3" t="inlineStr">
        <is>
          <t>Pruebas Hidráulicas, Desinfección y Entrega</t>
        </is>
      </c>
      <c r="E69" s="7">
        <f>IF(AND(A69&gt;='01_PRESUPUESTO_CRONOGRAMA_BASE'!K12, A69&lt;='01_PRESUPUESTO_CRONOGRAMA_BASE'!L12), '01_PRESUPUESTO_CRONOGRAMA_BASE'!M12, 0)</f>
        <v/>
      </c>
      <c r="F69" s="19">
        <f>SUMIFS(E$2:E69, C$2:C69, C69)</f>
        <v/>
      </c>
    </row>
    <row r="70" ht="19.95" customHeight="1">
      <c r="A70" s="4" t="n">
        <v>18</v>
      </c>
      <c r="B70" s="4" t="inlineStr">
        <is>
          <t>2026-08-18</t>
        </is>
      </c>
      <c r="C70" s="2" t="inlineStr">
        <is>
          <t>WBS-100</t>
        </is>
      </c>
      <c r="D70" s="3" t="inlineStr">
        <is>
          <t>Obras Preliminares, Trazo y Movilización</t>
        </is>
      </c>
      <c r="E70" s="7">
        <f>IF(AND(A70&gt;='01_PRESUPUESTO_CRONOGRAMA_BASE'!K2, A70&lt;='01_PRESUPUESTO_CRONOGRAMA_BASE'!L2), '01_PRESUPUESTO_CRONOGRAMA_BASE'!M2, 0) + IF(AND(A70&gt;='01_PRESUPUESTO_CRONOGRAMA_BASE'!K3, A70&lt;='01_PRESUPUESTO_CRONOGRAMA_BASE'!L3), '01_PRESUPUESTO_CRONOGRAMA_BASE'!M3, 0)</f>
        <v/>
      </c>
      <c r="F70" s="19">
        <f>SUMIFS(E$2:E70, C$2:C70, C70)</f>
        <v/>
      </c>
    </row>
    <row r="71" ht="19.95" customHeight="1">
      <c r="A71" s="4" t="n">
        <v>18</v>
      </c>
      <c r="B71" s="4" t="inlineStr">
        <is>
          <t>2026-08-18</t>
        </is>
      </c>
      <c r="C71" s="2" t="inlineStr">
        <is>
          <t>WBS-200</t>
        </is>
      </c>
      <c r="D71" s="3" t="inlineStr">
        <is>
          <t>Red de Alcantarillado, Zanjas y Buzones</t>
        </is>
      </c>
      <c r="E71" s="7">
        <f>IF(AND(A71&gt;='01_PRESUPUESTO_CRONOGRAMA_BASE'!K4, A71&lt;='01_PRESUPUESTO_CRONOGRAMA_BASE'!L4), '01_PRESUPUESTO_CRONOGRAMA_BASE'!M4, 0) + IF(AND(A71&gt;='01_PRESUPUESTO_CRONOGRAMA_BASE'!K5, A71&lt;='01_PRESUPUESTO_CRONOGRAMA_BASE'!L5), '01_PRESUPUESTO_CRONOGRAMA_BASE'!M5, 0) + IF(AND(A71&gt;='01_PRESUPUESTO_CRONOGRAMA_BASE'!K6, A71&lt;='01_PRESUPUESTO_CRONOGRAMA_BASE'!L6), '01_PRESUPUESTO_CRONOGRAMA_BASE'!M6, 0) + IF(AND(A71&gt;='01_PRESUPUESTO_CRONOGRAMA_BASE'!K7, A71&lt;='01_PRESUPUESTO_CRONOGRAMA_BASE'!L7), '01_PRESUPUESTO_CRONOGRAMA_BASE'!M7, 0) + IF(AND(A71&gt;='01_PRESUPUESTO_CRONOGRAMA_BASE'!K8, A71&lt;='01_PRESUPUESTO_CRONOGRAMA_BASE'!L8), '01_PRESUPUESTO_CRONOGRAMA_BASE'!M8, 0) + IF(AND(A71&gt;='01_PRESUPUESTO_CRONOGRAMA_BASE'!K9, A71&lt;='01_PRESUPUESTO_CRONOGRAMA_BASE'!L9), '01_PRESUPUESTO_CRONOGRAMA_BASE'!M9, 0)</f>
        <v/>
      </c>
      <c r="F71" s="19">
        <f>SUMIFS(E$2:E71, C$2:C71, C71)</f>
        <v/>
      </c>
    </row>
    <row r="72" ht="19.95" customHeight="1">
      <c r="A72" s="4" t="n">
        <v>18</v>
      </c>
      <c r="B72" s="4" t="inlineStr">
        <is>
          <t>2026-08-18</t>
        </is>
      </c>
      <c r="C72" s="2" t="inlineStr">
        <is>
          <t>WBS-300</t>
        </is>
      </c>
      <c r="D72" s="3" t="inlineStr">
        <is>
          <t>Red de Agua Potable y Conexiones Domiciliarias</t>
        </is>
      </c>
      <c r="E72" s="7">
        <f>IF(AND(A72&gt;='01_PRESUPUESTO_CRONOGRAMA_BASE'!K10, A72&lt;='01_PRESUPUESTO_CRONOGRAMA_BASE'!L10), '01_PRESUPUESTO_CRONOGRAMA_BASE'!M10, 0) + IF(AND(A72&gt;='01_PRESUPUESTO_CRONOGRAMA_BASE'!K11, A72&lt;='01_PRESUPUESTO_CRONOGRAMA_BASE'!L11), '01_PRESUPUESTO_CRONOGRAMA_BASE'!M11, 0)</f>
        <v/>
      </c>
      <c r="F72" s="19">
        <f>SUMIFS(E$2:E72, C$2:C72, C72)</f>
        <v/>
      </c>
    </row>
    <row r="73" ht="19.95" customHeight="1">
      <c r="A73" s="4" t="n">
        <v>18</v>
      </c>
      <c r="B73" s="4" t="inlineStr">
        <is>
          <t>2026-08-18</t>
        </is>
      </c>
      <c r="C73" s="2" t="inlineStr">
        <is>
          <t>WBS-400</t>
        </is>
      </c>
      <c r="D73" s="3" t="inlineStr">
        <is>
          <t>Pruebas Hidráulicas, Desinfección y Entrega</t>
        </is>
      </c>
      <c r="E73" s="7">
        <f>IF(AND(A73&gt;='01_PRESUPUESTO_CRONOGRAMA_BASE'!K12, A73&lt;='01_PRESUPUESTO_CRONOGRAMA_BASE'!L12), '01_PRESUPUESTO_CRONOGRAMA_BASE'!M12, 0)</f>
        <v/>
      </c>
      <c r="F73" s="19">
        <f>SUMIFS(E$2:E73, C$2:C73, C73)</f>
        <v/>
      </c>
    </row>
    <row r="74" ht="19.95" customHeight="1">
      <c r="A74" s="4" t="n">
        <v>19</v>
      </c>
      <c r="B74" s="4" t="inlineStr">
        <is>
          <t>2026-08-19</t>
        </is>
      </c>
      <c r="C74" s="2" t="inlineStr">
        <is>
          <t>WBS-100</t>
        </is>
      </c>
      <c r="D74" s="3" t="inlineStr">
        <is>
          <t>Obras Preliminares, Trazo y Movilización</t>
        </is>
      </c>
      <c r="E74" s="7">
        <f>IF(AND(A74&gt;='01_PRESUPUESTO_CRONOGRAMA_BASE'!K2, A74&lt;='01_PRESUPUESTO_CRONOGRAMA_BASE'!L2), '01_PRESUPUESTO_CRONOGRAMA_BASE'!M2, 0) + IF(AND(A74&gt;='01_PRESUPUESTO_CRONOGRAMA_BASE'!K3, A74&lt;='01_PRESUPUESTO_CRONOGRAMA_BASE'!L3), '01_PRESUPUESTO_CRONOGRAMA_BASE'!M3, 0)</f>
        <v/>
      </c>
      <c r="F74" s="19">
        <f>SUMIFS(E$2:E74, C$2:C74, C74)</f>
        <v/>
      </c>
    </row>
    <row r="75" ht="19.95" customHeight="1">
      <c r="A75" s="4" t="n">
        <v>19</v>
      </c>
      <c r="B75" s="4" t="inlineStr">
        <is>
          <t>2026-08-19</t>
        </is>
      </c>
      <c r="C75" s="2" t="inlineStr">
        <is>
          <t>WBS-200</t>
        </is>
      </c>
      <c r="D75" s="3" t="inlineStr">
        <is>
          <t>Red de Alcantarillado, Zanjas y Buzones</t>
        </is>
      </c>
      <c r="E75" s="7">
        <f>IF(AND(A75&gt;='01_PRESUPUESTO_CRONOGRAMA_BASE'!K4, A75&lt;='01_PRESUPUESTO_CRONOGRAMA_BASE'!L4), '01_PRESUPUESTO_CRONOGRAMA_BASE'!M4, 0) + IF(AND(A75&gt;='01_PRESUPUESTO_CRONOGRAMA_BASE'!K5, A75&lt;='01_PRESUPUESTO_CRONOGRAMA_BASE'!L5), '01_PRESUPUESTO_CRONOGRAMA_BASE'!M5, 0) + IF(AND(A75&gt;='01_PRESUPUESTO_CRONOGRAMA_BASE'!K6, A75&lt;='01_PRESUPUESTO_CRONOGRAMA_BASE'!L6), '01_PRESUPUESTO_CRONOGRAMA_BASE'!M6, 0) + IF(AND(A75&gt;='01_PRESUPUESTO_CRONOGRAMA_BASE'!K7, A75&lt;='01_PRESUPUESTO_CRONOGRAMA_BASE'!L7), '01_PRESUPUESTO_CRONOGRAMA_BASE'!M7, 0) + IF(AND(A75&gt;='01_PRESUPUESTO_CRONOGRAMA_BASE'!K8, A75&lt;='01_PRESUPUESTO_CRONOGRAMA_BASE'!L8), '01_PRESUPUESTO_CRONOGRAMA_BASE'!M8, 0) + IF(AND(A75&gt;='01_PRESUPUESTO_CRONOGRAMA_BASE'!K9, A75&lt;='01_PRESUPUESTO_CRONOGRAMA_BASE'!L9), '01_PRESUPUESTO_CRONOGRAMA_BASE'!M9, 0)</f>
        <v/>
      </c>
      <c r="F75" s="19">
        <f>SUMIFS(E$2:E75, C$2:C75, C75)</f>
        <v/>
      </c>
    </row>
    <row r="76" ht="19.95" customHeight="1">
      <c r="A76" s="4" t="n">
        <v>19</v>
      </c>
      <c r="B76" s="4" t="inlineStr">
        <is>
          <t>2026-08-19</t>
        </is>
      </c>
      <c r="C76" s="2" t="inlineStr">
        <is>
          <t>WBS-300</t>
        </is>
      </c>
      <c r="D76" s="3" t="inlineStr">
        <is>
          <t>Red de Agua Potable y Conexiones Domiciliarias</t>
        </is>
      </c>
      <c r="E76" s="7">
        <f>IF(AND(A76&gt;='01_PRESUPUESTO_CRONOGRAMA_BASE'!K10, A76&lt;='01_PRESUPUESTO_CRONOGRAMA_BASE'!L10), '01_PRESUPUESTO_CRONOGRAMA_BASE'!M10, 0) + IF(AND(A76&gt;='01_PRESUPUESTO_CRONOGRAMA_BASE'!K11, A76&lt;='01_PRESUPUESTO_CRONOGRAMA_BASE'!L11), '01_PRESUPUESTO_CRONOGRAMA_BASE'!M11, 0)</f>
        <v/>
      </c>
      <c r="F76" s="19">
        <f>SUMIFS(E$2:E76, C$2:C76, C76)</f>
        <v/>
      </c>
    </row>
    <row r="77" ht="19.95" customHeight="1">
      <c r="A77" s="4" t="n">
        <v>19</v>
      </c>
      <c r="B77" s="4" t="inlineStr">
        <is>
          <t>2026-08-19</t>
        </is>
      </c>
      <c r="C77" s="2" t="inlineStr">
        <is>
          <t>WBS-400</t>
        </is>
      </c>
      <c r="D77" s="3" t="inlineStr">
        <is>
          <t>Pruebas Hidráulicas, Desinfección y Entrega</t>
        </is>
      </c>
      <c r="E77" s="7">
        <f>IF(AND(A77&gt;='01_PRESUPUESTO_CRONOGRAMA_BASE'!K12, A77&lt;='01_PRESUPUESTO_CRONOGRAMA_BASE'!L12), '01_PRESUPUESTO_CRONOGRAMA_BASE'!M12, 0)</f>
        <v/>
      </c>
      <c r="F77" s="19">
        <f>SUMIFS(E$2:E77, C$2:C77, C77)</f>
        <v/>
      </c>
    </row>
    <row r="78" ht="19.95" customHeight="1">
      <c r="A78" s="4" t="n">
        <v>20</v>
      </c>
      <c r="B78" s="4" t="inlineStr">
        <is>
          <t>2026-08-20</t>
        </is>
      </c>
      <c r="C78" s="2" t="inlineStr">
        <is>
          <t>WBS-100</t>
        </is>
      </c>
      <c r="D78" s="3" t="inlineStr">
        <is>
          <t>Obras Preliminares, Trazo y Movilización</t>
        </is>
      </c>
      <c r="E78" s="7">
        <f>IF(AND(A78&gt;='01_PRESUPUESTO_CRONOGRAMA_BASE'!K2, A78&lt;='01_PRESUPUESTO_CRONOGRAMA_BASE'!L2), '01_PRESUPUESTO_CRONOGRAMA_BASE'!M2, 0) + IF(AND(A78&gt;='01_PRESUPUESTO_CRONOGRAMA_BASE'!K3, A78&lt;='01_PRESUPUESTO_CRONOGRAMA_BASE'!L3), '01_PRESUPUESTO_CRONOGRAMA_BASE'!M3, 0)</f>
        <v/>
      </c>
      <c r="F78" s="19">
        <f>SUMIFS(E$2:E78, C$2:C78, C78)</f>
        <v/>
      </c>
    </row>
    <row r="79" ht="19.95" customHeight="1">
      <c r="A79" s="4" t="n">
        <v>20</v>
      </c>
      <c r="B79" s="4" t="inlineStr">
        <is>
          <t>2026-08-20</t>
        </is>
      </c>
      <c r="C79" s="2" t="inlineStr">
        <is>
          <t>WBS-200</t>
        </is>
      </c>
      <c r="D79" s="3" t="inlineStr">
        <is>
          <t>Red de Alcantarillado, Zanjas y Buzones</t>
        </is>
      </c>
      <c r="E79" s="7">
        <f>IF(AND(A79&gt;='01_PRESUPUESTO_CRONOGRAMA_BASE'!K4, A79&lt;='01_PRESUPUESTO_CRONOGRAMA_BASE'!L4), '01_PRESUPUESTO_CRONOGRAMA_BASE'!M4, 0) + IF(AND(A79&gt;='01_PRESUPUESTO_CRONOGRAMA_BASE'!K5, A79&lt;='01_PRESUPUESTO_CRONOGRAMA_BASE'!L5), '01_PRESUPUESTO_CRONOGRAMA_BASE'!M5, 0) + IF(AND(A79&gt;='01_PRESUPUESTO_CRONOGRAMA_BASE'!K6, A79&lt;='01_PRESUPUESTO_CRONOGRAMA_BASE'!L6), '01_PRESUPUESTO_CRONOGRAMA_BASE'!M6, 0) + IF(AND(A79&gt;='01_PRESUPUESTO_CRONOGRAMA_BASE'!K7, A79&lt;='01_PRESUPUESTO_CRONOGRAMA_BASE'!L7), '01_PRESUPUESTO_CRONOGRAMA_BASE'!M7, 0) + IF(AND(A79&gt;='01_PRESUPUESTO_CRONOGRAMA_BASE'!K8, A79&lt;='01_PRESUPUESTO_CRONOGRAMA_BASE'!L8), '01_PRESUPUESTO_CRONOGRAMA_BASE'!M8, 0) + IF(AND(A79&gt;='01_PRESUPUESTO_CRONOGRAMA_BASE'!K9, A79&lt;='01_PRESUPUESTO_CRONOGRAMA_BASE'!L9), '01_PRESUPUESTO_CRONOGRAMA_BASE'!M9, 0)</f>
        <v/>
      </c>
      <c r="F79" s="19">
        <f>SUMIFS(E$2:E79, C$2:C79, C79)</f>
        <v/>
      </c>
    </row>
    <row r="80" ht="19.95" customHeight="1">
      <c r="A80" s="4" t="n">
        <v>20</v>
      </c>
      <c r="B80" s="4" t="inlineStr">
        <is>
          <t>2026-08-20</t>
        </is>
      </c>
      <c r="C80" s="2" t="inlineStr">
        <is>
          <t>WBS-300</t>
        </is>
      </c>
      <c r="D80" s="3" t="inlineStr">
        <is>
          <t>Red de Agua Potable y Conexiones Domiciliarias</t>
        </is>
      </c>
      <c r="E80" s="7">
        <f>IF(AND(A80&gt;='01_PRESUPUESTO_CRONOGRAMA_BASE'!K10, A80&lt;='01_PRESUPUESTO_CRONOGRAMA_BASE'!L10), '01_PRESUPUESTO_CRONOGRAMA_BASE'!M10, 0) + IF(AND(A80&gt;='01_PRESUPUESTO_CRONOGRAMA_BASE'!K11, A80&lt;='01_PRESUPUESTO_CRONOGRAMA_BASE'!L11), '01_PRESUPUESTO_CRONOGRAMA_BASE'!M11, 0)</f>
        <v/>
      </c>
      <c r="F80" s="19">
        <f>SUMIFS(E$2:E80, C$2:C80, C80)</f>
        <v/>
      </c>
    </row>
    <row r="81" ht="19.95" customHeight="1">
      <c r="A81" s="4" t="n">
        <v>20</v>
      </c>
      <c r="B81" s="4" t="inlineStr">
        <is>
          <t>2026-08-20</t>
        </is>
      </c>
      <c r="C81" s="2" t="inlineStr">
        <is>
          <t>WBS-400</t>
        </is>
      </c>
      <c r="D81" s="3" t="inlineStr">
        <is>
          <t>Pruebas Hidráulicas, Desinfección y Entrega</t>
        </is>
      </c>
      <c r="E81" s="7">
        <f>IF(AND(A81&gt;='01_PRESUPUESTO_CRONOGRAMA_BASE'!K12, A81&lt;='01_PRESUPUESTO_CRONOGRAMA_BASE'!L12), '01_PRESUPUESTO_CRONOGRAMA_BASE'!M12, 0)</f>
        <v/>
      </c>
      <c r="F81" s="19">
        <f>SUMIFS(E$2:E81, C$2:C81, C81)</f>
        <v/>
      </c>
    </row>
    <row r="82" ht="19.95" customHeight="1">
      <c r="A82" s="4" t="n">
        <v>21</v>
      </c>
      <c r="B82" s="4" t="inlineStr">
        <is>
          <t>2026-08-21</t>
        </is>
      </c>
      <c r="C82" s="2" t="inlineStr">
        <is>
          <t>WBS-100</t>
        </is>
      </c>
      <c r="D82" s="3" t="inlineStr">
        <is>
          <t>Obras Preliminares, Trazo y Movilización</t>
        </is>
      </c>
      <c r="E82" s="7">
        <f>IF(AND(A82&gt;='01_PRESUPUESTO_CRONOGRAMA_BASE'!K2, A82&lt;='01_PRESUPUESTO_CRONOGRAMA_BASE'!L2), '01_PRESUPUESTO_CRONOGRAMA_BASE'!M2, 0) + IF(AND(A82&gt;='01_PRESUPUESTO_CRONOGRAMA_BASE'!K3, A82&lt;='01_PRESUPUESTO_CRONOGRAMA_BASE'!L3), '01_PRESUPUESTO_CRONOGRAMA_BASE'!M3, 0)</f>
        <v/>
      </c>
      <c r="F82" s="19">
        <f>SUMIFS(E$2:E82, C$2:C82, C82)</f>
        <v/>
      </c>
    </row>
    <row r="83" ht="19.95" customHeight="1">
      <c r="A83" s="4" t="n">
        <v>21</v>
      </c>
      <c r="B83" s="4" t="inlineStr">
        <is>
          <t>2026-08-21</t>
        </is>
      </c>
      <c r="C83" s="2" t="inlineStr">
        <is>
          <t>WBS-200</t>
        </is>
      </c>
      <c r="D83" s="3" t="inlineStr">
        <is>
          <t>Red de Alcantarillado, Zanjas y Buzones</t>
        </is>
      </c>
      <c r="E83" s="7">
        <f>IF(AND(A83&gt;='01_PRESUPUESTO_CRONOGRAMA_BASE'!K4, A83&lt;='01_PRESUPUESTO_CRONOGRAMA_BASE'!L4), '01_PRESUPUESTO_CRONOGRAMA_BASE'!M4, 0) + IF(AND(A83&gt;='01_PRESUPUESTO_CRONOGRAMA_BASE'!K5, A83&lt;='01_PRESUPUESTO_CRONOGRAMA_BASE'!L5), '01_PRESUPUESTO_CRONOGRAMA_BASE'!M5, 0) + IF(AND(A83&gt;='01_PRESUPUESTO_CRONOGRAMA_BASE'!K6, A83&lt;='01_PRESUPUESTO_CRONOGRAMA_BASE'!L6), '01_PRESUPUESTO_CRONOGRAMA_BASE'!M6, 0) + IF(AND(A83&gt;='01_PRESUPUESTO_CRONOGRAMA_BASE'!K7, A83&lt;='01_PRESUPUESTO_CRONOGRAMA_BASE'!L7), '01_PRESUPUESTO_CRONOGRAMA_BASE'!M7, 0) + IF(AND(A83&gt;='01_PRESUPUESTO_CRONOGRAMA_BASE'!K8, A83&lt;='01_PRESUPUESTO_CRONOGRAMA_BASE'!L8), '01_PRESUPUESTO_CRONOGRAMA_BASE'!M8, 0) + IF(AND(A83&gt;='01_PRESUPUESTO_CRONOGRAMA_BASE'!K9, A83&lt;='01_PRESUPUESTO_CRONOGRAMA_BASE'!L9), '01_PRESUPUESTO_CRONOGRAMA_BASE'!M9, 0)</f>
        <v/>
      </c>
      <c r="F83" s="19">
        <f>SUMIFS(E$2:E83, C$2:C83, C83)</f>
        <v/>
      </c>
    </row>
    <row r="84" ht="19.95" customHeight="1">
      <c r="A84" s="4" t="n">
        <v>21</v>
      </c>
      <c r="B84" s="4" t="inlineStr">
        <is>
          <t>2026-08-21</t>
        </is>
      </c>
      <c r="C84" s="2" t="inlineStr">
        <is>
          <t>WBS-300</t>
        </is>
      </c>
      <c r="D84" s="3" t="inlineStr">
        <is>
          <t>Red de Agua Potable y Conexiones Domiciliarias</t>
        </is>
      </c>
      <c r="E84" s="7">
        <f>IF(AND(A84&gt;='01_PRESUPUESTO_CRONOGRAMA_BASE'!K10, A84&lt;='01_PRESUPUESTO_CRONOGRAMA_BASE'!L10), '01_PRESUPUESTO_CRONOGRAMA_BASE'!M10, 0) + IF(AND(A84&gt;='01_PRESUPUESTO_CRONOGRAMA_BASE'!K11, A84&lt;='01_PRESUPUESTO_CRONOGRAMA_BASE'!L11), '01_PRESUPUESTO_CRONOGRAMA_BASE'!M11, 0)</f>
        <v/>
      </c>
      <c r="F84" s="19">
        <f>SUMIFS(E$2:E84, C$2:C84, C84)</f>
        <v/>
      </c>
    </row>
    <row r="85" ht="19.95" customHeight="1">
      <c r="A85" s="4" t="n">
        <v>21</v>
      </c>
      <c r="B85" s="4" t="inlineStr">
        <is>
          <t>2026-08-21</t>
        </is>
      </c>
      <c r="C85" s="2" t="inlineStr">
        <is>
          <t>WBS-400</t>
        </is>
      </c>
      <c r="D85" s="3" t="inlineStr">
        <is>
          <t>Pruebas Hidráulicas, Desinfección y Entrega</t>
        </is>
      </c>
      <c r="E85" s="7">
        <f>IF(AND(A85&gt;='01_PRESUPUESTO_CRONOGRAMA_BASE'!K12, A85&lt;='01_PRESUPUESTO_CRONOGRAMA_BASE'!L12), '01_PRESUPUESTO_CRONOGRAMA_BASE'!M12, 0)</f>
        <v/>
      </c>
      <c r="F85" s="19">
        <f>SUMIFS(E$2:E85, C$2:C85, C85)</f>
        <v/>
      </c>
    </row>
    <row r="86" ht="19.95" customHeight="1">
      <c r="A86" s="4" t="n">
        <v>22</v>
      </c>
      <c r="B86" s="4" t="inlineStr">
        <is>
          <t>2026-08-22</t>
        </is>
      </c>
      <c r="C86" s="2" t="inlineStr">
        <is>
          <t>WBS-100</t>
        </is>
      </c>
      <c r="D86" s="3" t="inlineStr">
        <is>
          <t>Obras Preliminares, Trazo y Movilización</t>
        </is>
      </c>
      <c r="E86" s="7">
        <f>IF(AND(A86&gt;='01_PRESUPUESTO_CRONOGRAMA_BASE'!K2, A86&lt;='01_PRESUPUESTO_CRONOGRAMA_BASE'!L2), '01_PRESUPUESTO_CRONOGRAMA_BASE'!M2, 0) + IF(AND(A86&gt;='01_PRESUPUESTO_CRONOGRAMA_BASE'!K3, A86&lt;='01_PRESUPUESTO_CRONOGRAMA_BASE'!L3), '01_PRESUPUESTO_CRONOGRAMA_BASE'!M3, 0)</f>
        <v/>
      </c>
      <c r="F86" s="19">
        <f>SUMIFS(E$2:E86, C$2:C86, C86)</f>
        <v/>
      </c>
    </row>
    <row r="87" ht="19.95" customHeight="1">
      <c r="A87" s="4" t="n">
        <v>22</v>
      </c>
      <c r="B87" s="4" t="inlineStr">
        <is>
          <t>2026-08-22</t>
        </is>
      </c>
      <c r="C87" s="2" t="inlineStr">
        <is>
          <t>WBS-200</t>
        </is>
      </c>
      <c r="D87" s="3" t="inlineStr">
        <is>
          <t>Red de Alcantarillado, Zanjas y Buzones</t>
        </is>
      </c>
      <c r="E87" s="7">
        <f>IF(AND(A87&gt;='01_PRESUPUESTO_CRONOGRAMA_BASE'!K4, A87&lt;='01_PRESUPUESTO_CRONOGRAMA_BASE'!L4), '01_PRESUPUESTO_CRONOGRAMA_BASE'!M4, 0) + IF(AND(A87&gt;='01_PRESUPUESTO_CRONOGRAMA_BASE'!K5, A87&lt;='01_PRESUPUESTO_CRONOGRAMA_BASE'!L5), '01_PRESUPUESTO_CRONOGRAMA_BASE'!M5, 0) + IF(AND(A87&gt;='01_PRESUPUESTO_CRONOGRAMA_BASE'!K6, A87&lt;='01_PRESUPUESTO_CRONOGRAMA_BASE'!L6), '01_PRESUPUESTO_CRONOGRAMA_BASE'!M6, 0) + IF(AND(A87&gt;='01_PRESUPUESTO_CRONOGRAMA_BASE'!K7, A87&lt;='01_PRESUPUESTO_CRONOGRAMA_BASE'!L7), '01_PRESUPUESTO_CRONOGRAMA_BASE'!M7, 0) + IF(AND(A87&gt;='01_PRESUPUESTO_CRONOGRAMA_BASE'!K8, A87&lt;='01_PRESUPUESTO_CRONOGRAMA_BASE'!L8), '01_PRESUPUESTO_CRONOGRAMA_BASE'!M8, 0) + IF(AND(A87&gt;='01_PRESUPUESTO_CRONOGRAMA_BASE'!K9, A87&lt;='01_PRESUPUESTO_CRONOGRAMA_BASE'!L9), '01_PRESUPUESTO_CRONOGRAMA_BASE'!M9, 0)</f>
        <v/>
      </c>
      <c r="F87" s="19">
        <f>SUMIFS(E$2:E87, C$2:C87, C87)</f>
        <v/>
      </c>
    </row>
    <row r="88" ht="19.95" customHeight="1">
      <c r="A88" s="4" t="n">
        <v>22</v>
      </c>
      <c r="B88" s="4" t="inlineStr">
        <is>
          <t>2026-08-22</t>
        </is>
      </c>
      <c r="C88" s="2" t="inlineStr">
        <is>
          <t>WBS-300</t>
        </is>
      </c>
      <c r="D88" s="3" t="inlineStr">
        <is>
          <t>Red de Agua Potable y Conexiones Domiciliarias</t>
        </is>
      </c>
      <c r="E88" s="7">
        <f>IF(AND(A88&gt;='01_PRESUPUESTO_CRONOGRAMA_BASE'!K10, A88&lt;='01_PRESUPUESTO_CRONOGRAMA_BASE'!L10), '01_PRESUPUESTO_CRONOGRAMA_BASE'!M10, 0) + IF(AND(A88&gt;='01_PRESUPUESTO_CRONOGRAMA_BASE'!K11, A88&lt;='01_PRESUPUESTO_CRONOGRAMA_BASE'!L11), '01_PRESUPUESTO_CRONOGRAMA_BASE'!M11, 0)</f>
        <v/>
      </c>
      <c r="F88" s="19">
        <f>SUMIFS(E$2:E88, C$2:C88, C88)</f>
        <v/>
      </c>
    </row>
    <row r="89" ht="19.95" customHeight="1">
      <c r="A89" s="4" t="n">
        <v>22</v>
      </c>
      <c r="B89" s="4" t="inlineStr">
        <is>
          <t>2026-08-22</t>
        </is>
      </c>
      <c r="C89" s="2" t="inlineStr">
        <is>
          <t>WBS-400</t>
        </is>
      </c>
      <c r="D89" s="3" t="inlineStr">
        <is>
          <t>Pruebas Hidráulicas, Desinfección y Entrega</t>
        </is>
      </c>
      <c r="E89" s="7">
        <f>IF(AND(A89&gt;='01_PRESUPUESTO_CRONOGRAMA_BASE'!K12, A89&lt;='01_PRESUPUESTO_CRONOGRAMA_BASE'!L12), '01_PRESUPUESTO_CRONOGRAMA_BASE'!M12, 0)</f>
        <v/>
      </c>
      <c r="F89" s="19">
        <f>SUMIFS(E$2:E89, C$2:C89, C89)</f>
        <v/>
      </c>
    </row>
    <row r="90" ht="19.95" customHeight="1">
      <c r="A90" s="4" t="n">
        <v>23</v>
      </c>
      <c r="B90" s="4" t="inlineStr">
        <is>
          <t>2026-08-23</t>
        </is>
      </c>
      <c r="C90" s="2" t="inlineStr">
        <is>
          <t>WBS-100</t>
        </is>
      </c>
      <c r="D90" s="3" t="inlineStr">
        <is>
          <t>Obras Preliminares, Trazo y Movilización</t>
        </is>
      </c>
      <c r="E90" s="7">
        <f>IF(AND(A90&gt;='01_PRESUPUESTO_CRONOGRAMA_BASE'!K2, A90&lt;='01_PRESUPUESTO_CRONOGRAMA_BASE'!L2), '01_PRESUPUESTO_CRONOGRAMA_BASE'!M2, 0) + IF(AND(A90&gt;='01_PRESUPUESTO_CRONOGRAMA_BASE'!K3, A90&lt;='01_PRESUPUESTO_CRONOGRAMA_BASE'!L3), '01_PRESUPUESTO_CRONOGRAMA_BASE'!M3, 0)</f>
        <v/>
      </c>
      <c r="F90" s="19">
        <f>SUMIFS(E$2:E90, C$2:C90, C90)</f>
        <v/>
      </c>
    </row>
    <row r="91" ht="19.95" customHeight="1">
      <c r="A91" s="4" t="n">
        <v>23</v>
      </c>
      <c r="B91" s="4" t="inlineStr">
        <is>
          <t>2026-08-23</t>
        </is>
      </c>
      <c r="C91" s="2" t="inlineStr">
        <is>
          <t>WBS-200</t>
        </is>
      </c>
      <c r="D91" s="3" t="inlineStr">
        <is>
          <t>Red de Alcantarillado, Zanjas y Buzones</t>
        </is>
      </c>
      <c r="E91" s="7">
        <f>IF(AND(A91&gt;='01_PRESUPUESTO_CRONOGRAMA_BASE'!K4, A91&lt;='01_PRESUPUESTO_CRONOGRAMA_BASE'!L4), '01_PRESUPUESTO_CRONOGRAMA_BASE'!M4, 0) + IF(AND(A91&gt;='01_PRESUPUESTO_CRONOGRAMA_BASE'!K5, A91&lt;='01_PRESUPUESTO_CRONOGRAMA_BASE'!L5), '01_PRESUPUESTO_CRONOGRAMA_BASE'!M5, 0) + IF(AND(A91&gt;='01_PRESUPUESTO_CRONOGRAMA_BASE'!K6, A91&lt;='01_PRESUPUESTO_CRONOGRAMA_BASE'!L6), '01_PRESUPUESTO_CRONOGRAMA_BASE'!M6, 0) + IF(AND(A91&gt;='01_PRESUPUESTO_CRONOGRAMA_BASE'!K7, A91&lt;='01_PRESUPUESTO_CRONOGRAMA_BASE'!L7), '01_PRESUPUESTO_CRONOGRAMA_BASE'!M7, 0) + IF(AND(A91&gt;='01_PRESUPUESTO_CRONOGRAMA_BASE'!K8, A91&lt;='01_PRESUPUESTO_CRONOGRAMA_BASE'!L8), '01_PRESUPUESTO_CRONOGRAMA_BASE'!M8, 0) + IF(AND(A91&gt;='01_PRESUPUESTO_CRONOGRAMA_BASE'!K9, A91&lt;='01_PRESUPUESTO_CRONOGRAMA_BASE'!L9), '01_PRESUPUESTO_CRONOGRAMA_BASE'!M9, 0)</f>
        <v/>
      </c>
      <c r="F91" s="19">
        <f>SUMIFS(E$2:E91, C$2:C91, C91)</f>
        <v/>
      </c>
    </row>
    <row r="92" ht="19.95" customHeight="1">
      <c r="A92" s="4" t="n">
        <v>23</v>
      </c>
      <c r="B92" s="4" t="inlineStr">
        <is>
          <t>2026-08-23</t>
        </is>
      </c>
      <c r="C92" s="2" t="inlineStr">
        <is>
          <t>WBS-300</t>
        </is>
      </c>
      <c r="D92" s="3" t="inlineStr">
        <is>
          <t>Red de Agua Potable y Conexiones Domiciliarias</t>
        </is>
      </c>
      <c r="E92" s="7">
        <f>IF(AND(A92&gt;='01_PRESUPUESTO_CRONOGRAMA_BASE'!K10, A92&lt;='01_PRESUPUESTO_CRONOGRAMA_BASE'!L10), '01_PRESUPUESTO_CRONOGRAMA_BASE'!M10, 0) + IF(AND(A92&gt;='01_PRESUPUESTO_CRONOGRAMA_BASE'!K11, A92&lt;='01_PRESUPUESTO_CRONOGRAMA_BASE'!L11), '01_PRESUPUESTO_CRONOGRAMA_BASE'!M11, 0)</f>
        <v/>
      </c>
      <c r="F92" s="19">
        <f>SUMIFS(E$2:E92, C$2:C92, C92)</f>
        <v/>
      </c>
    </row>
    <row r="93" ht="19.95" customHeight="1">
      <c r="A93" s="4" t="n">
        <v>23</v>
      </c>
      <c r="B93" s="4" t="inlineStr">
        <is>
          <t>2026-08-23</t>
        </is>
      </c>
      <c r="C93" s="2" t="inlineStr">
        <is>
          <t>WBS-400</t>
        </is>
      </c>
      <c r="D93" s="3" t="inlineStr">
        <is>
          <t>Pruebas Hidráulicas, Desinfección y Entrega</t>
        </is>
      </c>
      <c r="E93" s="7">
        <f>IF(AND(A93&gt;='01_PRESUPUESTO_CRONOGRAMA_BASE'!K12, A93&lt;='01_PRESUPUESTO_CRONOGRAMA_BASE'!L12), '01_PRESUPUESTO_CRONOGRAMA_BASE'!M12, 0)</f>
        <v/>
      </c>
      <c r="F93" s="19">
        <f>SUMIFS(E$2:E93, C$2:C93, C93)</f>
        <v/>
      </c>
    </row>
    <row r="94" ht="19.95" customHeight="1">
      <c r="A94" s="4" t="n">
        <v>24</v>
      </c>
      <c r="B94" s="4" t="inlineStr">
        <is>
          <t>2026-08-24</t>
        </is>
      </c>
      <c r="C94" s="2" t="inlineStr">
        <is>
          <t>WBS-100</t>
        </is>
      </c>
      <c r="D94" s="3" t="inlineStr">
        <is>
          <t>Obras Preliminares, Trazo y Movilización</t>
        </is>
      </c>
      <c r="E94" s="7">
        <f>IF(AND(A94&gt;='01_PRESUPUESTO_CRONOGRAMA_BASE'!K2, A94&lt;='01_PRESUPUESTO_CRONOGRAMA_BASE'!L2), '01_PRESUPUESTO_CRONOGRAMA_BASE'!M2, 0) + IF(AND(A94&gt;='01_PRESUPUESTO_CRONOGRAMA_BASE'!K3, A94&lt;='01_PRESUPUESTO_CRONOGRAMA_BASE'!L3), '01_PRESUPUESTO_CRONOGRAMA_BASE'!M3, 0)</f>
        <v/>
      </c>
      <c r="F94" s="19">
        <f>SUMIFS(E$2:E94, C$2:C94, C94)</f>
        <v/>
      </c>
    </row>
    <row r="95" ht="19.95" customHeight="1">
      <c r="A95" s="4" t="n">
        <v>24</v>
      </c>
      <c r="B95" s="4" t="inlineStr">
        <is>
          <t>2026-08-24</t>
        </is>
      </c>
      <c r="C95" s="2" t="inlineStr">
        <is>
          <t>WBS-200</t>
        </is>
      </c>
      <c r="D95" s="3" t="inlineStr">
        <is>
          <t>Red de Alcantarillado, Zanjas y Buzones</t>
        </is>
      </c>
      <c r="E95" s="7">
        <f>IF(AND(A95&gt;='01_PRESUPUESTO_CRONOGRAMA_BASE'!K4, A95&lt;='01_PRESUPUESTO_CRONOGRAMA_BASE'!L4), '01_PRESUPUESTO_CRONOGRAMA_BASE'!M4, 0) + IF(AND(A95&gt;='01_PRESUPUESTO_CRONOGRAMA_BASE'!K5, A95&lt;='01_PRESUPUESTO_CRONOGRAMA_BASE'!L5), '01_PRESUPUESTO_CRONOGRAMA_BASE'!M5, 0) + IF(AND(A95&gt;='01_PRESUPUESTO_CRONOGRAMA_BASE'!K6, A95&lt;='01_PRESUPUESTO_CRONOGRAMA_BASE'!L6), '01_PRESUPUESTO_CRONOGRAMA_BASE'!M6, 0) + IF(AND(A95&gt;='01_PRESUPUESTO_CRONOGRAMA_BASE'!K7, A95&lt;='01_PRESUPUESTO_CRONOGRAMA_BASE'!L7), '01_PRESUPUESTO_CRONOGRAMA_BASE'!M7, 0) + IF(AND(A95&gt;='01_PRESUPUESTO_CRONOGRAMA_BASE'!K8, A95&lt;='01_PRESUPUESTO_CRONOGRAMA_BASE'!L8), '01_PRESUPUESTO_CRONOGRAMA_BASE'!M8, 0) + IF(AND(A95&gt;='01_PRESUPUESTO_CRONOGRAMA_BASE'!K9, A95&lt;='01_PRESUPUESTO_CRONOGRAMA_BASE'!L9), '01_PRESUPUESTO_CRONOGRAMA_BASE'!M9, 0)</f>
        <v/>
      </c>
      <c r="F95" s="19">
        <f>SUMIFS(E$2:E95, C$2:C95, C95)</f>
        <v/>
      </c>
    </row>
    <row r="96" ht="19.95" customHeight="1">
      <c r="A96" s="4" t="n">
        <v>24</v>
      </c>
      <c r="B96" s="4" t="inlineStr">
        <is>
          <t>2026-08-24</t>
        </is>
      </c>
      <c r="C96" s="2" t="inlineStr">
        <is>
          <t>WBS-300</t>
        </is>
      </c>
      <c r="D96" s="3" t="inlineStr">
        <is>
          <t>Red de Agua Potable y Conexiones Domiciliarias</t>
        </is>
      </c>
      <c r="E96" s="7">
        <f>IF(AND(A96&gt;='01_PRESUPUESTO_CRONOGRAMA_BASE'!K10, A96&lt;='01_PRESUPUESTO_CRONOGRAMA_BASE'!L10), '01_PRESUPUESTO_CRONOGRAMA_BASE'!M10, 0) + IF(AND(A96&gt;='01_PRESUPUESTO_CRONOGRAMA_BASE'!K11, A96&lt;='01_PRESUPUESTO_CRONOGRAMA_BASE'!L11), '01_PRESUPUESTO_CRONOGRAMA_BASE'!M11, 0)</f>
        <v/>
      </c>
      <c r="F96" s="19">
        <f>SUMIFS(E$2:E96, C$2:C96, C96)</f>
        <v/>
      </c>
    </row>
    <row r="97" ht="19.95" customHeight="1">
      <c r="A97" s="4" t="n">
        <v>24</v>
      </c>
      <c r="B97" s="4" t="inlineStr">
        <is>
          <t>2026-08-24</t>
        </is>
      </c>
      <c r="C97" s="2" t="inlineStr">
        <is>
          <t>WBS-400</t>
        </is>
      </c>
      <c r="D97" s="3" t="inlineStr">
        <is>
          <t>Pruebas Hidráulicas, Desinfección y Entrega</t>
        </is>
      </c>
      <c r="E97" s="7">
        <f>IF(AND(A97&gt;='01_PRESUPUESTO_CRONOGRAMA_BASE'!K12, A97&lt;='01_PRESUPUESTO_CRONOGRAMA_BASE'!L12), '01_PRESUPUESTO_CRONOGRAMA_BASE'!M12, 0)</f>
        <v/>
      </c>
      <c r="F97" s="19">
        <f>SUMIFS(E$2:E97, C$2:C97, C97)</f>
        <v/>
      </c>
    </row>
    <row r="98" ht="19.95" customHeight="1">
      <c r="A98" s="4" t="n">
        <v>25</v>
      </c>
      <c r="B98" s="4" t="inlineStr">
        <is>
          <t>2026-08-25</t>
        </is>
      </c>
      <c r="C98" s="2" t="inlineStr">
        <is>
          <t>WBS-100</t>
        </is>
      </c>
      <c r="D98" s="3" t="inlineStr">
        <is>
          <t>Obras Preliminares, Trazo y Movilización</t>
        </is>
      </c>
      <c r="E98" s="7">
        <f>IF(AND(A98&gt;='01_PRESUPUESTO_CRONOGRAMA_BASE'!K2, A98&lt;='01_PRESUPUESTO_CRONOGRAMA_BASE'!L2), '01_PRESUPUESTO_CRONOGRAMA_BASE'!M2, 0) + IF(AND(A98&gt;='01_PRESUPUESTO_CRONOGRAMA_BASE'!K3, A98&lt;='01_PRESUPUESTO_CRONOGRAMA_BASE'!L3), '01_PRESUPUESTO_CRONOGRAMA_BASE'!M3, 0)</f>
        <v/>
      </c>
      <c r="F98" s="19">
        <f>SUMIFS(E$2:E98, C$2:C98, C98)</f>
        <v/>
      </c>
    </row>
    <row r="99" ht="19.95" customHeight="1">
      <c r="A99" s="4" t="n">
        <v>25</v>
      </c>
      <c r="B99" s="4" t="inlineStr">
        <is>
          <t>2026-08-25</t>
        </is>
      </c>
      <c r="C99" s="2" t="inlineStr">
        <is>
          <t>WBS-200</t>
        </is>
      </c>
      <c r="D99" s="3" t="inlineStr">
        <is>
          <t>Red de Alcantarillado, Zanjas y Buzones</t>
        </is>
      </c>
      <c r="E99" s="7">
        <f>IF(AND(A99&gt;='01_PRESUPUESTO_CRONOGRAMA_BASE'!K4, A99&lt;='01_PRESUPUESTO_CRONOGRAMA_BASE'!L4), '01_PRESUPUESTO_CRONOGRAMA_BASE'!M4, 0) + IF(AND(A99&gt;='01_PRESUPUESTO_CRONOGRAMA_BASE'!K5, A99&lt;='01_PRESUPUESTO_CRONOGRAMA_BASE'!L5), '01_PRESUPUESTO_CRONOGRAMA_BASE'!M5, 0) + IF(AND(A99&gt;='01_PRESUPUESTO_CRONOGRAMA_BASE'!K6, A99&lt;='01_PRESUPUESTO_CRONOGRAMA_BASE'!L6), '01_PRESUPUESTO_CRONOGRAMA_BASE'!M6, 0) + IF(AND(A99&gt;='01_PRESUPUESTO_CRONOGRAMA_BASE'!K7, A99&lt;='01_PRESUPUESTO_CRONOGRAMA_BASE'!L7), '01_PRESUPUESTO_CRONOGRAMA_BASE'!M7, 0) + IF(AND(A99&gt;='01_PRESUPUESTO_CRONOGRAMA_BASE'!K8, A99&lt;='01_PRESUPUESTO_CRONOGRAMA_BASE'!L8), '01_PRESUPUESTO_CRONOGRAMA_BASE'!M8, 0) + IF(AND(A99&gt;='01_PRESUPUESTO_CRONOGRAMA_BASE'!K9, A99&lt;='01_PRESUPUESTO_CRONOGRAMA_BASE'!L9), '01_PRESUPUESTO_CRONOGRAMA_BASE'!M9, 0)</f>
        <v/>
      </c>
      <c r="F99" s="19">
        <f>SUMIFS(E$2:E99, C$2:C99, C99)</f>
        <v/>
      </c>
    </row>
    <row r="100" ht="19.95" customHeight="1">
      <c r="A100" s="4" t="n">
        <v>25</v>
      </c>
      <c r="B100" s="4" t="inlineStr">
        <is>
          <t>2026-08-25</t>
        </is>
      </c>
      <c r="C100" s="2" t="inlineStr">
        <is>
          <t>WBS-300</t>
        </is>
      </c>
      <c r="D100" s="3" t="inlineStr">
        <is>
          <t>Red de Agua Potable y Conexiones Domiciliarias</t>
        </is>
      </c>
      <c r="E100" s="7">
        <f>IF(AND(A100&gt;='01_PRESUPUESTO_CRONOGRAMA_BASE'!K10, A100&lt;='01_PRESUPUESTO_CRONOGRAMA_BASE'!L10), '01_PRESUPUESTO_CRONOGRAMA_BASE'!M10, 0) + IF(AND(A100&gt;='01_PRESUPUESTO_CRONOGRAMA_BASE'!K11, A100&lt;='01_PRESUPUESTO_CRONOGRAMA_BASE'!L11), '01_PRESUPUESTO_CRONOGRAMA_BASE'!M11, 0)</f>
        <v/>
      </c>
      <c r="F100" s="19">
        <f>SUMIFS(E$2:E100, C$2:C100, C100)</f>
        <v/>
      </c>
    </row>
    <row r="101" ht="19.95" customHeight="1">
      <c r="A101" s="4" t="n">
        <v>25</v>
      </c>
      <c r="B101" s="4" t="inlineStr">
        <is>
          <t>2026-08-25</t>
        </is>
      </c>
      <c r="C101" s="2" t="inlineStr">
        <is>
          <t>WBS-400</t>
        </is>
      </c>
      <c r="D101" s="3" t="inlineStr">
        <is>
          <t>Pruebas Hidráulicas, Desinfección y Entrega</t>
        </is>
      </c>
      <c r="E101" s="7">
        <f>IF(AND(A101&gt;='01_PRESUPUESTO_CRONOGRAMA_BASE'!K12, A101&lt;='01_PRESUPUESTO_CRONOGRAMA_BASE'!L12), '01_PRESUPUESTO_CRONOGRAMA_BASE'!M12, 0)</f>
        <v/>
      </c>
      <c r="F101" s="19">
        <f>SUMIFS(E$2:E101, C$2:C101, C101)</f>
        <v/>
      </c>
    </row>
    <row r="102" ht="19.95" customHeight="1">
      <c r="A102" s="4" t="n">
        <v>26</v>
      </c>
      <c r="B102" s="4" t="inlineStr">
        <is>
          <t>2026-08-26</t>
        </is>
      </c>
      <c r="C102" s="2" t="inlineStr">
        <is>
          <t>WBS-100</t>
        </is>
      </c>
      <c r="D102" s="3" t="inlineStr">
        <is>
          <t>Obras Preliminares, Trazo y Movilización</t>
        </is>
      </c>
      <c r="E102" s="7">
        <f>IF(AND(A102&gt;='01_PRESUPUESTO_CRONOGRAMA_BASE'!K2, A102&lt;='01_PRESUPUESTO_CRONOGRAMA_BASE'!L2), '01_PRESUPUESTO_CRONOGRAMA_BASE'!M2, 0) + IF(AND(A102&gt;='01_PRESUPUESTO_CRONOGRAMA_BASE'!K3, A102&lt;='01_PRESUPUESTO_CRONOGRAMA_BASE'!L3), '01_PRESUPUESTO_CRONOGRAMA_BASE'!M3, 0)</f>
        <v/>
      </c>
      <c r="F102" s="19">
        <f>SUMIFS(E$2:E102, C$2:C102, C102)</f>
        <v/>
      </c>
    </row>
    <row r="103" ht="19.95" customHeight="1">
      <c r="A103" s="4" t="n">
        <v>26</v>
      </c>
      <c r="B103" s="4" t="inlineStr">
        <is>
          <t>2026-08-26</t>
        </is>
      </c>
      <c r="C103" s="2" t="inlineStr">
        <is>
          <t>WBS-200</t>
        </is>
      </c>
      <c r="D103" s="3" t="inlineStr">
        <is>
          <t>Red de Alcantarillado, Zanjas y Buzones</t>
        </is>
      </c>
      <c r="E103" s="7">
        <f>IF(AND(A103&gt;='01_PRESUPUESTO_CRONOGRAMA_BASE'!K4, A103&lt;='01_PRESUPUESTO_CRONOGRAMA_BASE'!L4), '01_PRESUPUESTO_CRONOGRAMA_BASE'!M4, 0) + IF(AND(A103&gt;='01_PRESUPUESTO_CRONOGRAMA_BASE'!K5, A103&lt;='01_PRESUPUESTO_CRONOGRAMA_BASE'!L5), '01_PRESUPUESTO_CRONOGRAMA_BASE'!M5, 0) + IF(AND(A103&gt;='01_PRESUPUESTO_CRONOGRAMA_BASE'!K6, A103&lt;='01_PRESUPUESTO_CRONOGRAMA_BASE'!L6), '01_PRESUPUESTO_CRONOGRAMA_BASE'!M6, 0) + IF(AND(A103&gt;='01_PRESUPUESTO_CRONOGRAMA_BASE'!K7, A103&lt;='01_PRESUPUESTO_CRONOGRAMA_BASE'!L7), '01_PRESUPUESTO_CRONOGRAMA_BASE'!M7, 0) + IF(AND(A103&gt;='01_PRESUPUESTO_CRONOGRAMA_BASE'!K8, A103&lt;='01_PRESUPUESTO_CRONOGRAMA_BASE'!L8), '01_PRESUPUESTO_CRONOGRAMA_BASE'!M8, 0) + IF(AND(A103&gt;='01_PRESUPUESTO_CRONOGRAMA_BASE'!K9, A103&lt;='01_PRESUPUESTO_CRONOGRAMA_BASE'!L9), '01_PRESUPUESTO_CRONOGRAMA_BASE'!M9, 0)</f>
        <v/>
      </c>
      <c r="F103" s="19">
        <f>SUMIFS(E$2:E103, C$2:C103, C103)</f>
        <v/>
      </c>
    </row>
    <row r="104" ht="19.95" customHeight="1">
      <c r="A104" s="4" t="n">
        <v>26</v>
      </c>
      <c r="B104" s="4" t="inlineStr">
        <is>
          <t>2026-08-26</t>
        </is>
      </c>
      <c r="C104" s="2" t="inlineStr">
        <is>
          <t>WBS-300</t>
        </is>
      </c>
      <c r="D104" s="3" t="inlineStr">
        <is>
          <t>Red de Agua Potable y Conexiones Domiciliarias</t>
        </is>
      </c>
      <c r="E104" s="7">
        <f>IF(AND(A104&gt;='01_PRESUPUESTO_CRONOGRAMA_BASE'!K10, A104&lt;='01_PRESUPUESTO_CRONOGRAMA_BASE'!L10), '01_PRESUPUESTO_CRONOGRAMA_BASE'!M10, 0) + IF(AND(A104&gt;='01_PRESUPUESTO_CRONOGRAMA_BASE'!K11, A104&lt;='01_PRESUPUESTO_CRONOGRAMA_BASE'!L11), '01_PRESUPUESTO_CRONOGRAMA_BASE'!M11, 0)</f>
        <v/>
      </c>
      <c r="F104" s="19">
        <f>SUMIFS(E$2:E104, C$2:C104, C104)</f>
        <v/>
      </c>
    </row>
    <row r="105" ht="19.95" customHeight="1">
      <c r="A105" s="4" t="n">
        <v>26</v>
      </c>
      <c r="B105" s="4" t="inlineStr">
        <is>
          <t>2026-08-26</t>
        </is>
      </c>
      <c r="C105" s="2" t="inlineStr">
        <is>
          <t>WBS-400</t>
        </is>
      </c>
      <c r="D105" s="3" t="inlineStr">
        <is>
          <t>Pruebas Hidráulicas, Desinfección y Entrega</t>
        </is>
      </c>
      <c r="E105" s="7">
        <f>IF(AND(A105&gt;='01_PRESUPUESTO_CRONOGRAMA_BASE'!K12, A105&lt;='01_PRESUPUESTO_CRONOGRAMA_BASE'!L12), '01_PRESUPUESTO_CRONOGRAMA_BASE'!M12, 0)</f>
        <v/>
      </c>
      <c r="F105" s="19">
        <f>SUMIFS(E$2:E105, C$2:C105, C105)</f>
        <v/>
      </c>
    </row>
    <row r="106" ht="19.95" customHeight="1">
      <c r="A106" s="4" t="n">
        <v>27</v>
      </c>
      <c r="B106" s="4" t="inlineStr">
        <is>
          <t>2026-08-27</t>
        </is>
      </c>
      <c r="C106" s="2" t="inlineStr">
        <is>
          <t>WBS-100</t>
        </is>
      </c>
      <c r="D106" s="3" t="inlineStr">
        <is>
          <t>Obras Preliminares, Trazo y Movilización</t>
        </is>
      </c>
      <c r="E106" s="7">
        <f>IF(AND(A106&gt;='01_PRESUPUESTO_CRONOGRAMA_BASE'!K2, A106&lt;='01_PRESUPUESTO_CRONOGRAMA_BASE'!L2), '01_PRESUPUESTO_CRONOGRAMA_BASE'!M2, 0) + IF(AND(A106&gt;='01_PRESUPUESTO_CRONOGRAMA_BASE'!K3, A106&lt;='01_PRESUPUESTO_CRONOGRAMA_BASE'!L3), '01_PRESUPUESTO_CRONOGRAMA_BASE'!M3, 0)</f>
        <v/>
      </c>
      <c r="F106" s="19">
        <f>SUMIFS(E$2:E106, C$2:C106, C106)</f>
        <v/>
      </c>
    </row>
    <row r="107" ht="19.95" customHeight="1">
      <c r="A107" s="4" t="n">
        <v>27</v>
      </c>
      <c r="B107" s="4" t="inlineStr">
        <is>
          <t>2026-08-27</t>
        </is>
      </c>
      <c r="C107" s="2" t="inlineStr">
        <is>
          <t>WBS-200</t>
        </is>
      </c>
      <c r="D107" s="3" t="inlineStr">
        <is>
          <t>Red de Alcantarillado, Zanjas y Buzones</t>
        </is>
      </c>
      <c r="E107" s="7">
        <f>IF(AND(A107&gt;='01_PRESUPUESTO_CRONOGRAMA_BASE'!K4, A107&lt;='01_PRESUPUESTO_CRONOGRAMA_BASE'!L4), '01_PRESUPUESTO_CRONOGRAMA_BASE'!M4, 0) + IF(AND(A107&gt;='01_PRESUPUESTO_CRONOGRAMA_BASE'!K5, A107&lt;='01_PRESUPUESTO_CRONOGRAMA_BASE'!L5), '01_PRESUPUESTO_CRONOGRAMA_BASE'!M5, 0) + IF(AND(A107&gt;='01_PRESUPUESTO_CRONOGRAMA_BASE'!K6, A107&lt;='01_PRESUPUESTO_CRONOGRAMA_BASE'!L6), '01_PRESUPUESTO_CRONOGRAMA_BASE'!M6, 0) + IF(AND(A107&gt;='01_PRESUPUESTO_CRONOGRAMA_BASE'!K7, A107&lt;='01_PRESUPUESTO_CRONOGRAMA_BASE'!L7), '01_PRESUPUESTO_CRONOGRAMA_BASE'!M7, 0) + IF(AND(A107&gt;='01_PRESUPUESTO_CRONOGRAMA_BASE'!K8, A107&lt;='01_PRESUPUESTO_CRONOGRAMA_BASE'!L8), '01_PRESUPUESTO_CRONOGRAMA_BASE'!M8, 0) + IF(AND(A107&gt;='01_PRESUPUESTO_CRONOGRAMA_BASE'!K9, A107&lt;='01_PRESUPUESTO_CRONOGRAMA_BASE'!L9), '01_PRESUPUESTO_CRONOGRAMA_BASE'!M9, 0)</f>
        <v/>
      </c>
      <c r="F107" s="19">
        <f>SUMIFS(E$2:E107, C$2:C107, C107)</f>
        <v/>
      </c>
    </row>
    <row r="108" ht="19.95" customHeight="1">
      <c r="A108" s="4" t="n">
        <v>27</v>
      </c>
      <c r="B108" s="4" t="inlineStr">
        <is>
          <t>2026-08-27</t>
        </is>
      </c>
      <c r="C108" s="2" t="inlineStr">
        <is>
          <t>WBS-300</t>
        </is>
      </c>
      <c r="D108" s="3" t="inlineStr">
        <is>
          <t>Red de Agua Potable y Conexiones Domiciliarias</t>
        </is>
      </c>
      <c r="E108" s="7">
        <f>IF(AND(A108&gt;='01_PRESUPUESTO_CRONOGRAMA_BASE'!K10, A108&lt;='01_PRESUPUESTO_CRONOGRAMA_BASE'!L10), '01_PRESUPUESTO_CRONOGRAMA_BASE'!M10, 0) + IF(AND(A108&gt;='01_PRESUPUESTO_CRONOGRAMA_BASE'!K11, A108&lt;='01_PRESUPUESTO_CRONOGRAMA_BASE'!L11), '01_PRESUPUESTO_CRONOGRAMA_BASE'!M11, 0)</f>
        <v/>
      </c>
      <c r="F108" s="19">
        <f>SUMIFS(E$2:E108, C$2:C108, C108)</f>
        <v/>
      </c>
    </row>
    <row r="109" ht="19.95" customHeight="1">
      <c r="A109" s="4" t="n">
        <v>27</v>
      </c>
      <c r="B109" s="4" t="inlineStr">
        <is>
          <t>2026-08-27</t>
        </is>
      </c>
      <c r="C109" s="2" t="inlineStr">
        <is>
          <t>WBS-400</t>
        </is>
      </c>
      <c r="D109" s="3" t="inlineStr">
        <is>
          <t>Pruebas Hidráulicas, Desinfección y Entrega</t>
        </is>
      </c>
      <c r="E109" s="7">
        <f>IF(AND(A109&gt;='01_PRESUPUESTO_CRONOGRAMA_BASE'!K12, A109&lt;='01_PRESUPUESTO_CRONOGRAMA_BASE'!L12), '01_PRESUPUESTO_CRONOGRAMA_BASE'!M12, 0)</f>
        <v/>
      </c>
      <c r="F109" s="19">
        <f>SUMIFS(E$2:E109, C$2:C109, C109)</f>
        <v/>
      </c>
    </row>
    <row r="110" ht="19.95" customHeight="1">
      <c r="A110" s="4" t="n">
        <v>28</v>
      </c>
      <c r="B110" s="4" t="inlineStr">
        <is>
          <t>2026-08-28</t>
        </is>
      </c>
      <c r="C110" s="2" t="inlineStr">
        <is>
          <t>WBS-100</t>
        </is>
      </c>
      <c r="D110" s="3" t="inlineStr">
        <is>
          <t>Obras Preliminares, Trazo y Movilización</t>
        </is>
      </c>
      <c r="E110" s="7">
        <f>IF(AND(A110&gt;='01_PRESUPUESTO_CRONOGRAMA_BASE'!K2, A110&lt;='01_PRESUPUESTO_CRONOGRAMA_BASE'!L2), '01_PRESUPUESTO_CRONOGRAMA_BASE'!M2, 0) + IF(AND(A110&gt;='01_PRESUPUESTO_CRONOGRAMA_BASE'!K3, A110&lt;='01_PRESUPUESTO_CRONOGRAMA_BASE'!L3), '01_PRESUPUESTO_CRONOGRAMA_BASE'!M3, 0)</f>
        <v/>
      </c>
      <c r="F110" s="19">
        <f>SUMIFS(E$2:E110, C$2:C110, C110)</f>
        <v/>
      </c>
    </row>
    <row r="111" ht="19.95" customHeight="1">
      <c r="A111" s="4" t="n">
        <v>28</v>
      </c>
      <c r="B111" s="4" t="inlineStr">
        <is>
          <t>2026-08-28</t>
        </is>
      </c>
      <c r="C111" s="2" t="inlineStr">
        <is>
          <t>WBS-200</t>
        </is>
      </c>
      <c r="D111" s="3" t="inlineStr">
        <is>
          <t>Red de Alcantarillado, Zanjas y Buzones</t>
        </is>
      </c>
      <c r="E111" s="7">
        <f>IF(AND(A111&gt;='01_PRESUPUESTO_CRONOGRAMA_BASE'!K4, A111&lt;='01_PRESUPUESTO_CRONOGRAMA_BASE'!L4), '01_PRESUPUESTO_CRONOGRAMA_BASE'!M4, 0) + IF(AND(A111&gt;='01_PRESUPUESTO_CRONOGRAMA_BASE'!K5, A111&lt;='01_PRESUPUESTO_CRONOGRAMA_BASE'!L5), '01_PRESUPUESTO_CRONOGRAMA_BASE'!M5, 0) + IF(AND(A111&gt;='01_PRESUPUESTO_CRONOGRAMA_BASE'!K6, A111&lt;='01_PRESUPUESTO_CRONOGRAMA_BASE'!L6), '01_PRESUPUESTO_CRONOGRAMA_BASE'!M6, 0) + IF(AND(A111&gt;='01_PRESUPUESTO_CRONOGRAMA_BASE'!K7, A111&lt;='01_PRESUPUESTO_CRONOGRAMA_BASE'!L7), '01_PRESUPUESTO_CRONOGRAMA_BASE'!M7, 0) + IF(AND(A111&gt;='01_PRESUPUESTO_CRONOGRAMA_BASE'!K8, A111&lt;='01_PRESUPUESTO_CRONOGRAMA_BASE'!L8), '01_PRESUPUESTO_CRONOGRAMA_BASE'!M8, 0) + IF(AND(A111&gt;='01_PRESUPUESTO_CRONOGRAMA_BASE'!K9, A111&lt;='01_PRESUPUESTO_CRONOGRAMA_BASE'!L9), '01_PRESUPUESTO_CRONOGRAMA_BASE'!M9, 0)</f>
        <v/>
      </c>
      <c r="F111" s="19">
        <f>SUMIFS(E$2:E111, C$2:C111, C111)</f>
        <v/>
      </c>
    </row>
    <row r="112" ht="19.95" customHeight="1">
      <c r="A112" s="4" t="n">
        <v>28</v>
      </c>
      <c r="B112" s="4" t="inlineStr">
        <is>
          <t>2026-08-28</t>
        </is>
      </c>
      <c r="C112" s="2" t="inlineStr">
        <is>
          <t>WBS-300</t>
        </is>
      </c>
      <c r="D112" s="3" t="inlineStr">
        <is>
          <t>Red de Agua Potable y Conexiones Domiciliarias</t>
        </is>
      </c>
      <c r="E112" s="7">
        <f>IF(AND(A112&gt;='01_PRESUPUESTO_CRONOGRAMA_BASE'!K10, A112&lt;='01_PRESUPUESTO_CRONOGRAMA_BASE'!L10), '01_PRESUPUESTO_CRONOGRAMA_BASE'!M10, 0) + IF(AND(A112&gt;='01_PRESUPUESTO_CRONOGRAMA_BASE'!K11, A112&lt;='01_PRESUPUESTO_CRONOGRAMA_BASE'!L11), '01_PRESUPUESTO_CRONOGRAMA_BASE'!M11, 0)</f>
        <v/>
      </c>
      <c r="F112" s="19">
        <f>SUMIFS(E$2:E112, C$2:C112, C112)</f>
        <v/>
      </c>
    </row>
    <row r="113" ht="19.95" customHeight="1">
      <c r="A113" s="4" t="n">
        <v>28</v>
      </c>
      <c r="B113" s="4" t="inlineStr">
        <is>
          <t>2026-08-28</t>
        </is>
      </c>
      <c r="C113" s="2" t="inlineStr">
        <is>
          <t>WBS-400</t>
        </is>
      </c>
      <c r="D113" s="3" t="inlineStr">
        <is>
          <t>Pruebas Hidráulicas, Desinfección y Entrega</t>
        </is>
      </c>
      <c r="E113" s="7">
        <f>IF(AND(A113&gt;='01_PRESUPUESTO_CRONOGRAMA_BASE'!K12, A113&lt;='01_PRESUPUESTO_CRONOGRAMA_BASE'!L12), '01_PRESUPUESTO_CRONOGRAMA_BASE'!M12, 0)</f>
        <v/>
      </c>
      <c r="F113" s="19">
        <f>SUMIFS(E$2:E113, C$2:C113, C113)</f>
        <v/>
      </c>
    </row>
    <row r="114" ht="19.95" customHeight="1">
      <c r="A114" s="4" t="n">
        <v>29</v>
      </c>
      <c r="B114" s="4" t="inlineStr">
        <is>
          <t>2026-08-29</t>
        </is>
      </c>
      <c r="C114" s="2" t="inlineStr">
        <is>
          <t>WBS-100</t>
        </is>
      </c>
      <c r="D114" s="3" t="inlineStr">
        <is>
          <t>Obras Preliminares, Trazo y Movilización</t>
        </is>
      </c>
      <c r="E114" s="7">
        <f>IF(AND(A114&gt;='01_PRESUPUESTO_CRONOGRAMA_BASE'!K2, A114&lt;='01_PRESUPUESTO_CRONOGRAMA_BASE'!L2), '01_PRESUPUESTO_CRONOGRAMA_BASE'!M2, 0) + IF(AND(A114&gt;='01_PRESUPUESTO_CRONOGRAMA_BASE'!K3, A114&lt;='01_PRESUPUESTO_CRONOGRAMA_BASE'!L3), '01_PRESUPUESTO_CRONOGRAMA_BASE'!M3, 0)</f>
        <v/>
      </c>
      <c r="F114" s="19">
        <f>SUMIFS(E$2:E114, C$2:C114, C114)</f>
        <v/>
      </c>
    </row>
    <row r="115" ht="19.95" customHeight="1">
      <c r="A115" s="4" t="n">
        <v>29</v>
      </c>
      <c r="B115" s="4" t="inlineStr">
        <is>
          <t>2026-08-29</t>
        </is>
      </c>
      <c r="C115" s="2" t="inlineStr">
        <is>
          <t>WBS-200</t>
        </is>
      </c>
      <c r="D115" s="3" t="inlineStr">
        <is>
          <t>Red de Alcantarillado, Zanjas y Buzones</t>
        </is>
      </c>
      <c r="E115" s="7">
        <f>IF(AND(A115&gt;='01_PRESUPUESTO_CRONOGRAMA_BASE'!K4, A115&lt;='01_PRESUPUESTO_CRONOGRAMA_BASE'!L4), '01_PRESUPUESTO_CRONOGRAMA_BASE'!M4, 0) + IF(AND(A115&gt;='01_PRESUPUESTO_CRONOGRAMA_BASE'!K5, A115&lt;='01_PRESUPUESTO_CRONOGRAMA_BASE'!L5), '01_PRESUPUESTO_CRONOGRAMA_BASE'!M5, 0) + IF(AND(A115&gt;='01_PRESUPUESTO_CRONOGRAMA_BASE'!K6, A115&lt;='01_PRESUPUESTO_CRONOGRAMA_BASE'!L6), '01_PRESUPUESTO_CRONOGRAMA_BASE'!M6, 0) + IF(AND(A115&gt;='01_PRESUPUESTO_CRONOGRAMA_BASE'!K7, A115&lt;='01_PRESUPUESTO_CRONOGRAMA_BASE'!L7), '01_PRESUPUESTO_CRONOGRAMA_BASE'!M7, 0) + IF(AND(A115&gt;='01_PRESUPUESTO_CRONOGRAMA_BASE'!K8, A115&lt;='01_PRESUPUESTO_CRONOGRAMA_BASE'!L8), '01_PRESUPUESTO_CRONOGRAMA_BASE'!M8, 0) + IF(AND(A115&gt;='01_PRESUPUESTO_CRONOGRAMA_BASE'!K9, A115&lt;='01_PRESUPUESTO_CRONOGRAMA_BASE'!L9), '01_PRESUPUESTO_CRONOGRAMA_BASE'!M9, 0)</f>
        <v/>
      </c>
      <c r="F115" s="19">
        <f>SUMIFS(E$2:E115, C$2:C115, C115)</f>
        <v/>
      </c>
    </row>
    <row r="116" ht="19.95" customHeight="1">
      <c r="A116" s="4" t="n">
        <v>29</v>
      </c>
      <c r="B116" s="4" t="inlineStr">
        <is>
          <t>2026-08-29</t>
        </is>
      </c>
      <c r="C116" s="2" t="inlineStr">
        <is>
          <t>WBS-300</t>
        </is>
      </c>
      <c r="D116" s="3" t="inlineStr">
        <is>
          <t>Red de Agua Potable y Conexiones Domiciliarias</t>
        </is>
      </c>
      <c r="E116" s="7">
        <f>IF(AND(A116&gt;='01_PRESUPUESTO_CRONOGRAMA_BASE'!K10, A116&lt;='01_PRESUPUESTO_CRONOGRAMA_BASE'!L10), '01_PRESUPUESTO_CRONOGRAMA_BASE'!M10, 0) + IF(AND(A116&gt;='01_PRESUPUESTO_CRONOGRAMA_BASE'!K11, A116&lt;='01_PRESUPUESTO_CRONOGRAMA_BASE'!L11), '01_PRESUPUESTO_CRONOGRAMA_BASE'!M11, 0)</f>
        <v/>
      </c>
      <c r="F116" s="19">
        <f>SUMIFS(E$2:E116, C$2:C116, C116)</f>
        <v/>
      </c>
    </row>
    <row r="117" ht="19.95" customHeight="1">
      <c r="A117" s="4" t="n">
        <v>29</v>
      </c>
      <c r="B117" s="4" t="inlineStr">
        <is>
          <t>2026-08-29</t>
        </is>
      </c>
      <c r="C117" s="2" t="inlineStr">
        <is>
          <t>WBS-400</t>
        </is>
      </c>
      <c r="D117" s="3" t="inlineStr">
        <is>
          <t>Pruebas Hidráulicas, Desinfección y Entrega</t>
        </is>
      </c>
      <c r="E117" s="7">
        <f>IF(AND(A117&gt;='01_PRESUPUESTO_CRONOGRAMA_BASE'!K12, A117&lt;='01_PRESUPUESTO_CRONOGRAMA_BASE'!L12), '01_PRESUPUESTO_CRONOGRAMA_BASE'!M12, 0)</f>
        <v/>
      </c>
      <c r="F117" s="19">
        <f>SUMIFS(E$2:E117, C$2:C117, C117)</f>
        <v/>
      </c>
    </row>
    <row r="118" ht="19.95" customHeight="1">
      <c r="A118" s="4" t="n">
        <v>30</v>
      </c>
      <c r="B118" s="4" t="inlineStr">
        <is>
          <t>2026-08-30</t>
        </is>
      </c>
      <c r="C118" s="2" t="inlineStr">
        <is>
          <t>WBS-100</t>
        </is>
      </c>
      <c r="D118" s="3" t="inlineStr">
        <is>
          <t>Obras Preliminares, Trazo y Movilización</t>
        </is>
      </c>
      <c r="E118" s="7">
        <f>IF(AND(A118&gt;='01_PRESUPUESTO_CRONOGRAMA_BASE'!K2, A118&lt;='01_PRESUPUESTO_CRONOGRAMA_BASE'!L2), '01_PRESUPUESTO_CRONOGRAMA_BASE'!M2, 0) + IF(AND(A118&gt;='01_PRESUPUESTO_CRONOGRAMA_BASE'!K3, A118&lt;='01_PRESUPUESTO_CRONOGRAMA_BASE'!L3), '01_PRESUPUESTO_CRONOGRAMA_BASE'!M3, 0)</f>
        <v/>
      </c>
      <c r="F118" s="19">
        <f>SUMIFS(E$2:E118, C$2:C118, C118)</f>
        <v/>
      </c>
    </row>
    <row r="119" ht="19.95" customHeight="1">
      <c r="A119" s="4" t="n">
        <v>30</v>
      </c>
      <c r="B119" s="4" t="inlineStr">
        <is>
          <t>2026-08-30</t>
        </is>
      </c>
      <c r="C119" s="2" t="inlineStr">
        <is>
          <t>WBS-200</t>
        </is>
      </c>
      <c r="D119" s="3" t="inlineStr">
        <is>
          <t>Red de Alcantarillado, Zanjas y Buzones</t>
        </is>
      </c>
      <c r="E119" s="7">
        <f>IF(AND(A119&gt;='01_PRESUPUESTO_CRONOGRAMA_BASE'!K4, A119&lt;='01_PRESUPUESTO_CRONOGRAMA_BASE'!L4), '01_PRESUPUESTO_CRONOGRAMA_BASE'!M4, 0) + IF(AND(A119&gt;='01_PRESUPUESTO_CRONOGRAMA_BASE'!K5, A119&lt;='01_PRESUPUESTO_CRONOGRAMA_BASE'!L5), '01_PRESUPUESTO_CRONOGRAMA_BASE'!M5, 0) + IF(AND(A119&gt;='01_PRESUPUESTO_CRONOGRAMA_BASE'!K6, A119&lt;='01_PRESUPUESTO_CRONOGRAMA_BASE'!L6), '01_PRESUPUESTO_CRONOGRAMA_BASE'!M6, 0) + IF(AND(A119&gt;='01_PRESUPUESTO_CRONOGRAMA_BASE'!K7, A119&lt;='01_PRESUPUESTO_CRONOGRAMA_BASE'!L7), '01_PRESUPUESTO_CRONOGRAMA_BASE'!M7, 0) + IF(AND(A119&gt;='01_PRESUPUESTO_CRONOGRAMA_BASE'!K8, A119&lt;='01_PRESUPUESTO_CRONOGRAMA_BASE'!L8), '01_PRESUPUESTO_CRONOGRAMA_BASE'!M8, 0) + IF(AND(A119&gt;='01_PRESUPUESTO_CRONOGRAMA_BASE'!K9, A119&lt;='01_PRESUPUESTO_CRONOGRAMA_BASE'!L9), '01_PRESUPUESTO_CRONOGRAMA_BASE'!M9, 0)</f>
        <v/>
      </c>
      <c r="F119" s="19">
        <f>SUMIFS(E$2:E119, C$2:C119, C119)</f>
        <v/>
      </c>
    </row>
    <row r="120" ht="19.95" customHeight="1">
      <c r="A120" s="4" t="n">
        <v>30</v>
      </c>
      <c r="B120" s="4" t="inlineStr">
        <is>
          <t>2026-08-30</t>
        </is>
      </c>
      <c r="C120" s="2" t="inlineStr">
        <is>
          <t>WBS-300</t>
        </is>
      </c>
      <c r="D120" s="3" t="inlineStr">
        <is>
          <t>Red de Agua Potable y Conexiones Domiciliarias</t>
        </is>
      </c>
      <c r="E120" s="7">
        <f>IF(AND(A120&gt;='01_PRESUPUESTO_CRONOGRAMA_BASE'!K10, A120&lt;='01_PRESUPUESTO_CRONOGRAMA_BASE'!L10), '01_PRESUPUESTO_CRONOGRAMA_BASE'!M10, 0) + IF(AND(A120&gt;='01_PRESUPUESTO_CRONOGRAMA_BASE'!K11, A120&lt;='01_PRESUPUESTO_CRONOGRAMA_BASE'!L11), '01_PRESUPUESTO_CRONOGRAMA_BASE'!M11, 0)</f>
        <v/>
      </c>
      <c r="F120" s="19">
        <f>SUMIFS(E$2:E120, C$2:C120, C120)</f>
        <v/>
      </c>
    </row>
    <row r="121" ht="19.95" customHeight="1">
      <c r="A121" s="4" t="n">
        <v>30</v>
      </c>
      <c r="B121" s="4" t="inlineStr">
        <is>
          <t>2026-08-30</t>
        </is>
      </c>
      <c r="C121" s="2" t="inlineStr">
        <is>
          <t>WBS-400</t>
        </is>
      </c>
      <c r="D121" s="3" t="inlineStr">
        <is>
          <t>Pruebas Hidráulicas, Desinfección y Entrega</t>
        </is>
      </c>
      <c r="E121" s="7">
        <f>IF(AND(A121&gt;='01_PRESUPUESTO_CRONOGRAMA_BASE'!K12, A121&lt;='01_PRESUPUESTO_CRONOGRAMA_BASE'!L12), '01_PRESUPUESTO_CRONOGRAMA_BASE'!M12, 0)</f>
        <v/>
      </c>
      <c r="F121" s="19">
        <f>SUMIFS(E$2:E121, C$2:C121, C121)</f>
        <v/>
      </c>
    </row>
    <row r="122" ht="19.95" customHeight="1">
      <c r="A122" s="4" t="n">
        <v>31</v>
      </c>
      <c r="B122" s="4" t="inlineStr">
        <is>
          <t>2026-08-31</t>
        </is>
      </c>
      <c r="C122" s="2" t="inlineStr">
        <is>
          <t>WBS-100</t>
        </is>
      </c>
      <c r="D122" s="3" t="inlineStr">
        <is>
          <t>Obras Preliminares, Trazo y Movilización</t>
        </is>
      </c>
      <c r="E122" s="7">
        <f>IF(AND(A122&gt;='01_PRESUPUESTO_CRONOGRAMA_BASE'!K2, A122&lt;='01_PRESUPUESTO_CRONOGRAMA_BASE'!L2), '01_PRESUPUESTO_CRONOGRAMA_BASE'!M2, 0) + IF(AND(A122&gt;='01_PRESUPUESTO_CRONOGRAMA_BASE'!K3, A122&lt;='01_PRESUPUESTO_CRONOGRAMA_BASE'!L3), '01_PRESUPUESTO_CRONOGRAMA_BASE'!M3, 0)</f>
        <v/>
      </c>
      <c r="F122" s="19">
        <f>SUMIFS(E$2:E122, C$2:C122, C122)</f>
        <v/>
      </c>
    </row>
    <row r="123" ht="19.95" customHeight="1">
      <c r="A123" s="4" t="n">
        <v>31</v>
      </c>
      <c r="B123" s="4" t="inlineStr">
        <is>
          <t>2026-08-31</t>
        </is>
      </c>
      <c r="C123" s="2" t="inlineStr">
        <is>
          <t>WBS-200</t>
        </is>
      </c>
      <c r="D123" s="3" t="inlineStr">
        <is>
          <t>Red de Alcantarillado, Zanjas y Buzones</t>
        </is>
      </c>
      <c r="E123" s="7">
        <f>IF(AND(A123&gt;='01_PRESUPUESTO_CRONOGRAMA_BASE'!K4, A123&lt;='01_PRESUPUESTO_CRONOGRAMA_BASE'!L4), '01_PRESUPUESTO_CRONOGRAMA_BASE'!M4, 0) + IF(AND(A123&gt;='01_PRESUPUESTO_CRONOGRAMA_BASE'!K5, A123&lt;='01_PRESUPUESTO_CRONOGRAMA_BASE'!L5), '01_PRESUPUESTO_CRONOGRAMA_BASE'!M5, 0) + IF(AND(A123&gt;='01_PRESUPUESTO_CRONOGRAMA_BASE'!K6, A123&lt;='01_PRESUPUESTO_CRONOGRAMA_BASE'!L6), '01_PRESUPUESTO_CRONOGRAMA_BASE'!M6, 0) + IF(AND(A123&gt;='01_PRESUPUESTO_CRONOGRAMA_BASE'!K7, A123&lt;='01_PRESUPUESTO_CRONOGRAMA_BASE'!L7), '01_PRESUPUESTO_CRONOGRAMA_BASE'!M7, 0) + IF(AND(A123&gt;='01_PRESUPUESTO_CRONOGRAMA_BASE'!K8, A123&lt;='01_PRESUPUESTO_CRONOGRAMA_BASE'!L8), '01_PRESUPUESTO_CRONOGRAMA_BASE'!M8, 0) + IF(AND(A123&gt;='01_PRESUPUESTO_CRONOGRAMA_BASE'!K9, A123&lt;='01_PRESUPUESTO_CRONOGRAMA_BASE'!L9), '01_PRESUPUESTO_CRONOGRAMA_BASE'!M9, 0)</f>
        <v/>
      </c>
      <c r="F123" s="19">
        <f>SUMIFS(E$2:E123, C$2:C123, C123)</f>
        <v/>
      </c>
    </row>
    <row r="124" ht="19.95" customHeight="1">
      <c r="A124" s="4" t="n">
        <v>31</v>
      </c>
      <c r="B124" s="4" t="inlineStr">
        <is>
          <t>2026-08-31</t>
        </is>
      </c>
      <c r="C124" s="2" t="inlineStr">
        <is>
          <t>WBS-300</t>
        </is>
      </c>
      <c r="D124" s="3" t="inlineStr">
        <is>
          <t>Red de Agua Potable y Conexiones Domiciliarias</t>
        </is>
      </c>
      <c r="E124" s="7">
        <f>IF(AND(A124&gt;='01_PRESUPUESTO_CRONOGRAMA_BASE'!K10, A124&lt;='01_PRESUPUESTO_CRONOGRAMA_BASE'!L10), '01_PRESUPUESTO_CRONOGRAMA_BASE'!M10, 0) + IF(AND(A124&gt;='01_PRESUPUESTO_CRONOGRAMA_BASE'!K11, A124&lt;='01_PRESUPUESTO_CRONOGRAMA_BASE'!L11), '01_PRESUPUESTO_CRONOGRAMA_BASE'!M11, 0)</f>
        <v/>
      </c>
      <c r="F124" s="19">
        <f>SUMIFS(E$2:E124, C$2:C124, C124)</f>
        <v/>
      </c>
    </row>
    <row r="125" ht="19.95" customHeight="1">
      <c r="A125" s="4" t="n">
        <v>31</v>
      </c>
      <c r="B125" s="4" t="inlineStr">
        <is>
          <t>2026-08-31</t>
        </is>
      </c>
      <c r="C125" s="2" t="inlineStr">
        <is>
          <t>WBS-400</t>
        </is>
      </c>
      <c r="D125" s="3" t="inlineStr">
        <is>
          <t>Pruebas Hidráulicas, Desinfección y Entrega</t>
        </is>
      </c>
      <c r="E125" s="7">
        <f>IF(AND(A125&gt;='01_PRESUPUESTO_CRONOGRAMA_BASE'!K12, A125&lt;='01_PRESUPUESTO_CRONOGRAMA_BASE'!L12), '01_PRESUPUESTO_CRONOGRAMA_BASE'!M12, 0)</f>
        <v/>
      </c>
      <c r="F125" s="19">
        <f>SUMIFS(E$2:E125, C$2:C125, C125)</f>
        <v/>
      </c>
    </row>
    <row r="126" ht="19.95" customHeight="1">
      <c r="A126" s="4" t="n">
        <v>32</v>
      </c>
      <c r="B126" s="4" t="inlineStr">
        <is>
          <t>2026-09-01</t>
        </is>
      </c>
      <c r="C126" s="2" t="inlineStr">
        <is>
          <t>WBS-100</t>
        </is>
      </c>
      <c r="D126" s="3" t="inlineStr">
        <is>
          <t>Obras Preliminares, Trazo y Movilización</t>
        </is>
      </c>
      <c r="E126" s="7">
        <f>IF(AND(A126&gt;='01_PRESUPUESTO_CRONOGRAMA_BASE'!K2, A126&lt;='01_PRESUPUESTO_CRONOGRAMA_BASE'!L2), '01_PRESUPUESTO_CRONOGRAMA_BASE'!M2, 0) + IF(AND(A126&gt;='01_PRESUPUESTO_CRONOGRAMA_BASE'!K3, A126&lt;='01_PRESUPUESTO_CRONOGRAMA_BASE'!L3), '01_PRESUPUESTO_CRONOGRAMA_BASE'!M3, 0)</f>
        <v/>
      </c>
      <c r="F126" s="19">
        <f>SUMIFS(E$2:E126, C$2:C126, C126)</f>
        <v/>
      </c>
    </row>
    <row r="127" ht="19.95" customHeight="1">
      <c r="A127" s="4" t="n">
        <v>32</v>
      </c>
      <c r="B127" s="4" t="inlineStr">
        <is>
          <t>2026-09-01</t>
        </is>
      </c>
      <c r="C127" s="2" t="inlineStr">
        <is>
          <t>WBS-200</t>
        </is>
      </c>
      <c r="D127" s="3" t="inlineStr">
        <is>
          <t>Red de Alcantarillado, Zanjas y Buzones</t>
        </is>
      </c>
      <c r="E127" s="7">
        <f>IF(AND(A127&gt;='01_PRESUPUESTO_CRONOGRAMA_BASE'!K4, A127&lt;='01_PRESUPUESTO_CRONOGRAMA_BASE'!L4), '01_PRESUPUESTO_CRONOGRAMA_BASE'!M4, 0) + IF(AND(A127&gt;='01_PRESUPUESTO_CRONOGRAMA_BASE'!K5, A127&lt;='01_PRESUPUESTO_CRONOGRAMA_BASE'!L5), '01_PRESUPUESTO_CRONOGRAMA_BASE'!M5, 0) + IF(AND(A127&gt;='01_PRESUPUESTO_CRONOGRAMA_BASE'!K6, A127&lt;='01_PRESUPUESTO_CRONOGRAMA_BASE'!L6), '01_PRESUPUESTO_CRONOGRAMA_BASE'!M6, 0) + IF(AND(A127&gt;='01_PRESUPUESTO_CRONOGRAMA_BASE'!K7, A127&lt;='01_PRESUPUESTO_CRONOGRAMA_BASE'!L7), '01_PRESUPUESTO_CRONOGRAMA_BASE'!M7, 0) + IF(AND(A127&gt;='01_PRESUPUESTO_CRONOGRAMA_BASE'!K8, A127&lt;='01_PRESUPUESTO_CRONOGRAMA_BASE'!L8), '01_PRESUPUESTO_CRONOGRAMA_BASE'!M8, 0) + IF(AND(A127&gt;='01_PRESUPUESTO_CRONOGRAMA_BASE'!K9, A127&lt;='01_PRESUPUESTO_CRONOGRAMA_BASE'!L9), '01_PRESUPUESTO_CRONOGRAMA_BASE'!M9, 0)</f>
        <v/>
      </c>
      <c r="F127" s="19">
        <f>SUMIFS(E$2:E127, C$2:C127, C127)</f>
        <v/>
      </c>
    </row>
    <row r="128" ht="19.95" customHeight="1">
      <c r="A128" s="4" t="n">
        <v>32</v>
      </c>
      <c r="B128" s="4" t="inlineStr">
        <is>
          <t>2026-09-01</t>
        </is>
      </c>
      <c r="C128" s="2" t="inlineStr">
        <is>
          <t>WBS-300</t>
        </is>
      </c>
      <c r="D128" s="3" t="inlineStr">
        <is>
          <t>Red de Agua Potable y Conexiones Domiciliarias</t>
        </is>
      </c>
      <c r="E128" s="7">
        <f>IF(AND(A128&gt;='01_PRESUPUESTO_CRONOGRAMA_BASE'!K10, A128&lt;='01_PRESUPUESTO_CRONOGRAMA_BASE'!L10), '01_PRESUPUESTO_CRONOGRAMA_BASE'!M10, 0) + IF(AND(A128&gt;='01_PRESUPUESTO_CRONOGRAMA_BASE'!K11, A128&lt;='01_PRESUPUESTO_CRONOGRAMA_BASE'!L11), '01_PRESUPUESTO_CRONOGRAMA_BASE'!M11, 0)</f>
        <v/>
      </c>
      <c r="F128" s="19">
        <f>SUMIFS(E$2:E128, C$2:C128, C128)</f>
        <v/>
      </c>
    </row>
    <row r="129" ht="19.95" customHeight="1">
      <c r="A129" s="4" t="n">
        <v>32</v>
      </c>
      <c r="B129" s="4" t="inlineStr">
        <is>
          <t>2026-09-01</t>
        </is>
      </c>
      <c r="C129" s="2" t="inlineStr">
        <is>
          <t>WBS-400</t>
        </is>
      </c>
      <c r="D129" s="3" t="inlineStr">
        <is>
          <t>Pruebas Hidráulicas, Desinfección y Entrega</t>
        </is>
      </c>
      <c r="E129" s="7">
        <f>IF(AND(A129&gt;='01_PRESUPUESTO_CRONOGRAMA_BASE'!K12, A129&lt;='01_PRESUPUESTO_CRONOGRAMA_BASE'!L12), '01_PRESUPUESTO_CRONOGRAMA_BASE'!M12, 0)</f>
        <v/>
      </c>
      <c r="F129" s="19">
        <f>SUMIFS(E$2:E129, C$2:C129, C129)</f>
        <v/>
      </c>
    </row>
    <row r="130" ht="19.95" customHeight="1">
      <c r="A130" s="4" t="n">
        <v>33</v>
      </c>
      <c r="B130" s="4" t="inlineStr">
        <is>
          <t>2026-09-02</t>
        </is>
      </c>
      <c r="C130" s="2" t="inlineStr">
        <is>
          <t>WBS-100</t>
        </is>
      </c>
      <c r="D130" s="3" t="inlineStr">
        <is>
          <t>Obras Preliminares, Trazo y Movilización</t>
        </is>
      </c>
      <c r="E130" s="7">
        <f>IF(AND(A130&gt;='01_PRESUPUESTO_CRONOGRAMA_BASE'!K2, A130&lt;='01_PRESUPUESTO_CRONOGRAMA_BASE'!L2), '01_PRESUPUESTO_CRONOGRAMA_BASE'!M2, 0) + IF(AND(A130&gt;='01_PRESUPUESTO_CRONOGRAMA_BASE'!K3, A130&lt;='01_PRESUPUESTO_CRONOGRAMA_BASE'!L3), '01_PRESUPUESTO_CRONOGRAMA_BASE'!M3, 0)</f>
        <v/>
      </c>
      <c r="F130" s="19">
        <f>SUMIFS(E$2:E130, C$2:C130, C130)</f>
        <v/>
      </c>
    </row>
    <row r="131" ht="19.95" customHeight="1">
      <c r="A131" s="4" t="n">
        <v>33</v>
      </c>
      <c r="B131" s="4" t="inlineStr">
        <is>
          <t>2026-09-02</t>
        </is>
      </c>
      <c r="C131" s="2" t="inlineStr">
        <is>
          <t>WBS-200</t>
        </is>
      </c>
      <c r="D131" s="3" t="inlineStr">
        <is>
          <t>Red de Alcantarillado, Zanjas y Buzones</t>
        </is>
      </c>
      <c r="E131" s="7">
        <f>IF(AND(A131&gt;='01_PRESUPUESTO_CRONOGRAMA_BASE'!K4, A131&lt;='01_PRESUPUESTO_CRONOGRAMA_BASE'!L4), '01_PRESUPUESTO_CRONOGRAMA_BASE'!M4, 0) + IF(AND(A131&gt;='01_PRESUPUESTO_CRONOGRAMA_BASE'!K5, A131&lt;='01_PRESUPUESTO_CRONOGRAMA_BASE'!L5), '01_PRESUPUESTO_CRONOGRAMA_BASE'!M5, 0) + IF(AND(A131&gt;='01_PRESUPUESTO_CRONOGRAMA_BASE'!K6, A131&lt;='01_PRESUPUESTO_CRONOGRAMA_BASE'!L6), '01_PRESUPUESTO_CRONOGRAMA_BASE'!M6, 0) + IF(AND(A131&gt;='01_PRESUPUESTO_CRONOGRAMA_BASE'!K7, A131&lt;='01_PRESUPUESTO_CRONOGRAMA_BASE'!L7), '01_PRESUPUESTO_CRONOGRAMA_BASE'!M7, 0) + IF(AND(A131&gt;='01_PRESUPUESTO_CRONOGRAMA_BASE'!K8, A131&lt;='01_PRESUPUESTO_CRONOGRAMA_BASE'!L8), '01_PRESUPUESTO_CRONOGRAMA_BASE'!M8, 0) + IF(AND(A131&gt;='01_PRESUPUESTO_CRONOGRAMA_BASE'!K9, A131&lt;='01_PRESUPUESTO_CRONOGRAMA_BASE'!L9), '01_PRESUPUESTO_CRONOGRAMA_BASE'!M9, 0)</f>
        <v/>
      </c>
      <c r="F131" s="19">
        <f>SUMIFS(E$2:E131, C$2:C131, C131)</f>
        <v/>
      </c>
    </row>
    <row r="132" ht="19.95" customHeight="1">
      <c r="A132" s="4" t="n">
        <v>33</v>
      </c>
      <c r="B132" s="4" t="inlineStr">
        <is>
          <t>2026-09-02</t>
        </is>
      </c>
      <c r="C132" s="2" t="inlineStr">
        <is>
          <t>WBS-300</t>
        </is>
      </c>
      <c r="D132" s="3" t="inlineStr">
        <is>
          <t>Red de Agua Potable y Conexiones Domiciliarias</t>
        </is>
      </c>
      <c r="E132" s="7">
        <f>IF(AND(A132&gt;='01_PRESUPUESTO_CRONOGRAMA_BASE'!K10, A132&lt;='01_PRESUPUESTO_CRONOGRAMA_BASE'!L10), '01_PRESUPUESTO_CRONOGRAMA_BASE'!M10, 0) + IF(AND(A132&gt;='01_PRESUPUESTO_CRONOGRAMA_BASE'!K11, A132&lt;='01_PRESUPUESTO_CRONOGRAMA_BASE'!L11), '01_PRESUPUESTO_CRONOGRAMA_BASE'!M11, 0)</f>
        <v/>
      </c>
      <c r="F132" s="19">
        <f>SUMIFS(E$2:E132, C$2:C132, C132)</f>
        <v/>
      </c>
    </row>
    <row r="133" ht="19.95" customHeight="1">
      <c r="A133" s="4" t="n">
        <v>33</v>
      </c>
      <c r="B133" s="4" t="inlineStr">
        <is>
          <t>2026-09-02</t>
        </is>
      </c>
      <c r="C133" s="2" t="inlineStr">
        <is>
          <t>WBS-400</t>
        </is>
      </c>
      <c r="D133" s="3" t="inlineStr">
        <is>
          <t>Pruebas Hidráulicas, Desinfección y Entrega</t>
        </is>
      </c>
      <c r="E133" s="7">
        <f>IF(AND(A133&gt;='01_PRESUPUESTO_CRONOGRAMA_BASE'!K12, A133&lt;='01_PRESUPUESTO_CRONOGRAMA_BASE'!L12), '01_PRESUPUESTO_CRONOGRAMA_BASE'!M12, 0)</f>
        <v/>
      </c>
      <c r="F133" s="19">
        <f>SUMIFS(E$2:E133, C$2:C133, C133)</f>
        <v/>
      </c>
    </row>
    <row r="134" ht="19.95" customHeight="1">
      <c r="A134" s="4" t="n">
        <v>34</v>
      </c>
      <c r="B134" s="4" t="inlineStr">
        <is>
          <t>2026-09-03</t>
        </is>
      </c>
      <c r="C134" s="2" t="inlineStr">
        <is>
          <t>WBS-100</t>
        </is>
      </c>
      <c r="D134" s="3" t="inlineStr">
        <is>
          <t>Obras Preliminares, Trazo y Movilización</t>
        </is>
      </c>
      <c r="E134" s="7">
        <f>IF(AND(A134&gt;='01_PRESUPUESTO_CRONOGRAMA_BASE'!K2, A134&lt;='01_PRESUPUESTO_CRONOGRAMA_BASE'!L2), '01_PRESUPUESTO_CRONOGRAMA_BASE'!M2, 0) + IF(AND(A134&gt;='01_PRESUPUESTO_CRONOGRAMA_BASE'!K3, A134&lt;='01_PRESUPUESTO_CRONOGRAMA_BASE'!L3), '01_PRESUPUESTO_CRONOGRAMA_BASE'!M3, 0)</f>
        <v/>
      </c>
      <c r="F134" s="19">
        <f>SUMIFS(E$2:E134, C$2:C134, C134)</f>
        <v/>
      </c>
    </row>
    <row r="135" ht="19.95" customHeight="1">
      <c r="A135" s="4" t="n">
        <v>34</v>
      </c>
      <c r="B135" s="4" t="inlineStr">
        <is>
          <t>2026-09-03</t>
        </is>
      </c>
      <c r="C135" s="2" t="inlineStr">
        <is>
          <t>WBS-200</t>
        </is>
      </c>
      <c r="D135" s="3" t="inlineStr">
        <is>
          <t>Red de Alcantarillado, Zanjas y Buzones</t>
        </is>
      </c>
      <c r="E135" s="7">
        <f>IF(AND(A135&gt;='01_PRESUPUESTO_CRONOGRAMA_BASE'!K4, A135&lt;='01_PRESUPUESTO_CRONOGRAMA_BASE'!L4), '01_PRESUPUESTO_CRONOGRAMA_BASE'!M4, 0) + IF(AND(A135&gt;='01_PRESUPUESTO_CRONOGRAMA_BASE'!K5, A135&lt;='01_PRESUPUESTO_CRONOGRAMA_BASE'!L5), '01_PRESUPUESTO_CRONOGRAMA_BASE'!M5, 0) + IF(AND(A135&gt;='01_PRESUPUESTO_CRONOGRAMA_BASE'!K6, A135&lt;='01_PRESUPUESTO_CRONOGRAMA_BASE'!L6), '01_PRESUPUESTO_CRONOGRAMA_BASE'!M6, 0) + IF(AND(A135&gt;='01_PRESUPUESTO_CRONOGRAMA_BASE'!K7, A135&lt;='01_PRESUPUESTO_CRONOGRAMA_BASE'!L7), '01_PRESUPUESTO_CRONOGRAMA_BASE'!M7, 0) + IF(AND(A135&gt;='01_PRESUPUESTO_CRONOGRAMA_BASE'!K8, A135&lt;='01_PRESUPUESTO_CRONOGRAMA_BASE'!L8), '01_PRESUPUESTO_CRONOGRAMA_BASE'!M8, 0) + IF(AND(A135&gt;='01_PRESUPUESTO_CRONOGRAMA_BASE'!K9, A135&lt;='01_PRESUPUESTO_CRONOGRAMA_BASE'!L9), '01_PRESUPUESTO_CRONOGRAMA_BASE'!M9, 0)</f>
        <v/>
      </c>
      <c r="F135" s="19">
        <f>SUMIFS(E$2:E135, C$2:C135, C135)</f>
        <v/>
      </c>
    </row>
    <row r="136" ht="19.95" customHeight="1">
      <c r="A136" s="4" t="n">
        <v>34</v>
      </c>
      <c r="B136" s="4" t="inlineStr">
        <is>
          <t>2026-09-03</t>
        </is>
      </c>
      <c r="C136" s="2" t="inlineStr">
        <is>
          <t>WBS-300</t>
        </is>
      </c>
      <c r="D136" s="3" t="inlineStr">
        <is>
          <t>Red de Agua Potable y Conexiones Domiciliarias</t>
        </is>
      </c>
      <c r="E136" s="7">
        <f>IF(AND(A136&gt;='01_PRESUPUESTO_CRONOGRAMA_BASE'!K10, A136&lt;='01_PRESUPUESTO_CRONOGRAMA_BASE'!L10), '01_PRESUPUESTO_CRONOGRAMA_BASE'!M10, 0) + IF(AND(A136&gt;='01_PRESUPUESTO_CRONOGRAMA_BASE'!K11, A136&lt;='01_PRESUPUESTO_CRONOGRAMA_BASE'!L11), '01_PRESUPUESTO_CRONOGRAMA_BASE'!M11, 0)</f>
        <v/>
      </c>
      <c r="F136" s="19">
        <f>SUMIFS(E$2:E136, C$2:C136, C136)</f>
        <v/>
      </c>
    </row>
    <row r="137" ht="19.95" customHeight="1">
      <c r="A137" s="4" t="n">
        <v>34</v>
      </c>
      <c r="B137" s="4" t="inlineStr">
        <is>
          <t>2026-09-03</t>
        </is>
      </c>
      <c r="C137" s="2" t="inlineStr">
        <is>
          <t>WBS-400</t>
        </is>
      </c>
      <c r="D137" s="3" t="inlineStr">
        <is>
          <t>Pruebas Hidráulicas, Desinfección y Entrega</t>
        </is>
      </c>
      <c r="E137" s="7">
        <f>IF(AND(A137&gt;='01_PRESUPUESTO_CRONOGRAMA_BASE'!K12, A137&lt;='01_PRESUPUESTO_CRONOGRAMA_BASE'!L12), '01_PRESUPUESTO_CRONOGRAMA_BASE'!M12, 0)</f>
        <v/>
      </c>
      <c r="F137" s="19">
        <f>SUMIFS(E$2:E137, C$2:C137, C137)</f>
        <v/>
      </c>
    </row>
    <row r="138" ht="19.95" customHeight="1">
      <c r="A138" s="4" t="n">
        <v>35</v>
      </c>
      <c r="B138" s="4" t="inlineStr">
        <is>
          <t>2026-09-04</t>
        </is>
      </c>
      <c r="C138" s="2" t="inlineStr">
        <is>
          <t>WBS-100</t>
        </is>
      </c>
      <c r="D138" s="3" t="inlineStr">
        <is>
          <t>Obras Preliminares, Trazo y Movilización</t>
        </is>
      </c>
      <c r="E138" s="7">
        <f>IF(AND(A138&gt;='01_PRESUPUESTO_CRONOGRAMA_BASE'!K2, A138&lt;='01_PRESUPUESTO_CRONOGRAMA_BASE'!L2), '01_PRESUPUESTO_CRONOGRAMA_BASE'!M2, 0) + IF(AND(A138&gt;='01_PRESUPUESTO_CRONOGRAMA_BASE'!K3, A138&lt;='01_PRESUPUESTO_CRONOGRAMA_BASE'!L3), '01_PRESUPUESTO_CRONOGRAMA_BASE'!M3, 0)</f>
        <v/>
      </c>
      <c r="F138" s="19">
        <f>SUMIFS(E$2:E138, C$2:C138, C138)</f>
        <v/>
      </c>
    </row>
    <row r="139" ht="19.95" customHeight="1">
      <c r="A139" s="4" t="n">
        <v>35</v>
      </c>
      <c r="B139" s="4" t="inlineStr">
        <is>
          <t>2026-09-04</t>
        </is>
      </c>
      <c r="C139" s="2" t="inlineStr">
        <is>
          <t>WBS-200</t>
        </is>
      </c>
      <c r="D139" s="3" t="inlineStr">
        <is>
          <t>Red de Alcantarillado, Zanjas y Buzones</t>
        </is>
      </c>
      <c r="E139" s="7">
        <f>IF(AND(A139&gt;='01_PRESUPUESTO_CRONOGRAMA_BASE'!K4, A139&lt;='01_PRESUPUESTO_CRONOGRAMA_BASE'!L4), '01_PRESUPUESTO_CRONOGRAMA_BASE'!M4, 0) + IF(AND(A139&gt;='01_PRESUPUESTO_CRONOGRAMA_BASE'!K5, A139&lt;='01_PRESUPUESTO_CRONOGRAMA_BASE'!L5), '01_PRESUPUESTO_CRONOGRAMA_BASE'!M5, 0) + IF(AND(A139&gt;='01_PRESUPUESTO_CRONOGRAMA_BASE'!K6, A139&lt;='01_PRESUPUESTO_CRONOGRAMA_BASE'!L6), '01_PRESUPUESTO_CRONOGRAMA_BASE'!M6, 0) + IF(AND(A139&gt;='01_PRESUPUESTO_CRONOGRAMA_BASE'!K7, A139&lt;='01_PRESUPUESTO_CRONOGRAMA_BASE'!L7), '01_PRESUPUESTO_CRONOGRAMA_BASE'!M7, 0) + IF(AND(A139&gt;='01_PRESUPUESTO_CRONOGRAMA_BASE'!K8, A139&lt;='01_PRESUPUESTO_CRONOGRAMA_BASE'!L8), '01_PRESUPUESTO_CRONOGRAMA_BASE'!M8, 0) + IF(AND(A139&gt;='01_PRESUPUESTO_CRONOGRAMA_BASE'!K9, A139&lt;='01_PRESUPUESTO_CRONOGRAMA_BASE'!L9), '01_PRESUPUESTO_CRONOGRAMA_BASE'!M9, 0)</f>
        <v/>
      </c>
      <c r="F139" s="19">
        <f>SUMIFS(E$2:E139, C$2:C139, C139)</f>
        <v/>
      </c>
    </row>
    <row r="140" ht="19.95" customHeight="1">
      <c r="A140" s="4" t="n">
        <v>35</v>
      </c>
      <c r="B140" s="4" t="inlineStr">
        <is>
          <t>2026-09-04</t>
        </is>
      </c>
      <c r="C140" s="2" t="inlineStr">
        <is>
          <t>WBS-300</t>
        </is>
      </c>
      <c r="D140" s="3" t="inlineStr">
        <is>
          <t>Red de Agua Potable y Conexiones Domiciliarias</t>
        </is>
      </c>
      <c r="E140" s="7">
        <f>IF(AND(A140&gt;='01_PRESUPUESTO_CRONOGRAMA_BASE'!K10, A140&lt;='01_PRESUPUESTO_CRONOGRAMA_BASE'!L10), '01_PRESUPUESTO_CRONOGRAMA_BASE'!M10, 0) + IF(AND(A140&gt;='01_PRESUPUESTO_CRONOGRAMA_BASE'!K11, A140&lt;='01_PRESUPUESTO_CRONOGRAMA_BASE'!L11), '01_PRESUPUESTO_CRONOGRAMA_BASE'!M11, 0)</f>
        <v/>
      </c>
      <c r="F140" s="19">
        <f>SUMIFS(E$2:E140, C$2:C140, C140)</f>
        <v/>
      </c>
    </row>
    <row r="141" ht="19.95" customHeight="1">
      <c r="A141" s="4" t="n">
        <v>35</v>
      </c>
      <c r="B141" s="4" t="inlineStr">
        <is>
          <t>2026-09-04</t>
        </is>
      </c>
      <c r="C141" s="2" t="inlineStr">
        <is>
          <t>WBS-400</t>
        </is>
      </c>
      <c r="D141" s="3" t="inlineStr">
        <is>
          <t>Pruebas Hidráulicas, Desinfección y Entrega</t>
        </is>
      </c>
      <c r="E141" s="7">
        <f>IF(AND(A141&gt;='01_PRESUPUESTO_CRONOGRAMA_BASE'!K12, A141&lt;='01_PRESUPUESTO_CRONOGRAMA_BASE'!L12), '01_PRESUPUESTO_CRONOGRAMA_BASE'!M12, 0)</f>
        <v/>
      </c>
      <c r="F141" s="19">
        <f>SUMIFS(E$2:E141, C$2:C141, C141)</f>
        <v/>
      </c>
    </row>
    <row r="142" ht="19.95" customHeight="1">
      <c r="A142" s="4" t="n">
        <v>36</v>
      </c>
      <c r="B142" s="4" t="inlineStr">
        <is>
          <t>2026-09-05</t>
        </is>
      </c>
      <c r="C142" s="2" t="inlineStr">
        <is>
          <t>WBS-100</t>
        </is>
      </c>
      <c r="D142" s="3" t="inlineStr">
        <is>
          <t>Obras Preliminares, Trazo y Movilización</t>
        </is>
      </c>
      <c r="E142" s="7">
        <f>IF(AND(A142&gt;='01_PRESUPUESTO_CRONOGRAMA_BASE'!K2, A142&lt;='01_PRESUPUESTO_CRONOGRAMA_BASE'!L2), '01_PRESUPUESTO_CRONOGRAMA_BASE'!M2, 0) + IF(AND(A142&gt;='01_PRESUPUESTO_CRONOGRAMA_BASE'!K3, A142&lt;='01_PRESUPUESTO_CRONOGRAMA_BASE'!L3), '01_PRESUPUESTO_CRONOGRAMA_BASE'!M3, 0)</f>
        <v/>
      </c>
      <c r="F142" s="19">
        <f>SUMIFS(E$2:E142, C$2:C142, C142)</f>
        <v/>
      </c>
    </row>
    <row r="143" ht="19.95" customHeight="1">
      <c r="A143" s="4" t="n">
        <v>36</v>
      </c>
      <c r="B143" s="4" t="inlineStr">
        <is>
          <t>2026-09-05</t>
        </is>
      </c>
      <c r="C143" s="2" t="inlineStr">
        <is>
          <t>WBS-200</t>
        </is>
      </c>
      <c r="D143" s="3" t="inlineStr">
        <is>
          <t>Red de Alcantarillado, Zanjas y Buzones</t>
        </is>
      </c>
      <c r="E143" s="7">
        <f>IF(AND(A143&gt;='01_PRESUPUESTO_CRONOGRAMA_BASE'!K4, A143&lt;='01_PRESUPUESTO_CRONOGRAMA_BASE'!L4), '01_PRESUPUESTO_CRONOGRAMA_BASE'!M4, 0) + IF(AND(A143&gt;='01_PRESUPUESTO_CRONOGRAMA_BASE'!K5, A143&lt;='01_PRESUPUESTO_CRONOGRAMA_BASE'!L5), '01_PRESUPUESTO_CRONOGRAMA_BASE'!M5, 0) + IF(AND(A143&gt;='01_PRESUPUESTO_CRONOGRAMA_BASE'!K6, A143&lt;='01_PRESUPUESTO_CRONOGRAMA_BASE'!L6), '01_PRESUPUESTO_CRONOGRAMA_BASE'!M6, 0) + IF(AND(A143&gt;='01_PRESUPUESTO_CRONOGRAMA_BASE'!K7, A143&lt;='01_PRESUPUESTO_CRONOGRAMA_BASE'!L7), '01_PRESUPUESTO_CRONOGRAMA_BASE'!M7, 0) + IF(AND(A143&gt;='01_PRESUPUESTO_CRONOGRAMA_BASE'!K8, A143&lt;='01_PRESUPUESTO_CRONOGRAMA_BASE'!L8), '01_PRESUPUESTO_CRONOGRAMA_BASE'!M8, 0) + IF(AND(A143&gt;='01_PRESUPUESTO_CRONOGRAMA_BASE'!K9, A143&lt;='01_PRESUPUESTO_CRONOGRAMA_BASE'!L9), '01_PRESUPUESTO_CRONOGRAMA_BASE'!M9, 0)</f>
        <v/>
      </c>
      <c r="F143" s="19">
        <f>SUMIFS(E$2:E143, C$2:C143, C143)</f>
        <v/>
      </c>
    </row>
    <row r="144" ht="19.95" customHeight="1">
      <c r="A144" s="4" t="n">
        <v>36</v>
      </c>
      <c r="B144" s="4" t="inlineStr">
        <is>
          <t>2026-09-05</t>
        </is>
      </c>
      <c r="C144" s="2" t="inlineStr">
        <is>
          <t>WBS-300</t>
        </is>
      </c>
      <c r="D144" s="3" t="inlineStr">
        <is>
          <t>Red de Agua Potable y Conexiones Domiciliarias</t>
        </is>
      </c>
      <c r="E144" s="7">
        <f>IF(AND(A144&gt;='01_PRESUPUESTO_CRONOGRAMA_BASE'!K10, A144&lt;='01_PRESUPUESTO_CRONOGRAMA_BASE'!L10), '01_PRESUPUESTO_CRONOGRAMA_BASE'!M10, 0) + IF(AND(A144&gt;='01_PRESUPUESTO_CRONOGRAMA_BASE'!K11, A144&lt;='01_PRESUPUESTO_CRONOGRAMA_BASE'!L11), '01_PRESUPUESTO_CRONOGRAMA_BASE'!M11, 0)</f>
        <v/>
      </c>
      <c r="F144" s="19">
        <f>SUMIFS(E$2:E144, C$2:C144, C144)</f>
        <v/>
      </c>
    </row>
    <row r="145" ht="19.95" customHeight="1">
      <c r="A145" s="4" t="n">
        <v>36</v>
      </c>
      <c r="B145" s="4" t="inlineStr">
        <is>
          <t>2026-09-05</t>
        </is>
      </c>
      <c r="C145" s="2" t="inlineStr">
        <is>
          <t>WBS-400</t>
        </is>
      </c>
      <c r="D145" s="3" t="inlineStr">
        <is>
          <t>Pruebas Hidráulicas, Desinfección y Entrega</t>
        </is>
      </c>
      <c r="E145" s="7">
        <f>IF(AND(A145&gt;='01_PRESUPUESTO_CRONOGRAMA_BASE'!K12, A145&lt;='01_PRESUPUESTO_CRONOGRAMA_BASE'!L12), '01_PRESUPUESTO_CRONOGRAMA_BASE'!M12, 0)</f>
        <v/>
      </c>
      <c r="F145" s="19">
        <f>SUMIFS(E$2:E145, C$2:C145, C145)</f>
        <v/>
      </c>
    </row>
    <row r="146" ht="19.95" customHeight="1">
      <c r="A146" s="4" t="n">
        <v>37</v>
      </c>
      <c r="B146" s="4" t="inlineStr">
        <is>
          <t>2026-09-06</t>
        </is>
      </c>
      <c r="C146" s="2" t="inlineStr">
        <is>
          <t>WBS-100</t>
        </is>
      </c>
      <c r="D146" s="3" t="inlineStr">
        <is>
          <t>Obras Preliminares, Trazo y Movilización</t>
        </is>
      </c>
      <c r="E146" s="7">
        <f>IF(AND(A146&gt;='01_PRESUPUESTO_CRONOGRAMA_BASE'!K2, A146&lt;='01_PRESUPUESTO_CRONOGRAMA_BASE'!L2), '01_PRESUPUESTO_CRONOGRAMA_BASE'!M2, 0) + IF(AND(A146&gt;='01_PRESUPUESTO_CRONOGRAMA_BASE'!K3, A146&lt;='01_PRESUPUESTO_CRONOGRAMA_BASE'!L3), '01_PRESUPUESTO_CRONOGRAMA_BASE'!M3, 0)</f>
        <v/>
      </c>
      <c r="F146" s="19">
        <f>SUMIFS(E$2:E146, C$2:C146, C146)</f>
        <v/>
      </c>
    </row>
    <row r="147" ht="19.95" customHeight="1">
      <c r="A147" s="4" t="n">
        <v>37</v>
      </c>
      <c r="B147" s="4" t="inlineStr">
        <is>
          <t>2026-09-06</t>
        </is>
      </c>
      <c r="C147" s="2" t="inlineStr">
        <is>
          <t>WBS-200</t>
        </is>
      </c>
      <c r="D147" s="3" t="inlineStr">
        <is>
          <t>Red de Alcantarillado, Zanjas y Buzones</t>
        </is>
      </c>
      <c r="E147" s="7">
        <f>IF(AND(A147&gt;='01_PRESUPUESTO_CRONOGRAMA_BASE'!K4, A147&lt;='01_PRESUPUESTO_CRONOGRAMA_BASE'!L4), '01_PRESUPUESTO_CRONOGRAMA_BASE'!M4, 0) + IF(AND(A147&gt;='01_PRESUPUESTO_CRONOGRAMA_BASE'!K5, A147&lt;='01_PRESUPUESTO_CRONOGRAMA_BASE'!L5), '01_PRESUPUESTO_CRONOGRAMA_BASE'!M5, 0) + IF(AND(A147&gt;='01_PRESUPUESTO_CRONOGRAMA_BASE'!K6, A147&lt;='01_PRESUPUESTO_CRONOGRAMA_BASE'!L6), '01_PRESUPUESTO_CRONOGRAMA_BASE'!M6, 0) + IF(AND(A147&gt;='01_PRESUPUESTO_CRONOGRAMA_BASE'!K7, A147&lt;='01_PRESUPUESTO_CRONOGRAMA_BASE'!L7), '01_PRESUPUESTO_CRONOGRAMA_BASE'!M7, 0) + IF(AND(A147&gt;='01_PRESUPUESTO_CRONOGRAMA_BASE'!K8, A147&lt;='01_PRESUPUESTO_CRONOGRAMA_BASE'!L8), '01_PRESUPUESTO_CRONOGRAMA_BASE'!M8, 0) + IF(AND(A147&gt;='01_PRESUPUESTO_CRONOGRAMA_BASE'!K9, A147&lt;='01_PRESUPUESTO_CRONOGRAMA_BASE'!L9), '01_PRESUPUESTO_CRONOGRAMA_BASE'!M9, 0)</f>
        <v/>
      </c>
      <c r="F147" s="19">
        <f>SUMIFS(E$2:E147, C$2:C147, C147)</f>
        <v/>
      </c>
    </row>
    <row r="148" ht="19.95" customHeight="1">
      <c r="A148" s="4" t="n">
        <v>37</v>
      </c>
      <c r="B148" s="4" t="inlineStr">
        <is>
          <t>2026-09-06</t>
        </is>
      </c>
      <c r="C148" s="2" t="inlineStr">
        <is>
          <t>WBS-300</t>
        </is>
      </c>
      <c r="D148" s="3" t="inlineStr">
        <is>
          <t>Red de Agua Potable y Conexiones Domiciliarias</t>
        </is>
      </c>
      <c r="E148" s="7">
        <f>IF(AND(A148&gt;='01_PRESUPUESTO_CRONOGRAMA_BASE'!K10, A148&lt;='01_PRESUPUESTO_CRONOGRAMA_BASE'!L10), '01_PRESUPUESTO_CRONOGRAMA_BASE'!M10, 0) + IF(AND(A148&gt;='01_PRESUPUESTO_CRONOGRAMA_BASE'!K11, A148&lt;='01_PRESUPUESTO_CRONOGRAMA_BASE'!L11), '01_PRESUPUESTO_CRONOGRAMA_BASE'!M11, 0)</f>
        <v/>
      </c>
      <c r="F148" s="19">
        <f>SUMIFS(E$2:E148, C$2:C148, C148)</f>
        <v/>
      </c>
    </row>
    <row r="149" ht="19.95" customHeight="1">
      <c r="A149" s="4" t="n">
        <v>37</v>
      </c>
      <c r="B149" s="4" t="inlineStr">
        <is>
          <t>2026-09-06</t>
        </is>
      </c>
      <c r="C149" s="2" t="inlineStr">
        <is>
          <t>WBS-400</t>
        </is>
      </c>
      <c r="D149" s="3" t="inlineStr">
        <is>
          <t>Pruebas Hidráulicas, Desinfección y Entrega</t>
        </is>
      </c>
      <c r="E149" s="7">
        <f>IF(AND(A149&gt;='01_PRESUPUESTO_CRONOGRAMA_BASE'!K12, A149&lt;='01_PRESUPUESTO_CRONOGRAMA_BASE'!L12), '01_PRESUPUESTO_CRONOGRAMA_BASE'!M12, 0)</f>
        <v/>
      </c>
      <c r="F149" s="19">
        <f>SUMIFS(E$2:E149, C$2:C149, C149)</f>
        <v/>
      </c>
    </row>
    <row r="150" ht="19.95" customHeight="1">
      <c r="A150" s="4" t="n">
        <v>38</v>
      </c>
      <c r="B150" s="4" t="inlineStr">
        <is>
          <t>2026-09-07</t>
        </is>
      </c>
      <c r="C150" s="2" t="inlineStr">
        <is>
          <t>WBS-100</t>
        </is>
      </c>
      <c r="D150" s="3" t="inlineStr">
        <is>
          <t>Obras Preliminares, Trazo y Movilización</t>
        </is>
      </c>
      <c r="E150" s="7">
        <f>IF(AND(A150&gt;='01_PRESUPUESTO_CRONOGRAMA_BASE'!K2, A150&lt;='01_PRESUPUESTO_CRONOGRAMA_BASE'!L2), '01_PRESUPUESTO_CRONOGRAMA_BASE'!M2, 0) + IF(AND(A150&gt;='01_PRESUPUESTO_CRONOGRAMA_BASE'!K3, A150&lt;='01_PRESUPUESTO_CRONOGRAMA_BASE'!L3), '01_PRESUPUESTO_CRONOGRAMA_BASE'!M3, 0)</f>
        <v/>
      </c>
      <c r="F150" s="19">
        <f>SUMIFS(E$2:E150, C$2:C150, C150)</f>
        <v/>
      </c>
    </row>
    <row r="151" ht="19.95" customHeight="1">
      <c r="A151" s="4" t="n">
        <v>38</v>
      </c>
      <c r="B151" s="4" t="inlineStr">
        <is>
          <t>2026-09-07</t>
        </is>
      </c>
      <c r="C151" s="2" t="inlineStr">
        <is>
          <t>WBS-200</t>
        </is>
      </c>
      <c r="D151" s="3" t="inlineStr">
        <is>
          <t>Red de Alcantarillado, Zanjas y Buzones</t>
        </is>
      </c>
      <c r="E151" s="7">
        <f>IF(AND(A151&gt;='01_PRESUPUESTO_CRONOGRAMA_BASE'!K4, A151&lt;='01_PRESUPUESTO_CRONOGRAMA_BASE'!L4), '01_PRESUPUESTO_CRONOGRAMA_BASE'!M4, 0) + IF(AND(A151&gt;='01_PRESUPUESTO_CRONOGRAMA_BASE'!K5, A151&lt;='01_PRESUPUESTO_CRONOGRAMA_BASE'!L5), '01_PRESUPUESTO_CRONOGRAMA_BASE'!M5, 0) + IF(AND(A151&gt;='01_PRESUPUESTO_CRONOGRAMA_BASE'!K6, A151&lt;='01_PRESUPUESTO_CRONOGRAMA_BASE'!L6), '01_PRESUPUESTO_CRONOGRAMA_BASE'!M6, 0) + IF(AND(A151&gt;='01_PRESUPUESTO_CRONOGRAMA_BASE'!K7, A151&lt;='01_PRESUPUESTO_CRONOGRAMA_BASE'!L7), '01_PRESUPUESTO_CRONOGRAMA_BASE'!M7, 0) + IF(AND(A151&gt;='01_PRESUPUESTO_CRONOGRAMA_BASE'!K8, A151&lt;='01_PRESUPUESTO_CRONOGRAMA_BASE'!L8), '01_PRESUPUESTO_CRONOGRAMA_BASE'!M8, 0) + IF(AND(A151&gt;='01_PRESUPUESTO_CRONOGRAMA_BASE'!K9, A151&lt;='01_PRESUPUESTO_CRONOGRAMA_BASE'!L9), '01_PRESUPUESTO_CRONOGRAMA_BASE'!M9, 0)</f>
        <v/>
      </c>
      <c r="F151" s="19">
        <f>SUMIFS(E$2:E151, C$2:C151, C151)</f>
        <v/>
      </c>
    </row>
    <row r="152" ht="19.95" customHeight="1">
      <c r="A152" s="4" t="n">
        <v>38</v>
      </c>
      <c r="B152" s="4" t="inlineStr">
        <is>
          <t>2026-09-07</t>
        </is>
      </c>
      <c r="C152" s="2" t="inlineStr">
        <is>
          <t>WBS-300</t>
        </is>
      </c>
      <c r="D152" s="3" t="inlineStr">
        <is>
          <t>Red de Agua Potable y Conexiones Domiciliarias</t>
        </is>
      </c>
      <c r="E152" s="7">
        <f>IF(AND(A152&gt;='01_PRESUPUESTO_CRONOGRAMA_BASE'!K10, A152&lt;='01_PRESUPUESTO_CRONOGRAMA_BASE'!L10), '01_PRESUPUESTO_CRONOGRAMA_BASE'!M10, 0) + IF(AND(A152&gt;='01_PRESUPUESTO_CRONOGRAMA_BASE'!K11, A152&lt;='01_PRESUPUESTO_CRONOGRAMA_BASE'!L11), '01_PRESUPUESTO_CRONOGRAMA_BASE'!M11, 0)</f>
        <v/>
      </c>
      <c r="F152" s="19">
        <f>SUMIFS(E$2:E152, C$2:C152, C152)</f>
        <v/>
      </c>
    </row>
    <row r="153" ht="19.95" customHeight="1">
      <c r="A153" s="4" t="n">
        <v>38</v>
      </c>
      <c r="B153" s="4" t="inlineStr">
        <is>
          <t>2026-09-07</t>
        </is>
      </c>
      <c r="C153" s="2" t="inlineStr">
        <is>
          <t>WBS-400</t>
        </is>
      </c>
      <c r="D153" s="3" t="inlineStr">
        <is>
          <t>Pruebas Hidráulicas, Desinfección y Entrega</t>
        </is>
      </c>
      <c r="E153" s="7">
        <f>IF(AND(A153&gt;='01_PRESUPUESTO_CRONOGRAMA_BASE'!K12, A153&lt;='01_PRESUPUESTO_CRONOGRAMA_BASE'!L12), '01_PRESUPUESTO_CRONOGRAMA_BASE'!M12, 0)</f>
        <v/>
      </c>
      <c r="F153" s="19">
        <f>SUMIFS(E$2:E153, C$2:C153, C153)</f>
        <v/>
      </c>
    </row>
    <row r="154" ht="19.95" customHeight="1">
      <c r="A154" s="4" t="n">
        <v>39</v>
      </c>
      <c r="B154" s="4" t="inlineStr">
        <is>
          <t>2026-09-08</t>
        </is>
      </c>
      <c r="C154" s="2" t="inlineStr">
        <is>
          <t>WBS-100</t>
        </is>
      </c>
      <c r="D154" s="3" t="inlineStr">
        <is>
          <t>Obras Preliminares, Trazo y Movilización</t>
        </is>
      </c>
      <c r="E154" s="7">
        <f>IF(AND(A154&gt;='01_PRESUPUESTO_CRONOGRAMA_BASE'!K2, A154&lt;='01_PRESUPUESTO_CRONOGRAMA_BASE'!L2), '01_PRESUPUESTO_CRONOGRAMA_BASE'!M2, 0) + IF(AND(A154&gt;='01_PRESUPUESTO_CRONOGRAMA_BASE'!K3, A154&lt;='01_PRESUPUESTO_CRONOGRAMA_BASE'!L3), '01_PRESUPUESTO_CRONOGRAMA_BASE'!M3, 0)</f>
        <v/>
      </c>
      <c r="F154" s="19">
        <f>SUMIFS(E$2:E154, C$2:C154, C154)</f>
        <v/>
      </c>
    </row>
    <row r="155" ht="19.95" customHeight="1">
      <c r="A155" s="4" t="n">
        <v>39</v>
      </c>
      <c r="B155" s="4" t="inlineStr">
        <is>
          <t>2026-09-08</t>
        </is>
      </c>
      <c r="C155" s="2" t="inlineStr">
        <is>
          <t>WBS-200</t>
        </is>
      </c>
      <c r="D155" s="3" t="inlineStr">
        <is>
          <t>Red de Alcantarillado, Zanjas y Buzones</t>
        </is>
      </c>
      <c r="E155" s="7">
        <f>IF(AND(A155&gt;='01_PRESUPUESTO_CRONOGRAMA_BASE'!K4, A155&lt;='01_PRESUPUESTO_CRONOGRAMA_BASE'!L4), '01_PRESUPUESTO_CRONOGRAMA_BASE'!M4, 0) + IF(AND(A155&gt;='01_PRESUPUESTO_CRONOGRAMA_BASE'!K5, A155&lt;='01_PRESUPUESTO_CRONOGRAMA_BASE'!L5), '01_PRESUPUESTO_CRONOGRAMA_BASE'!M5, 0) + IF(AND(A155&gt;='01_PRESUPUESTO_CRONOGRAMA_BASE'!K6, A155&lt;='01_PRESUPUESTO_CRONOGRAMA_BASE'!L6), '01_PRESUPUESTO_CRONOGRAMA_BASE'!M6, 0) + IF(AND(A155&gt;='01_PRESUPUESTO_CRONOGRAMA_BASE'!K7, A155&lt;='01_PRESUPUESTO_CRONOGRAMA_BASE'!L7), '01_PRESUPUESTO_CRONOGRAMA_BASE'!M7, 0) + IF(AND(A155&gt;='01_PRESUPUESTO_CRONOGRAMA_BASE'!K8, A155&lt;='01_PRESUPUESTO_CRONOGRAMA_BASE'!L8), '01_PRESUPUESTO_CRONOGRAMA_BASE'!M8, 0) + IF(AND(A155&gt;='01_PRESUPUESTO_CRONOGRAMA_BASE'!K9, A155&lt;='01_PRESUPUESTO_CRONOGRAMA_BASE'!L9), '01_PRESUPUESTO_CRONOGRAMA_BASE'!M9, 0)</f>
        <v/>
      </c>
      <c r="F155" s="19">
        <f>SUMIFS(E$2:E155, C$2:C155, C155)</f>
        <v/>
      </c>
    </row>
    <row r="156" ht="19.95" customHeight="1">
      <c r="A156" s="4" t="n">
        <v>39</v>
      </c>
      <c r="B156" s="4" t="inlineStr">
        <is>
          <t>2026-09-08</t>
        </is>
      </c>
      <c r="C156" s="2" t="inlineStr">
        <is>
          <t>WBS-300</t>
        </is>
      </c>
      <c r="D156" s="3" t="inlineStr">
        <is>
          <t>Red de Agua Potable y Conexiones Domiciliarias</t>
        </is>
      </c>
      <c r="E156" s="7">
        <f>IF(AND(A156&gt;='01_PRESUPUESTO_CRONOGRAMA_BASE'!K10, A156&lt;='01_PRESUPUESTO_CRONOGRAMA_BASE'!L10), '01_PRESUPUESTO_CRONOGRAMA_BASE'!M10, 0) + IF(AND(A156&gt;='01_PRESUPUESTO_CRONOGRAMA_BASE'!K11, A156&lt;='01_PRESUPUESTO_CRONOGRAMA_BASE'!L11), '01_PRESUPUESTO_CRONOGRAMA_BASE'!M11, 0)</f>
        <v/>
      </c>
      <c r="F156" s="19">
        <f>SUMIFS(E$2:E156, C$2:C156, C156)</f>
        <v/>
      </c>
    </row>
    <row r="157" ht="19.95" customHeight="1">
      <c r="A157" s="4" t="n">
        <v>39</v>
      </c>
      <c r="B157" s="4" t="inlineStr">
        <is>
          <t>2026-09-08</t>
        </is>
      </c>
      <c r="C157" s="2" t="inlineStr">
        <is>
          <t>WBS-400</t>
        </is>
      </c>
      <c r="D157" s="3" t="inlineStr">
        <is>
          <t>Pruebas Hidráulicas, Desinfección y Entrega</t>
        </is>
      </c>
      <c r="E157" s="7">
        <f>IF(AND(A157&gt;='01_PRESUPUESTO_CRONOGRAMA_BASE'!K12, A157&lt;='01_PRESUPUESTO_CRONOGRAMA_BASE'!L12), '01_PRESUPUESTO_CRONOGRAMA_BASE'!M12, 0)</f>
        <v/>
      </c>
      <c r="F157" s="19">
        <f>SUMIFS(E$2:E157, C$2:C157, C157)</f>
        <v/>
      </c>
    </row>
    <row r="158" ht="19.95" customHeight="1">
      <c r="A158" s="4" t="n">
        <v>40</v>
      </c>
      <c r="B158" s="4" t="inlineStr">
        <is>
          <t>2026-09-09</t>
        </is>
      </c>
      <c r="C158" s="2" t="inlineStr">
        <is>
          <t>WBS-100</t>
        </is>
      </c>
      <c r="D158" s="3" t="inlineStr">
        <is>
          <t>Obras Preliminares, Trazo y Movilización</t>
        </is>
      </c>
      <c r="E158" s="7">
        <f>IF(AND(A158&gt;='01_PRESUPUESTO_CRONOGRAMA_BASE'!K2, A158&lt;='01_PRESUPUESTO_CRONOGRAMA_BASE'!L2), '01_PRESUPUESTO_CRONOGRAMA_BASE'!M2, 0) + IF(AND(A158&gt;='01_PRESUPUESTO_CRONOGRAMA_BASE'!K3, A158&lt;='01_PRESUPUESTO_CRONOGRAMA_BASE'!L3), '01_PRESUPUESTO_CRONOGRAMA_BASE'!M3, 0)</f>
        <v/>
      </c>
      <c r="F158" s="19">
        <f>SUMIFS(E$2:E158, C$2:C158, C158)</f>
        <v/>
      </c>
    </row>
    <row r="159" ht="19.95" customHeight="1">
      <c r="A159" s="4" t="n">
        <v>40</v>
      </c>
      <c r="B159" s="4" t="inlineStr">
        <is>
          <t>2026-09-09</t>
        </is>
      </c>
      <c r="C159" s="2" t="inlineStr">
        <is>
          <t>WBS-200</t>
        </is>
      </c>
      <c r="D159" s="3" t="inlineStr">
        <is>
          <t>Red de Alcantarillado, Zanjas y Buzones</t>
        </is>
      </c>
      <c r="E159" s="7">
        <f>IF(AND(A159&gt;='01_PRESUPUESTO_CRONOGRAMA_BASE'!K4, A159&lt;='01_PRESUPUESTO_CRONOGRAMA_BASE'!L4), '01_PRESUPUESTO_CRONOGRAMA_BASE'!M4, 0) + IF(AND(A159&gt;='01_PRESUPUESTO_CRONOGRAMA_BASE'!K5, A159&lt;='01_PRESUPUESTO_CRONOGRAMA_BASE'!L5), '01_PRESUPUESTO_CRONOGRAMA_BASE'!M5, 0) + IF(AND(A159&gt;='01_PRESUPUESTO_CRONOGRAMA_BASE'!K6, A159&lt;='01_PRESUPUESTO_CRONOGRAMA_BASE'!L6), '01_PRESUPUESTO_CRONOGRAMA_BASE'!M6, 0) + IF(AND(A159&gt;='01_PRESUPUESTO_CRONOGRAMA_BASE'!K7, A159&lt;='01_PRESUPUESTO_CRONOGRAMA_BASE'!L7), '01_PRESUPUESTO_CRONOGRAMA_BASE'!M7, 0) + IF(AND(A159&gt;='01_PRESUPUESTO_CRONOGRAMA_BASE'!K8, A159&lt;='01_PRESUPUESTO_CRONOGRAMA_BASE'!L8), '01_PRESUPUESTO_CRONOGRAMA_BASE'!M8, 0) + IF(AND(A159&gt;='01_PRESUPUESTO_CRONOGRAMA_BASE'!K9, A159&lt;='01_PRESUPUESTO_CRONOGRAMA_BASE'!L9), '01_PRESUPUESTO_CRONOGRAMA_BASE'!M9, 0)</f>
        <v/>
      </c>
      <c r="F159" s="19">
        <f>SUMIFS(E$2:E159, C$2:C159, C159)</f>
        <v/>
      </c>
    </row>
    <row r="160" ht="19.95" customHeight="1">
      <c r="A160" s="4" t="n">
        <v>40</v>
      </c>
      <c r="B160" s="4" t="inlineStr">
        <is>
          <t>2026-09-09</t>
        </is>
      </c>
      <c r="C160" s="2" t="inlineStr">
        <is>
          <t>WBS-300</t>
        </is>
      </c>
      <c r="D160" s="3" t="inlineStr">
        <is>
          <t>Red de Agua Potable y Conexiones Domiciliarias</t>
        </is>
      </c>
      <c r="E160" s="7">
        <f>IF(AND(A160&gt;='01_PRESUPUESTO_CRONOGRAMA_BASE'!K10, A160&lt;='01_PRESUPUESTO_CRONOGRAMA_BASE'!L10), '01_PRESUPUESTO_CRONOGRAMA_BASE'!M10, 0) + IF(AND(A160&gt;='01_PRESUPUESTO_CRONOGRAMA_BASE'!K11, A160&lt;='01_PRESUPUESTO_CRONOGRAMA_BASE'!L11), '01_PRESUPUESTO_CRONOGRAMA_BASE'!M11, 0)</f>
        <v/>
      </c>
      <c r="F160" s="19">
        <f>SUMIFS(E$2:E160, C$2:C160, C160)</f>
        <v/>
      </c>
    </row>
    <row r="161" ht="19.95" customHeight="1">
      <c r="A161" s="4" t="n">
        <v>40</v>
      </c>
      <c r="B161" s="4" t="inlineStr">
        <is>
          <t>2026-09-09</t>
        </is>
      </c>
      <c r="C161" s="2" t="inlineStr">
        <is>
          <t>WBS-400</t>
        </is>
      </c>
      <c r="D161" s="3" t="inlineStr">
        <is>
          <t>Pruebas Hidráulicas, Desinfección y Entrega</t>
        </is>
      </c>
      <c r="E161" s="7">
        <f>IF(AND(A161&gt;='01_PRESUPUESTO_CRONOGRAMA_BASE'!K12, A161&lt;='01_PRESUPUESTO_CRONOGRAMA_BASE'!L12), '01_PRESUPUESTO_CRONOGRAMA_BASE'!M12, 0)</f>
        <v/>
      </c>
      <c r="F161" s="19">
        <f>SUMIFS(E$2:E161, C$2:C161, C161)</f>
        <v/>
      </c>
    </row>
    <row r="162" ht="19.95" customHeight="1">
      <c r="A162" s="4" t="n">
        <v>41</v>
      </c>
      <c r="B162" s="4" t="inlineStr">
        <is>
          <t>2026-09-10</t>
        </is>
      </c>
      <c r="C162" s="2" t="inlineStr">
        <is>
          <t>WBS-100</t>
        </is>
      </c>
      <c r="D162" s="3" t="inlineStr">
        <is>
          <t>Obras Preliminares, Trazo y Movilización</t>
        </is>
      </c>
      <c r="E162" s="7">
        <f>IF(AND(A162&gt;='01_PRESUPUESTO_CRONOGRAMA_BASE'!K2, A162&lt;='01_PRESUPUESTO_CRONOGRAMA_BASE'!L2), '01_PRESUPUESTO_CRONOGRAMA_BASE'!M2, 0) + IF(AND(A162&gt;='01_PRESUPUESTO_CRONOGRAMA_BASE'!K3, A162&lt;='01_PRESUPUESTO_CRONOGRAMA_BASE'!L3), '01_PRESUPUESTO_CRONOGRAMA_BASE'!M3, 0)</f>
        <v/>
      </c>
      <c r="F162" s="19">
        <f>SUMIFS(E$2:E162, C$2:C162, C162)</f>
        <v/>
      </c>
    </row>
    <row r="163" ht="19.95" customHeight="1">
      <c r="A163" s="4" t="n">
        <v>41</v>
      </c>
      <c r="B163" s="4" t="inlineStr">
        <is>
          <t>2026-09-10</t>
        </is>
      </c>
      <c r="C163" s="2" t="inlineStr">
        <is>
          <t>WBS-200</t>
        </is>
      </c>
      <c r="D163" s="3" t="inlineStr">
        <is>
          <t>Red de Alcantarillado, Zanjas y Buzones</t>
        </is>
      </c>
      <c r="E163" s="7">
        <f>IF(AND(A163&gt;='01_PRESUPUESTO_CRONOGRAMA_BASE'!K4, A163&lt;='01_PRESUPUESTO_CRONOGRAMA_BASE'!L4), '01_PRESUPUESTO_CRONOGRAMA_BASE'!M4, 0) + IF(AND(A163&gt;='01_PRESUPUESTO_CRONOGRAMA_BASE'!K5, A163&lt;='01_PRESUPUESTO_CRONOGRAMA_BASE'!L5), '01_PRESUPUESTO_CRONOGRAMA_BASE'!M5, 0) + IF(AND(A163&gt;='01_PRESUPUESTO_CRONOGRAMA_BASE'!K6, A163&lt;='01_PRESUPUESTO_CRONOGRAMA_BASE'!L6), '01_PRESUPUESTO_CRONOGRAMA_BASE'!M6, 0) + IF(AND(A163&gt;='01_PRESUPUESTO_CRONOGRAMA_BASE'!K7, A163&lt;='01_PRESUPUESTO_CRONOGRAMA_BASE'!L7), '01_PRESUPUESTO_CRONOGRAMA_BASE'!M7, 0) + IF(AND(A163&gt;='01_PRESUPUESTO_CRONOGRAMA_BASE'!K8, A163&lt;='01_PRESUPUESTO_CRONOGRAMA_BASE'!L8), '01_PRESUPUESTO_CRONOGRAMA_BASE'!M8, 0) + IF(AND(A163&gt;='01_PRESUPUESTO_CRONOGRAMA_BASE'!K9, A163&lt;='01_PRESUPUESTO_CRONOGRAMA_BASE'!L9), '01_PRESUPUESTO_CRONOGRAMA_BASE'!M9, 0)</f>
        <v/>
      </c>
      <c r="F163" s="19">
        <f>SUMIFS(E$2:E163, C$2:C163, C163)</f>
        <v/>
      </c>
    </row>
    <row r="164" ht="19.95" customHeight="1">
      <c r="A164" s="4" t="n">
        <v>41</v>
      </c>
      <c r="B164" s="4" t="inlineStr">
        <is>
          <t>2026-09-10</t>
        </is>
      </c>
      <c r="C164" s="2" t="inlineStr">
        <is>
          <t>WBS-300</t>
        </is>
      </c>
      <c r="D164" s="3" t="inlineStr">
        <is>
          <t>Red de Agua Potable y Conexiones Domiciliarias</t>
        </is>
      </c>
      <c r="E164" s="7">
        <f>IF(AND(A164&gt;='01_PRESUPUESTO_CRONOGRAMA_BASE'!K10, A164&lt;='01_PRESUPUESTO_CRONOGRAMA_BASE'!L10), '01_PRESUPUESTO_CRONOGRAMA_BASE'!M10, 0) + IF(AND(A164&gt;='01_PRESUPUESTO_CRONOGRAMA_BASE'!K11, A164&lt;='01_PRESUPUESTO_CRONOGRAMA_BASE'!L11), '01_PRESUPUESTO_CRONOGRAMA_BASE'!M11, 0)</f>
        <v/>
      </c>
      <c r="F164" s="19">
        <f>SUMIFS(E$2:E164, C$2:C164, C164)</f>
        <v/>
      </c>
    </row>
    <row r="165" ht="19.95" customHeight="1">
      <c r="A165" s="4" t="n">
        <v>41</v>
      </c>
      <c r="B165" s="4" t="inlineStr">
        <is>
          <t>2026-09-10</t>
        </is>
      </c>
      <c r="C165" s="2" t="inlineStr">
        <is>
          <t>WBS-400</t>
        </is>
      </c>
      <c r="D165" s="3" t="inlineStr">
        <is>
          <t>Pruebas Hidráulicas, Desinfección y Entrega</t>
        </is>
      </c>
      <c r="E165" s="7">
        <f>IF(AND(A165&gt;='01_PRESUPUESTO_CRONOGRAMA_BASE'!K12, A165&lt;='01_PRESUPUESTO_CRONOGRAMA_BASE'!L12), '01_PRESUPUESTO_CRONOGRAMA_BASE'!M12, 0)</f>
        <v/>
      </c>
      <c r="F165" s="19">
        <f>SUMIFS(E$2:E165, C$2:C165, C165)</f>
        <v/>
      </c>
    </row>
    <row r="166" ht="19.95" customHeight="1">
      <c r="A166" s="4" t="n">
        <v>42</v>
      </c>
      <c r="B166" s="4" t="inlineStr">
        <is>
          <t>2026-09-11</t>
        </is>
      </c>
      <c r="C166" s="2" t="inlineStr">
        <is>
          <t>WBS-100</t>
        </is>
      </c>
      <c r="D166" s="3" t="inlineStr">
        <is>
          <t>Obras Preliminares, Trazo y Movilización</t>
        </is>
      </c>
      <c r="E166" s="7">
        <f>IF(AND(A166&gt;='01_PRESUPUESTO_CRONOGRAMA_BASE'!K2, A166&lt;='01_PRESUPUESTO_CRONOGRAMA_BASE'!L2), '01_PRESUPUESTO_CRONOGRAMA_BASE'!M2, 0) + IF(AND(A166&gt;='01_PRESUPUESTO_CRONOGRAMA_BASE'!K3, A166&lt;='01_PRESUPUESTO_CRONOGRAMA_BASE'!L3), '01_PRESUPUESTO_CRONOGRAMA_BASE'!M3, 0)</f>
        <v/>
      </c>
      <c r="F166" s="19">
        <f>SUMIFS(E$2:E166, C$2:C166, C166)</f>
        <v/>
      </c>
    </row>
    <row r="167" ht="19.95" customHeight="1">
      <c r="A167" s="4" t="n">
        <v>42</v>
      </c>
      <c r="B167" s="4" t="inlineStr">
        <is>
          <t>2026-09-11</t>
        </is>
      </c>
      <c r="C167" s="2" t="inlineStr">
        <is>
          <t>WBS-200</t>
        </is>
      </c>
      <c r="D167" s="3" t="inlineStr">
        <is>
          <t>Red de Alcantarillado, Zanjas y Buzones</t>
        </is>
      </c>
      <c r="E167" s="7">
        <f>IF(AND(A167&gt;='01_PRESUPUESTO_CRONOGRAMA_BASE'!K4, A167&lt;='01_PRESUPUESTO_CRONOGRAMA_BASE'!L4), '01_PRESUPUESTO_CRONOGRAMA_BASE'!M4, 0) + IF(AND(A167&gt;='01_PRESUPUESTO_CRONOGRAMA_BASE'!K5, A167&lt;='01_PRESUPUESTO_CRONOGRAMA_BASE'!L5), '01_PRESUPUESTO_CRONOGRAMA_BASE'!M5, 0) + IF(AND(A167&gt;='01_PRESUPUESTO_CRONOGRAMA_BASE'!K6, A167&lt;='01_PRESUPUESTO_CRONOGRAMA_BASE'!L6), '01_PRESUPUESTO_CRONOGRAMA_BASE'!M6, 0) + IF(AND(A167&gt;='01_PRESUPUESTO_CRONOGRAMA_BASE'!K7, A167&lt;='01_PRESUPUESTO_CRONOGRAMA_BASE'!L7), '01_PRESUPUESTO_CRONOGRAMA_BASE'!M7, 0) + IF(AND(A167&gt;='01_PRESUPUESTO_CRONOGRAMA_BASE'!K8, A167&lt;='01_PRESUPUESTO_CRONOGRAMA_BASE'!L8), '01_PRESUPUESTO_CRONOGRAMA_BASE'!M8, 0) + IF(AND(A167&gt;='01_PRESUPUESTO_CRONOGRAMA_BASE'!K9, A167&lt;='01_PRESUPUESTO_CRONOGRAMA_BASE'!L9), '01_PRESUPUESTO_CRONOGRAMA_BASE'!M9, 0)</f>
        <v/>
      </c>
      <c r="F167" s="19">
        <f>SUMIFS(E$2:E167, C$2:C167, C167)</f>
        <v/>
      </c>
    </row>
    <row r="168" ht="19.95" customHeight="1">
      <c r="A168" s="4" t="n">
        <v>42</v>
      </c>
      <c r="B168" s="4" t="inlineStr">
        <is>
          <t>2026-09-11</t>
        </is>
      </c>
      <c r="C168" s="2" t="inlineStr">
        <is>
          <t>WBS-300</t>
        </is>
      </c>
      <c r="D168" s="3" t="inlineStr">
        <is>
          <t>Red de Agua Potable y Conexiones Domiciliarias</t>
        </is>
      </c>
      <c r="E168" s="7">
        <f>IF(AND(A168&gt;='01_PRESUPUESTO_CRONOGRAMA_BASE'!K10, A168&lt;='01_PRESUPUESTO_CRONOGRAMA_BASE'!L10), '01_PRESUPUESTO_CRONOGRAMA_BASE'!M10, 0) + IF(AND(A168&gt;='01_PRESUPUESTO_CRONOGRAMA_BASE'!K11, A168&lt;='01_PRESUPUESTO_CRONOGRAMA_BASE'!L11), '01_PRESUPUESTO_CRONOGRAMA_BASE'!M11, 0)</f>
        <v/>
      </c>
      <c r="F168" s="19">
        <f>SUMIFS(E$2:E168, C$2:C168, C168)</f>
        <v/>
      </c>
    </row>
    <row r="169" ht="19.95" customHeight="1">
      <c r="A169" s="4" t="n">
        <v>42</v>
      </c>
      <c r="B169" s="4" t="inlineStr">
        <is>
          <t>2026-09-11</t>
        </is>
      </c>
      <c r="C169" s="2" t="inlineStr">
        <is>
          <t>WBS-400</t>
        </is>
      </c>
      <c r="D169" s="3" t="inlineStr">
        <is>
          <t>Pruebas Hidráulicas, Desinfección y Entrega</t>
        </is>
      </c>
      <c r="E169" s="7">
        <f>IF(AND(A169&gt;='01_PRESUPUESTO_CRONOGRAMA_BASE'!K12, A169&lt;='01_PRESUPUESTO_CRONOGRAMA_BASE'!L12), '01_PRESUPUESTO_CRONOGRAMA_BASE'!M12, 0)</f>
        <v/>
      </c>
      <c r="F169" s="19">
        <f>SUMIFS(E$2:E169, C$2:C169, C169)</f>
        <v/>
      </c>
    </row>
    <row r="170" ht="19.95" customHeight="1">
      <c r="A170" s="4" t="n">
        <v>43</v>
      </c>
      <c r="B170" s="4" t="inlineStr">
        <is>
          <t>2026-09-12</t>
        </is>
      </c>
      <c r="C170" s="2" t="inlineStr">
        <is>
          <t>WBS-100</t>
        </is>
      </c>
      <c r="D170" s="3" t="inlineStr">
        <is>
          <t>Obras Preliminares, Trazo y Movilización</t>
        </is>
      </c>
      <c r="E170" s="7">
        <f>IF(AND(A170&gt;='01_PRESUPUESTO_CRONOGRAMA_BASE'!K2, A170&lt;='01_PRESUPUESTO_CRONOGRAMA_BASE'!L2), '01_PRESUPUESTO_CRONOGRAMA_BASE'!M2, 0) + IF(AND(A170&gt;='01_PRESUPUESTO_CRONOGRAMA_BASE'!K3, A170&lt;='01_PRESUPUESTO_CRONOGRAMA_BASE'!L3), '01_PRESUPUESTO_CRONOGRAMA_BASE'!M3, 0)</f>
        <v/>
      </c>
      <c r="F170" s="19">
        <f>SUMIFS(E$2:E170, C$2:C170, C170)</f>
        <v/>
      </c>
    </row>
    <row r="171" ht="19.95" customHeight="1">
      <c r="A171" s="4" t="n">
        <v>43</v>
      </c>
      <c r="B171" s="4" t="inlineStr">
        <is>
          <t>2026-09-12</t>
        </is>
      </c>
      <c r="C171" s="2" t="inlineStr">
        <is>
          <t>WBS-200</t>
        </is>
      </c>
      <c r="D171" s="3" t="inlineStr">
        <is>
          <t>Red de Alcantarillado, Zanjas y Buzones</t>
        </is>
      </c>
      <c r="E171" s="7">
        <f>IF(AND(A171&gt;='01_PRESUPUESTO_CRONOGRAMA_BASE'!K4, A171&lt;='01_PRESUPUESTO_CRONOGRAMA_BASE'!L4), '01_PRESUPUESTO_CRONOGRAMA_BASE'!M4, 0) + IF(AND(A171&gt;='01_PRESUPUESTO_CRONOGRAMA_BASE'!K5, A171&lt;='01_PRESUPUESTO_CRONOGRAMA_BASE'!L5), '01_PRESUPUESTO_CRONOGRAMA_BASE'!M5, 0) + IF(AND(A171&gt;='01_PRESUPUESTO_CRONOGRAMA_BASE'!K6, A171&lt;='01_PRESUPUESTO_CRONOGRAMA_BASE'!L6), '01_PRESUPUESTO_CRONOGRAMA_BASE'!M6, 0) + IF(AND(A171&gt;='01_PRESUPUESTO_CRONOGRAMA_BASE'!K7, A171&lt;='01_PRESUPUESTO_CRONOGRAMA_BASE'!L7), '01_PRESUPUESTO_CRONOGRAMA_BASE'!M7, 0) + IF(AND(A171&gt;='01_PRESUPUESTO_CRONOGRAMA_BASE'!K8, A171&lt;='01_PRESUPUESTO_CRONOGRAMA_BASE'!L8), '01_PRESUPUESTO_CRONOGRAMA_BASE'!M8, 0) + IF(AND(A171&gt;='01_PRESUPUESTO_CRONOGRAMA_BASE'!K9, A171&lt;='01_PRESUPUESTO_CRONOGRAMA_BASE'!L9), '01_PRESUPUESTO_CRONOGRAMA_BASE'!M9, 0)</f>
        <v/>
      </c>
      <c r="F171" s="19">
        <f>SUMIFS(E$2:E171, C$2:C171, C171)</f>
        <v/>
      </c>
    </row>
    <row r="172" ht="19.95" customHeight="1">
      <c r="A172" s="4" t="n">
        <v>43</v>
      </c>
      <c r="B172" s="4" t="inlineStr">
        <is>
          <t>2026-09-12</t>
        </is>
      </c>
      <c r="C172" s="2" t="inlineStr">
        <is>
          <t>WBS-300</t>
        </is>
      </c>
      <c r="D172" s="3" t="inlineStr">
        <is>
          <t>Red de Agua Potable y Conexiones Domiciliarias</t>
        </is>
      </c>
      <c r="E172" s="7">
        <f>IF(AND(A172&gt;='01_PRESUPUESTO_CRONOGRAMA_BASE'!K10, A172&lt;='01_PRESUPUESTO_CRONOGRAMA_BASE'!L10), '01_PRESUPUESTO_CRONOGRAMA_BASE'!M10, 0) + IF(AND(A172&gt;='01_PRESUPUESTO_CRONOGRAMA_BASE'!K11, A172&lt;='01_PRESUPUESTO_CRONOGRAMA_BASE'!L11), '01_PRESUPUESTO_CRONOGRAMA_BASE'!M11, 0)</f>
        <v/>
      </c>
      <c r="F172" s="19">
        <f>SUMIFS(E$2:E172, C$2:C172, C172)</f>
        <v/>
      </c>
    </row>
    <row r="173" ht="19.95" customHeight="1">
      <c r="A173" s="4" t="n">
        <v>43</v>
      </c>
      <c r="B173" s="4" t="inlineStr">
        <is>
          <t>2026-09-12</t>
        </is>
      </c>
      <c r="C173" s="2" t="inlineStr">
        <is>
          <t>WBS-400</t>
        </is>
      </c>
      <c r="D173" s="3" t="inlineStr">
        <is>
          <t>Pruebas Hidráulicas, Desinfección y Entrega</t>
        </is>
      </c>
      <c r="E173" s="7">
        <f>IF(AND(A173&gt;='01_PRESUPUESTO_CRONOGRAMA_BASE'!K12, A173&lt;='01_PRESUPUESTO_CRONOGRAMA_BASE'!L12), '01_PRESUPUESTO_CRONOGRAMA_BASE'!M12, 0)</f>
        <v/>
      </c>
      <c r="F173" s="19">
        <f>SUMIFS(E$2:E173, C$2:C173, C173)</f>
        <v/>
      </c>
    </row>
    <row r="174" ht="19.95" customHeight="1">
      <c r="A174" s="4" t="n">
        <v>44</v>
      </c>
      <c r="B174" s="4" t="inlineStr">
        <is>
          <t>2026-09-13</t>
        </is>
      </c>
      <c r="C174" s="2" t="inlineStr">
        <is>
          <t>WBS-100</t>
        </is>
      </c>
      <c r="D174" s="3" t="inlineStr">
        <is>
          <t>Obras Preliminares, Trazo y Movilización</t>
        </is>
      </c>
      <c r="E174" s="7">
        <f>IF(AND(A174&gt;='01_PRESUPUESTO_CRONOGRAMA_BASE'!K2, A174&lt;='01_PRESUPUESTO_CRONOGRAMA_BASE'!L2), '01_PRESUPUESTO_CRONOGRAMA_BASE'!M2, 0) + IF(AND(A174&gt;='01_PRESUPUESTO_CRONOGRAMA_BASE'!K3, A174&lt;='01_PRESUPUESTO_CRONOGRAMA_BASE'!L3), '01_PRESUPUESTO_CRONOGRAMA_BASE'!M3, 0)</f>
        <v/>
      </c>
      <c r="F174" s="19">
        <f>SUMIFS(E$2:E174, C$2:C174, C174)</f>
        <v/>
      </c>
    </row>
    <row r="175" ht="19.95" customHeight="1">
      <c r="A175" s="4" t="n">
        <v>44</v>
      </c>
      <c r="B175" s="4" t="inlineStr">
        <is>
          <t>2026-09-13</t>
        </is>
      </c>
      <c r="C175" s="2" t="inlineStr">
        <is>
          <t>WBS-200</t>
        </is>
      </c>
      <c r="D175" s="3" t="inlineStr">
        <is>
          <t>Red de Alcantarillado, Zanjas y Buzones</t>
        </is>
      </c>
      <c r="E175" s="7">
        <f>IF(AND(A175&gt;='01_PRESUPUESTO_CRONOGRAMA_BASE'!K4, A175&lt;='01_PRESUPUESTO_CRONOGRAMA_BASE'!L4), '01_PRESUPUESTO_CRONOGRAMA_BASE'!M4, 0) + IF(AND(A175&gt;='01_PRESUPUESTO_CRONOGRAMA_BASE'!K5, A175&lt;='01_PRESUPUESTO_CRONOGRAMA_BASE'!L5), '01_PRESUPUESTO_CRONOGRAMA_BASE'!M5, 0) + IF(AND(A175&gt;='01_PRESUPUESTO_CRONOGRAMA_BASE'!K6, A175&lt;='01_PRESUPUESTO_CRONOGRAMA_BASE'!L6), '01_PRESUPUESTO_CRONOGRAMA_BASE'!M6, 0) + IF(AND(A175&gt;='01_PRESUPUESTO_CRONOGRAMA_BASE'!K7, A175&lt;='01_PRESUPUESTO_CRONOGRAMA_BASE'!L7), '01_PRESUPUESTO_CRONOGRAMA_BASE'!M7, 0) + IF(AND(A175&gt;='01_PRESUPUESTO_CRONOGRAMA_BASE'!K8, A175&lt;='01_PRESUPUESTO_CRONOGRAMA_BASE'!L8), '01_PRESUPUESTO_CRONOGRAMA_BASE'!M8, 0) + IF(AND(A175&gt;='01_PRESUPUESTO_CRONOGRAMA_BASE'!K9, A175&lt;='01_PRESUPUESTO_CRONOGRAMA_BASE'!L9), '01_PRESUPUESTO_CRONOGRAMA_BASE'!M9, 0)</f>
        <v/>
      </c>
      <c r="F175" s="19">
        <f>SUMIFS(E$2:E175, C$2:C175, C175)</f>
        <v/>
      </c>
    </row>
    <row r="176" ht="19.95" customHeight="1">
      <c r="A176" s="4" t="n">
        <v>44</v>
      </c>
      <c r="B176" s="4" t="inlineStr">
        <is>
          <t>2026-09-13</t>
        </is>
      </c>
      <c r="C176" s="2" t="inlineStr">
        <is>
          <t>WBS-300</t>
        </is>
      </c>
      <c r="D176" s="3" t="inlineStr">
        <is>
          <t>Red de Agua Potable y Conexiones Domiciliarias</t>
        </is>
      </c>
      <c r="E176" s="7">
        <f>IF(AND(A176&gt;='01_PRESUPUESTO_CRONOGRAMA_BASE'!K10, A176&lt;='01_PRESUPUESTO_CRONOGRAMA_BASE'!L10), '01_PRESUPUESTO_CRONOGRAMA_BASE'!M10, 0) + IF(AND(A176&gt;='01_PRESUPUESTO_CRONOGRAMA_BASE'!K11, A176&lt;='01_PRESUPUESTO_CRONOGRAMA_BASE'!L11), '01_PRESUPUESTO_CRONOGRAMA_BASE'!M11, 0)</f>
        <v/>
      </c>
      <c r="F176" s="19">
        <f>SUMIFS(E$2:E176, C$2:C176, C176)</f>
        <v/>
      </c>
    </row>
    <row r="177" ht="19.95" customHeight="1">
      <c r="A177" s="4" t="n">
        <v>44</v>
      </c>
      <c r="B177" s="4" t="inlineStr">
        <is>
          <t>2026-09-13</t>
        </is>
      </c>
      <c r="C177" s="2" t="inlineStr">
        <is>
          <t>WBS-400</t>
        </is>
      </c>
      <c r="D177" s="3" t="inlineStr">
        <is>
          <t>Pruebas Hidráulicas, Desinfección y Entrega</t>
        </is>
      </c>
      <c r="E177" s="7">
        <f>IF(AND(A177&gt;='01_PRESUPUESTO_CRONOGRAMA_BASE'!K12, A177&lt;='01_PRESUPUESTO_CRONOGRAMA_BASE'!L12), '01_PRESUPUESTO_CRONOGRAMA_BASE'!M12, 0)</f>
        <v/>
      </c>
      <c r="F177" s="19">
        <f>SUMIFS(E$2:E177, C$2:C177, C177)</f>
        <v/>
      </c>
    </row>
    <row r="178" ht="19.95" customHeight="1">
      <c r="A178" s="4" t="n">
        <v>45</v>
      </c>
      <c r="B178" s="4" t="inlineStr">
        <is>
          <t>2026-09-14</t>
        </is>
      </c>
      <c r="C178" s="2" t="inlineStr">
        <is>
          <t>WBS-100</t>
        </is>
      </c>
      <c r="D178" s="3" t="inlineStr">
        <is>
          <t>Obras Preliminares, Trazo y Movilización</t>
        </is>
      </c>
      <c r="E178" s="7">
        <f>IF(AND(A178&gt;='01_PRESUPUESTO_CRONOGRAMA_BASE'!K2, A178&lt;='01_PRESUPUESTO_CRONOGRAMA_BASE'!L2), '01_PRESUPUESTO_CRONOGRAMA_BASE'!M2, 0) + IF(AND(A178&gt;='01_PRESUPUESTO_CRONOGRAMA_BASE'!K3, A178&lt;='01_PRESUPUESTO_CRONOGRAMA_BASE'!L3), '01_PRESUPUESTO_CRONOGRAMA_BASE'!M3, 0)</f>
        <v/>
      </c>
      <c r="F178" s="19">
        <f>SUMIFS(E$2:E178, C$2:C178, C178)</f>
        <v/>
      </c>
    </row>
    <row r="179" ht="19.95" customHeight="1">
      <c r="A179" s="4" t="n">
        <v>45</v>
      </c>
      <c r="B179" s="4" t="inlineStr">
        <is>
          <t>2026-09-14</t>
        </is>
      </c>
      <c r="C179" s="2" t="inlineStr">
        <is>
          <t>WBS-200</t>
        </is>
      </c>
      <c r="D179" s="3" t="inlineStr">
        <is>
          <t>Red de Alcantarillado, Zanjas y Buzones</t>
        </is>
      </c>
      <c r="E179" s="7">
        <f>IF(AND(A179&gt;='01_PRESUPUESTO_CRONOGRAMA_BASE'!K4, A179&lt;='01_PRESUPUESTO_CRONOGRAMA_BASE'!L4), '01_PRESUPUESTO_CRONOGRAMA_BASE'!M4, 0) + IF(AND(A179&gt;='01_PRESUPUESTO_CRONOGRAMA_BASE'!K5, A179&lt;='01_PRESUPUESTO_CRONOGRAMA_BASE'!L5), '01_PRESUPUESTO_CRONOGRAMA_BASE'!M5, 0) + IF(AND(A179&gt;='01_PRESUPUESTO_CRONOGRAMA_BASE'!K6, A179&lt;='01_PRESUPUESTO_CRONOGRAMA_BASE'!L6), '01_PRESUPUESTO_CRONOGRAMA_BASE'!M6, 0) + IF(AND(A179&gt;='01_PRESUPUESTO_CRONOGRAMA_BASE'!K7, A179&lt;='01_PRESUPUESTO_CRONOGRAMA_BASE'!L7), '01_PRESUPUESTO_CRONOGRAMA_BASE'!M7, 0) + IF(AND(A179&gt;='01_PRESUPUESTO_CRONOGRAMA_BASE'!K8, A179&lt;='01_PRESUPUESTO_CRONOGRAMA_BASE'!L8), '01_PRESUPUESTO_CRONOGRAMA_BASE'!M8, 0) + IF(AND(A179&gt;='01_PRESUPUESTO_CRONOGRAMA_BASE'!K9, A179&lt;='01_PRESUPUESTO_CRONOGRAMA_BASE'!L9), '01_PRESUPUESTO_CRONOGRAMA_BASE'!M9, 0)</f>
        <v/>
      </c>
      <c r="F179" s="19">
        <f>SUMIFS(E$2:E179, C$2:C179, C179)</f>
        <v/>
      </c>
    </row>
    <row r="180" ht="19.95" customHeight="1">
      <c r="A180" s="4" t="n">
        <v>45</v>
      </c>
      <c r="B180" s="4" t="inlineStr">
        <is>
          <t>2026-09-14</t>
        </is>
      </c>
      <c r="C180" s="2" t="inlineStr">
        <is>
          <t>WBS-300</t>
        </is>
      </c>
      <c r="D180" s="3" t="inlineStr">
        <is>
          <t>Red de Agua Potable y Conexiones Domiciliarias</t>
        </is>
      </c>
      <c r="E180" s="7">
        <f>IF(AND(A180&gt;='01_PRESUPUESTO_CRONOGRAMA_BASE'!K10, A180&lt;='01_PRESUPUESTO_CRONOGRAMA_BASE'!L10), '01_PRESUPUESTO_CRONOGRAMA_BASE'!M10, 0) + IF(AND(A180&gt;='01_PRESUPUESTO_CRONOGRAMA_BASE'!K11, A180&lt;='01_PRESUPUESTO_CRONOGRAMA_BASE'!L11), '01_PRESUPUESTO_CRONOGRAMA_BASE'!M11, 0)</f>
        <v/>
      </c>
      <c r="F180" s="19">
        <f>SUMIFS(E$2:E180, C$2:C180, C180)</f>
        <v/>
      </c>
    </row>
    <row r="181" ht="19.95" customHeight="1">
      <c r="A181" s="4" t="n">
        <v>45</v>
      </c>
      <c r="B181" s="4" t="inlineStr">
        <is>
          <t>2026-09-14</t>
        </is>
      </c>
      <c r="C181" s="2" t="inlineStr">
        <is>
          <t>WBS-400</t>
        </is>
      </c>
      <c r="D181" s="3" t="inlineStr">
        <is>
          <t>Pruebas Hidráulicas, Desinfección y Entrega</t>
        </is>
      </c>
      <c r="E181" s="7">
        <f>IF(AND(A181&gt;='01_PRESUPUESTO_CRONOGRAMA_BASE'!K12, A181&lt;='01_PRESUPUESTO_CRONOGRAMA_BASE'!L12), '01_PRESUPUESTO_CRONOGRAMA_BASE'!M12, 0)</f>
        <v/>
      </c>
      <c r="F181" s="19">
        <f>SUMIFS(E$2:E181, C$2:C181, C181)</f>
        <v/>
      </c>
    </row>
    <row r="182" ht="19.95" customHeight="1">
      <c r="A182" s="4" t="n">
        <v>46</v>
      </c>
      <c r="B182" s="4" t="inlineStr">
        <is>
          <t>2026-09-15</t>
        </is>
      </c>
      <c r="C182" s="2" t="inlineStr">
        <is>
          <t>WBS-100</t>
        </is>
      </c>
      <c r="D182" s="3" t="inlineStr">
        <is>
          <t>Obras Preliminares, Trazo y Movilización</t>
        </is>
      </c>
      <c r="E182" s="7">
        <f>IF(AND(A182&gt;='01_PRESUPUESTO_CRONOGRAMA_BASE'!K2, A182&lt;='01_PRESUPUESTO_CRONOGRAMA_BASE'!L2), '01_PRESUPUESTO_CRONOGRAMA_BASE'!M2, 0) + IF(AND(A182&gt;='01_PRESUPUESTO_CRONOGRAMA_BASE'!K3, A182&lt;='01_PRESUPUESTO_CRONOGRAMA_BASE'!L3), '01_PRESUPUESTO_CRONOGRAMA_BASE'!M3, 0)</f>
        <v/>
      </c>
      <c r="F182" s="19">
        <f>SUMIFS(E$2:E182, C$2:C182, C182)</f>
        <v/>
      </c>
    </row>
    <row r="183" ht="19.95" customHeight="1">
      <c r="A183" s="4" t="n">
        <v>46</v>
      </c>
      <c r="B183" s="4" t="inlineStr">
        <is>
          <t>2026-09-15</t>
        </is>
      </c>
      <c r="C183" s="2" t="inlineStr">
        <is>
          <t>WBS-200</t>
        </is>
      </c>
      <c r="D183" s="3" t="inlineStr">
        <is>
          <t>Red de Alcantarillado, Zanjas y Buzones</t>
        </is>
      </c>
      <c r="E183" s="7">
        <f>IF(AND(A183&gt;='01_PRESUPUESTO_CRONOGRAMA_BASE'!K4, A183&lt;='01_PRESUPUESTO_CRONOGRAMA_BASE'!L4), '01_PRESUPUESTO_CRONOGRAMA_BASE'!M4, 0) + IF(AND(A183&gt;='01_PRESUPUESTO_CRONOGRAMA_BASE'!K5, A183&lt;='01_PRESUPUESTO_CRONOGRAMA_BASE'!L5), '01_PRESUPUESTO_CRONOGRAMA_BASE'!M5, 0) + IF(AND(A183&gt;='01_PRESUPUESTO_CRONOGRAMA_BASE'!K6, A183&lt;='01_PRESUPUESTO_CRONOGRAMA_BASE'!L6), '01_PRESUPUESTO_CRONOGRAMA_BASE'!M6, 0) + IF(AND(A183&gt;='01_PRESUPUESTO_CRONOGRAMA_BASE'!K7, A183&lt;='01_PRESUPUESTO_CRONOGRAMA_BASE'!L7), '01_PRESUPUESTO_CRONOGRAMA_BASE'!M7, 0) + IF(AND(A183&gt;='01_PRESUPUESTO_CRONOGRAMA_BASE'!K8, A183&lt;='01_PRESUPUESTO_CRONOGRAMA_BASE'!L8), '01_PRESUPUESTO_CRONOGRAMA_BASE'!M8, 0) + IF(AND(A183&gt;='01_PRESUPUESTO_CRONOGRAMA_BASE'!K9, A183&lt;='01_PRESUPUESTO_CRONOGRAMA_BASE'!L9), '01_PRESUPUESTO_CRONOGRAMA_BASE'!M9, 0)</f>
        <v/>
      </c>
      <c r="F183" s="19">
        <f>SUMIFS(E$2:E183, C$2:C183, C183)</f>
        <v/>
      </c>
    </row>
    <row r="184" ht="19.95" customHeight="1">
      <c r="A184" s="4" t="n">
        <v>46</v>
      </c>
      <c r="B184" s="4" t="inlineStr">
        <is>
          <t>2026-09-15</t>
        </is>
      </c>
      <c r="C184" s="2" t="inlineStr">
        <is>
          <t>WBS-300</t>
        </is>
      </c>
      <c r="D184" s="3" t="inlineStr">
        <is>
          <t>Red de Agua Potable y Conexiones Domiciliarias</t>
        </is>
      </c>
      <c r="E184" s="7">
        <f>IF(AND(A184&gt;='01_PRESUPUESTO_CRONOGRAMA_BASE'!K10, A184&lt;='01_PRESUPUESTO_CRONOGRAMA_BASE'!L10), '01_PRESUPUESTO_CRONOGRAMA_BASE'!M10, 0) + IF(AND(A184&gt;='01_PRESUPUESTO_CRONOGRAMA_BASE'!K11, A184&lt;='01_PRESUPUESTO_CRONOGRAMA_BASE'!L11), '01_PRESUPUESTO_CRONOGRAMA_BASE'!M11, 0)</f>
        <v/>
      </c>
      <c r="F184" s="19">
        <f>SUMIFS(E$2:E184, C$2:C184, C184)</f>
        <v/>
      </c>
    </row>
    <row r="185" ht="19.95" customHeight="1">
      <c r="A185" s="4" t="n">
        <v>46</v>
      </c>
      <c r="B185" s="4" t="inlineStr">
        <is>
          <t>2026-09-15</t>
        </is>
      </c>
      <c r="C185" s="2" t="inlineStr">
        <is>
          <t>WBS-400</t>
        </is>
      </c>
      <c r="D185" s="3" t="inlineStr">
        <is>
          <t>Pruebas Hidráulicas, Desinfección y Entrega</t>
        </is>
      </c>
      <c r="E185" s="7">
        <f>IF(AND(A185&gt;='01_PRESUPUESTO_CRONOGRAMA_BASE'!K12, A185&lt;='01_PRESUPUESTO_CRONOGRAMA_BASE'!L12), '01_PRESUPUESTO_CRONOGRAMA_BASE'!M12, 0)</f>
        <v/>
      </c>
      <c r="F185" s="19">
        <f>SUMIFS(E$2:E185, C$2:C185, C185)</f>
        <v/>
      </c>
    </row>
    <row r="186" ht="19.95" customHeight="1">
      <c r="A186" s="4" t="n">
        <v>47</v>
      </c>
      <c r="B186" s="4" t="inlineStr">
        <is>
          <t>2026-09-16</t>
        </is>
      </c>
      <c r="C186" s="2" t="inlineStr">
        <is>
          <t>WBS-100</t>
        </is>
      </c>
      <c r="D186" s="3" t="inlineStr">
        <is>
          <t>Obras Preliminares, Trazo y Movilización</t>
        </is>
      </c>
      <c r="E186" s="7">
        <f>IF(AND(A186&gt;='01_PRESUPUESTO_CRONOGRAMA_BASE'!K2, A186&lt;='01_PRESUPUESTO_CRONOGRAMA_BASE'!L2), '01_PRESUPUESTO_CRONOGRAMA_BASE'!M2, 0) + IF(AND(A186&gt;='01_PRESUPUESTO_CRONOGRAMA_BASE'!K3, A186&lt;='01_PRESUPUESTO_CRONOGRAMA_BASE'!L3), '01_PRESUPUESTO_CRONOGRAMA_BASE'!M3, 0)</f>
        <v/>
      </c>
      <c r="F186" s="19">
        <f>SUMIFS(E$2:E186, C$2:C186, C186)</f>
        <v/>
      </c>
    </row>
    <row r="187" ht="19.95" customHeight="1">
      <c r="A187" s="4" t="n">
        <v>47</v>
      </c>
      <c r="B187" s="4" t="inlineStr">
        <is>
          <t>2026-09-16</t>
        </is>
      </c>
      <c r="C187" s="2" t="inlineStr">
        <is>
          <t>WBS-200</t>
        </is>
      </c>
      <c r="D187" s="3" t="inlineStr">
        <is>
          <t>Red de Alcantarillado, Zanjas y Buzones</t>
        </is>
      </c>
      <c r="E187" s="7">
        <f>IF(AND(A187&gt;='01_PRESUPUESTO_CRONOGRAMA_BASE'!K4, A187&lt;='01_PRESUPUESTO_CRONOGRAMA_BASE'!L4), '01_PRESUPUESTO_CRONOGRAMA_BASE'!M4, 0) + IF(AND(A187&gt;='01_PRESUPUESTO_CRONOGRAMA_BASE'!K5, A187&lt;='01_PRESUPUESTO_CRONOGRAMA_BASE'!L5), '01_PRESUPUESTO_CRONOGRAMA_BASE'!M5, 0) + IF(AND(A187&gt;='01_PRESUPUESTO_CRONOGRAMA_BASE'!K6, A187&lt;='01_PRESUPUESTO_CRONOGRAMA_BASE'!L6), '01_PRESUPUESTO_CRONOGRAMA_BASE'!M6, 0) + IF(AND(A187&gt;='01_PRESUPUESTO_CRONOGRAMA_BASE'!K7, A187&lt;='01_PRESUPUESTO_CRONOGRAMA_BASE'!L7), '01_PRESUPUESTO_CRONOGRAMA_BASE'!M7, 0) + IF(AND(A187&gt;='01_PRESUPUESTO_CRONOGRAMA_BASE'!K8, A187&lt;='01_PRESUPUESTO_CRONOGRAMA_BASE'!L8), '01_PRESUPUESTO_CRONOGRAMA_BASE'!M8, 0) + IF(AND(A187&gt;='01_PRESUPUESTO_CRONOGRAMA_BASE'!K9, A187&lt;='01_PRESUPUESTO_CRONOGRAMA_BASE'!L9), '01_PRESUPUESTO_CRONOGRAMA_BASE'!M9, 0)</f>
        <v/>
      </c>
      <c r="F187" s="19">
        <f>SUMIFS(E$2:E187, C$2:C187, C187)</f>
        <v/>
      </c>
    </row>
    <row r="188" ht="19.95" customHeight="1">
      <c r="A188" s="4" t="n">
        <v>47</v>
      </c>
      <c r="B188" s="4" t="inlineStr">
        <is>
          <t>2026-09-16</t>
        </is>
      </c>
      <c r="C188" s="2" t="inlineStr">
        <is>
          <t>WBS-300</t>
        </is>
      </c>
      <c r="D188" s="3" t="inlineStr">
        <is>
          <t>Red de Agua Potable y Conexiones Domiciliarias</t>
        </is>
      </c>
      <c r="E188" s="7">
        <f>IF(AND(A188&gt;='01_PRESUPUESTO_CRONOGRAMA_BASE'!K10, A188&lt;='01_PRESUPUESTO_CRONOGRAMA_BASE'!L10), '01_PRESUPUESTO_CRONOGRAMA_BASE'!M10, 0) + IF(AND(A188&gt;='01_PRESUPUESTO_CRONOGRAMA_BASE'!K11, A188&lt;='01_PRESUPUESTO_CRONOGRAMA_BASE'!L11), '01_PRESUPUESTO_CRONOGRAMA_BASE'!M11, 0)</f>
        <v/>
      </c>
      <c r="F188" s="19">
        <f>SUMIFS(E$2:E188, C$2:C188, C188)</f>
        <v/>
      </c>
    </row>
    <row r="189" ht="19.95" customHeight="1">
      <c r="A189" s="4" t="n">
        <v>47</v>
      </c>
      <c r="B189" s="4" t="inlineStr">
        <is>
          <t>2026-09-16</t>
        </is>
      </c>
      <c r="C189" s="2" t="inlineStr">
        <is>
          <t>WBS-400</t>
        </is>
      </c>
      <c r="D189" s="3" t="inlineStr">
        <is>
          <t>Pruebas Hidráulicas, Desinfección y Entrega</t>
        </is>
      </c>
      <c r="E189" s="7">
        <f>IF(AND(A189&gt;='01_PRESUPUESTO_CRONOGRAMA_BASE'!K12, A189&lt;='01_PRESUPUESTO_CRONOGRAMA_BASE'!L12), '01_PRESUPUESTO_CRONOGRAMA_BASE'!M12, 0)</f>
        <v/>
      </c>
      <c r="F189" s="19">
        <f>SUMIFS(E$2:E189, C$2:C189, C189)</f>
        <v/>
      </c>
    </row>
    <row r="190" ht="19.95" customHeight="1">
      <c r="A190" s="4" t="n">
        <v>48</v>
      </c>
      <c r="B190" s="4" t="inlineStr">
        <is>
          <t>2026-09-17</t>
        </is>
      </c>
      <c r="C190" s="2" t="inlineStr">
        <is>
          <t>WBS-100</t>
        </is>
      </c>
      <c r="D190" s="3" t="inlineStr">
        <is>
          <t>Obras Preliminares, Trazo y Movilización</t>
        </is>
      </c>
      <c r="E190" s="7">
        <f>IF(AND(A190&gt;='01_PRESUPUESTO_CRONOGRAMA_BASE'!K2, A190&lt;='01_PRESUPUESTO_CRONOGRAMA_BASE'!L2), '01_PRESUPUESTO_CRONOGRAMA_BASE'!M2, 0) + IF(AND(A190&gt;='01_PRESUPUESTO_CRONOGRAMA_BASE'!K3, A190&lt;='01_PRESUPUESTO_CRONOGRAMA_BASE'!L3), '01_PRESUPUESTO_CRONOGRAMA_BASE'!M3, 0)</f>
        <v/>
      </c>
      <c r="F190" s="19">
        <f>SUMIFS(E$2:E190, C$2:C190, C190)</f>
        <v/>
      </c>
    </row>
    <row r="191" ht="19.95" customHeight="1">
      <c r="A191" s="4" t="n">
        <v>48</v>
      </c>
      <c r="B191" s="4" t="inlineStr">
        <is>
          <t>2026-09-17</t>
        </is>
      </c>
      <c r="C191" s="2" t="inlineStr">
        <is>
          <t>WBS-200</t>
        </is>
      </c>
      <c r="D191" s="3" t="inlineStr">
        <is>
          <t>Red de Alcantarillado, Zanjas y Buzones</t>
        </is>
      </c>
      <c r="E191" s="7">
        <f>IF(AND(A191&gt;='01_PRESUPUESTO_CRONOGRAMA_BASE'!K4, A191&lt;='01_PRESUPUESTO_CRONOGRAMA_BASE'!L4), '01_PRESUPUESTO_CRONOGRAMA_BASE'!M4, 0) + IF(AND(A191&gt;='01_PRESUPUESTO_CRONOGRAMA_BASE'!K5, A191&lt;='01_PRESUPUESTO_CRONOGRAMA_BASE'!L5), '01_PRESUPUESTO_CRONOGRAMA_BASE'!M5, 0) + IF(AND(A191&gt;='01_PRESUPUESTO_CRONOGRAMA_BASE'!K6, A191&lt;='01_PRESUPUESTO_CRONOGRAMA_BASE'!L6), '01_PRESUPUESTO_CRONOGRAMA_BASE'!M6, 0) + IF(AND(A191&gt;='01_PRESUPUESTO_CRONOGRAMA_BASE'!K7, A191&lt;='01_PRESUPUESTO_CRONOGRAMA_BASE'!L7), '01_PRESUPUESTO_CRONOGRAMA_BASE'!M7, 0) + IF(AND(A191&gt;='01_PRESUPUESTO_CRONOGRAMA_BASE'!K8, A191&lt;='01_PRESUPUESTO_CRONOGRAMA_BASE'!L8), '01_PRESUPUESTO_CRONOGRAMA_BASE'!M8, 0) + IF(AND(A191&gt;='01_PRESUPUESTO_CRONOGRAMA_BASE'!K9, A191&lt;='01_PRESUPUESTO_CRONOGRAMA_BASE'!L9), '01_PRESUPUESTO_CRONOGRAMA_BASE'!M9, 0)</f>
        <v/>
      </c>
      <c r="F191" s="19">
        <f>SUMIFS(E$2:E191, C$2:C191, C191)</f>
        <v/>
      </c>
    </row>
    <row r="192" ht="19.95" customHeight="1">
      <c r="A192" s="4" t="n">
        <v>48</v>
      </c>
      <c r="B192" s="4" t="inlineStr">
        <is>
          <t>2026-09-17</t>
        </is>
      </c>
      <c r="C192" s="2" t="inlineStr">
        <is>
          <t>WBS-300</t>
        </is>
      </c>
      <c r="D192" s="3" t="inlineStr">
        <is>
          <t>Red de Agua Potable y Conexiones Domiciliarias</t>
        </is>
      </c>
      <c r="E192" s="7">
        <f>IF(AND(A192&gt;='01_PRESUPUESTO_CRONOGRAMA_BASE'!K10, A192&lt;='01_PRESUPUESTO_CRONOGRAMA_BASE'!L10), '01_PRESUPUESTO_CRONOGRAMA_BASE'!M10, 0) + IF(AND(A192&gt;='01_PRESUPUESTO_CRONOGRAMA_BASE'!K11, A192&lt;='01_PRESUPUESTO_CRONOGRAMA_BASE'!L11), '01_PRESUPUESTO_CRONOGRAMA_BASE'!M11, 0)</f>
        <v/>
      </c>
      <c r="F192" s="19">
        <f>SUMIFS(E$2:E192, C$2:C192, C192)</f>
        <v/>
      </c>
    </row>
    <row r="193" ht="19.95" customHeight="1">
      <c r="A193" s="4" t="n">
        <v>48</v>
      </c>
      <c r="B193" s="4" t="inlineStr">
        <is>
          <t>2026-09-17</t>
        </is>
      </c>
      <c r="C193" s="2" t="inlineStr">
        <is>
          <t>WBS-400</t>
        </is>
      </c>
      <c r="D193" s="3" t="inlineStr">
        <is>
          <t>Pruebas Hidráulicas, Desinfección y Entrega</t>
        </is>
      </c>
      <c r="E193" s="7">
        <f>IF(AND(A193&gt;='01_PRESUPUESTO_CRONOGRAMA_BASE'!K12, A193&lt;='01_PRESUPUESTO_CRONOGRAMA_BASE'!L12), '01_PRESUPUESTO_CRONOGRAMA_BASE'!M12, 0)</f>
        <v/>
      </c>
      <c r="F193" s="19">
        <f>SUMIFS(E$2:E193, C$2:C193, C193)</f>
        <v/>
      </c>
    </row>
    <row r="194" ht="19.95" customHeight="1">
      <c r="A194" s="4" t="n">
        <v>49</v>
      </c>
      <c r="B194" s="4" t="inlineStr">
        <is>
          <t>2026-09-18</t>
        </is>
      </c>
      <c r="C194" s="2" t="inlineStr">
        <is>
          <t>WBS-100</t>
        </is>
      </c>
      <c r="D194" s="3" t="inlineStr">
        <is>
          <t>Obras Preliminares, Trazo y Movilización</t>
        </is>
      </c>
      <c r="E194" s="7">
        <f>IF(AND(A194&gt;='01_PRESUPUESTO_CRONOGRAMA_BASE'!K2, A194&lt;='01_PRESUPUESTO_CRONOGRAMA_BASE'!L2), '01_PRESUPUESTO_CRONOGRAMA_BASE'!M2, 0) + IF(AND(A194&gt;='01_PRESUPUESTO_CRONOGRAMA_BASE'!K3, A194&lt;='01_PRESUPUESTO_CRONOGRAMA_BASE'!L3), '01_PRESUPUESTO_CRONOGRAMA_BASE'!M3, 0)</f>
        <v/>
      </c>
      <c r="F194" s="19">
        <f>SUMIFS(E$2:E194, C$2:C194, C194)</f>
        <v/>
      </c>
    </row>
    <row r="195" ht="19.95" customHeight="1">
      <c r="A195" s="4" t="n">
        <v>49</v>
      </c>
      <c r="B195" s="4" t="inlineStr">
        <is>
          <t>2026-09-18</t>
        </is>
      </c>
      <c r="C195" s="2" t="inlineStr">
        <is>
          <t>WBS-200</t>
        </is>
      </c>
      <c r="D195" s="3" t="inlineStr">
        <is>
          <t>Red de Alcantarillado, Zanjas y Buzones</t>
        </is>
      </c>
      <c r="E195" s="7">
        <f>IF(AND(A195&gt;='01_PRESUPUESTO_CRONOGRAMA_BASE'!K4, A195&lt;='01_PRESUPUESTO_CRONOGRAMA_BASE'!L4), '01_PRESUPUESTO_CRONOGRAMA_BASE'!M4, 0) + IF(AND(A195&gt;='01_PRESUPUESTO_CRONOGRAMA_BASE'!K5, A195&lt;='01_PRESUPUESTO_CRONOGRAMA_BASE'!L5), '01_PRESUPUESTO_CRONOGRAMA_BASE'!M5, 0) + IF(AND(A195&gt;='01_PRESUPUESTO_CRONOGRAMA_BASE'!K6, A195&lt;='01_PRESUPUESTO_CRONOGRAMA_BASE'!L6), '01_PRESUPUESTO_CRONOGRAMA_BASE'!M6, 0) + IF(AND(A195&gt;='01_PRESUPUESTO_CRONOGRAMA_BASE'!K7, A195&lt;='01_PRESUPUESTO_CRONOGRAMA_BASE'!L7), '01_PRESUPUESTO_CRONOGRAMA_BASE'!M7, 0) + IF(AND(A195&gt;='01_PRESUPUESTO_CRONOGRAMA_BASE'!K8, A195&lt;='01_PRESUPUESTO_CRONOGRAMA_BASE'!L8), '01_PRESUPUESTO_CRONOGRAMA_BASE'!M8, 0) + IF(AND(A195&gt;='01_PRESUPUESTO_CRONOGRAMA_BASE'!K9, A195&lt;='01_PRESUPUESTO_CRONOGRAMA_BASE'!L9), '01_PRESUPUESTO_CRONOGRAMA_BASE'!M9, 0)</f>
        <v/>
      </c>
      <c r="F195" s="19">
        <f>SUMIFS(E$2:E195, C$2:C195, C195)</f>
        <v/>
      </c>
    </row>
    <row r="196" ht="19.95" customHeight="1">
      <c r="A196" s="4" t="n">
        <v>49</v>
      </c>
      <c r="B196" s="4" t="inlineStr">
        <is>
          <t>2026-09-18</t>
        </is>
      </c>
      <c r="C196" s="2" t="inlineStr">
        <is>
          <t>WBS-300</t>
        </is>
      </c>
      <c r="D196" s="3" t="inlineStr">
        <is>
          <t>Red de Agua Potable y Conexiones Domiciliarias</t>
        </is>
      </c>
      <c r="E196" s="7">
        <f>IF(AND(A196&gt;='01_PRESUPUESTO_CRONOGRAMA_BASE'!K10, A196&lt;='01_PRESUPUESTO_CRONOGRAMA_BASE'!L10), '01_PRESUPUESTO_CRONOGRAMA_BASE'!M10, 0) + IF(AND(A196&gt;='01_PRESUPUESTO_CRONOGRAMA_BASE'!K11, A196&lt;='01_PRESUPUESTO_CRONOGRAMA_BASE'!L11), '01_PRESUPUESTO_CRONOGRAMA_BASE'!M11, 0)</f>
        <v/>
      </c>
      <c r="F196" s="19">
        <f>SUMIFS(E$2:E196, C$2:C196, C196)</f>
        <v/>
      </c>
    </row>
    <row r="197" ht="19.95" customHeight="1">
      <c r="A197" s="4" t="n">
        <v>49</v>
      </c>
      <c r="B197" s="4" t="inlineStr">
        <is>
          <t>2026-09-18</t>
        </is>
      </c>
      <c r="C197" s="2" t="inlineStr">
        <is>
          <t>WBS-400</t>
        </is>
      </c>
      <c r="D197" s="3" t="inlineStr">
        <is>
          <t>Pruebas Hidráulicas, Desinfección y Entrega</t>
        </is>
      </c>
      <c r="E197" s="7">
        <f>IF(AND(A197&gt;='01_PRESUPUESTO_CRONOGRAMA_BASE'!K12, A197&lt;='01_PRESUPUESTO_CRONOGRAMA_BASE'!L12), '01_PRESUPUESTO_CRONOGRAMA_BASE'!M12, 0)</f>
        <v/>
      </c>
      <c r="F197" s="19">
        <f>SUMIFS(E$2:E197, C$2:C197, C197)</f>
        <v/>
      </c>
    </row>
    <row r="198" ht="19.95" customHeight="1">
      <c r="A198" s="4" t="n">
        <v>50</v>
      </c>
      <c r="B198" s="4" t="inlineStr">
        <is>
          <t>2026-09-19</t>
        </is>
      </c>
      <c r="C198" s="2" t="inlineStr">
        <is>
          <t>WBS-100</t>
        </is>
      </c>
      <c r="D198" s="3" t="inlineStr">
        <is>
          <t>Obras Preliminares, Trazo y Movilización</t>
        </is>
      </c>
      <c r="E198" s="7">
        <f>IF(AND(A198&gt;='01_PRESUPUESTO_CRONOGRAMA_BASE'!K2, A198&lt;='01_PRESUPUESTO_CRONOGRAMA_BASE'!L2), '01_PRESUPUESTO_CRONOGRAMA_BASE'!M2, 0) + IF(AND(A198&gt;='01_PRESUPUESTO_CRONOGRAMA_BASE'!K3, A198&lt;='01_PRESUPUESTO_CRONOGRAMA_BASE'!L3), '01_PRESUPUESTO_CRONOGRAMA_BASE'!M3, 0)</f>
        <v/>
      </c>
      <c r="F198" s="19">
        <f>SUMIFS(E$2:E198, C$2:C198, C198)</f>
        <v/>
      </c>
    </row>
    <row r="199" ht="19.95" customHeight="1">
      <c r="A199" s="4" t="n">
        <v>50</v>
      </c>
      <c r="B199" s="4" t="inlineStr">
        <is>
          <t>2026-09-19</t>
        </is>
      </c>
      <c r="C199" s="2" t="inlineStr">
        <is>
          <t>WBS-200</t>
        </is>
      </c>
      <c r="D199" s="3" t="inlineStr">
        <is>
          <t>Red de Alcantarillado, Zanjas y Buzones</t>
        </is>
      </c>
      <c r="E199" s="7">
        <f>IF(AND(A199&gt;='01_PRESUPUESTO_CRONOGRAMA_BASE'!K4, A199&lt;='01_PRESUPUESTO_CRONOGRAMA_BASE'!L4), '01_PRESUPUESTO_CRONOGRAMA_BASE'!M4, 0) + IF(AND(A199&gt;='01_PRESUPUESTO_CRONOGRAMA_BASE'!K5, A199&lt;='01_PRESUPUESTO_CRONOGRAMA_BASE'!L5), '01_PRESUPUESTO_CRONOGRAMA_BASE'!M5, 0) + IF(AND(A199&gt;='01_PRESUPUESTO_CRONOGRAMA_BASE'!K6, A199&lt;='01_PRESUPUESTO_CRONOGRAMA_BASE'!L6), '01_PRESUPUESTO_CRONOGRAMA_BASE'!M6, 0) + IF(AND(A199&gt;='01_PRESUPUESTO_CRONOGRAMA_BASE'!K7, A199&lt;='01_PRESUPUESTO_CRONOGRAMA_BASE'!L7), '01_PRESUPUESTO_CRONOGRAMA_BASE'!M7, 0) + IF(AND(A199&gt;='01_PRESUPUESTO_CRONOGRAMA_BASE'!K8, A199&lt;='01_PRESUPUESTO_CRONOGRAMA_BASE'!L8), '01_PRESUPUESTO_CRONOGRAMA_BASE'!M8, 0) + IF(AND(A199&gt;='01_PRESUPUESTO_CRONOGRAMA_BASE'!K9, A199&lt;='01_PRESUPUESTO_CRONOGRAMA_BASE'!L9), '01_PRESUPUESTO_CRONOGRAMA_BASE'!M9, 0)</f>
        <v/>
      </c>
      <c r="F199" s="19">
        <f>SUMIFS(E$2:E199, C$2:C199, C199)</f>
        <v/>
      </c>
    </row>
    <row r="200" ht="19.95" customHeight="1">
      <c r="A200" s="4" t="n">
        <v>50</v>
      </c>
      <c r="B200" s="4" t="inlineStr">
        <is>
          <t>2026-09-19</t>
        </is>
      </c>
      <c r="C200" s="2" t="inlineStr">
        <is>
          <t>WBS-300</t>
        </is>
      </c>
      <c r="D200" s="3" t="inlineStr">
        <is>
          <t>Red de Agua Potable y Conexiones Domiciliarias</t>
        </is>
      </c>
      <c r="E200" s="7">
        <f>IF(AND(A200&gt;='01_PRESUPUESTO_CRONOGRAMA_BASE'!K10, A200&lt;='01_PRESUPUESTO_CRONOGRAMA_BASE'!L10), '01_PRESUPUESTO_CRONOGRAMA_BASE'!M10, 0) + IF(AND(A200&gt;='01_PRESUPUESTO_CRONOGRAMA_BASE'!K11, A200&lt;='01_PRESUPUESTO_CRONOGRAMA_BASE'!L11), '01_PRESUPUESTO_CRONOGRAMA_BASE'!M11, 0)</f>
        <v/>
      </c>
      <c r="F200" s="19">
        <f>SUMIFS(E$2:E200, C$2:C200, C200)</f>
        <v/>
      </c>
    </row>
    <row r="201" ht="19.95" customHeight="1">
      <c r="A201" s="4" t="n">
        <v>50</v>
      </c>
      <c r="B201" s="4" t="inlineStr">
        <is>
          <t>2026-09-19</t>
        </is>
      </c>
      <c r="C201" s="2" t="inlineStr">
        <is>
          <t>WBS-400</t>
        </is>
      </c>
      <c r="D201" s="3" t="inlineStr">
        <is>
          <t>Pruebas Hidráulicas, Desinfección y Entrega</t>
        </is>
      </c>
      <c r="E201" s="7">
        <f>IF(AND(A201&gt;='01_PRESUPUESTO_CRONOGRAMA_BASE'!K12, A201&lt;='01_PRESUPUESTO_CRONOGRAMA_BASE'!L12), '01_PRESUPUESTO_CRONOGRAMA_BASE'!M12, 0)</f>
        <v/>
      </c>
      <c r="F201" s="19">
        <f>SUMIFS(E$2:E201, C$2:C201, C201)</f>
        <v/>
      </c>
    </row>
    <row r="202" ht="19.95" customHeight="1">
      <c r="A202" s="4" t="n">
        <v>51</v>
      </c>
      <c r="B202" s="4" t="inlineStr">
        <is>
          <t>2026-09-20</t>
        </is>
      </c>
      <c r="C202" s="2" t="inlineStr">
        <is>
          <t>WBS-100</t>
        </is>
      </c>
      <c r="D202" s="3" t="inlineStr">
        <is>
          <t>Obras Preliminares, Trazo y Movilización</t>
        </is>
      </c>
      <c r="E202" s="7">
        <f>IF(AND(A202&gt;='01_PRESUPUESTO_CRONOGRAMA_BASE'!K2, A202&lt;='01_PRESUPUESTO_CRONOGRAMA_BASE'!L2), '01_PRESUPUESTO_CRONOGRAMA_BASE'!M2, 0) + IF(AND(A202&gt;='01_PRESUPUESTO_CRONOGRAMA_BASE'!K3, A202&lt;='01_PRESUPUESTO_CRONOGRAMA_BASE'!L3), '01_PRESUPUESTO_CRONOGRAMA_BASE'!M3, 0)</f>
        <v/>
      </c>
      <c r="F202" s="19">
        <f>SUMIFS(E$2:E202, C$2:C202, C202)</f>
        <v/>
      </c>
    </row>
    <row r="203" ht="19.95" customHeight="1">
      <c r="A203" s="4" t="n">
        <v>51</v>
      </c>
      <c r="B203" s="4" t="inlineStr">
        <is>
          <t>2026-09-20</t>
        </is>
      </c>
      <c r="C203" s="2" t="inlineStr">
        <is>
          <t>WBS-200</t>
        </is>
      </c>
      <c r="D203" s="3" t="inlineStr">
        <is>
          <t>Red de Alcantarillado, Zanjas y Buzones</t>
        </is>
      </c>
      <c r="E203" s="7">
        <f>IF(AND(A203&gt;='01_PRESUPUESTO_CRONOGRAMA_BASE'!K4, A203&lt;='01_PRESUPUESTO_CRONOGRAMA_BASE'!L4), '01_PRESUPUESTO_CRONOGRAMA_BASE'!M4, 0) + IF(AND(A203&gt;='01_PRESUPUESTO_CRONOGRAMA_BASE'!K5, A203&lt;='01_PRESUPUESTO_CRONOGRAMA_BASE'!L5), '01_PRESUPUESTO_CRONOGRAMA_BASE'!M5, 0) + IF(AND(A203&gt;='01_PRESUPUESTO_CRONOGRAMA_BASE'!K6, A203&lt;='01_PRESUPUESTO_CRONOGRAMA_BASE'!L6), '01_PRESUPUESTO_CRONOGRAMA_BASE'!M6, 0) + IF(AND(A203&gt;='01_PRESUPUESTO_CRONOGRAMA_BASE'!K7, A203&lt;='01_PRESUPUESTO_CRONOGRAMA_BASE'!L7), '01_PRESUPUESTO_CRONOGRAMA_BASE'!M7, 0) + IF(AND(A203&gt;='01_PRESUPUESTO_CRONOGRAMA_BASE'!K8, A203&lt;='01_PRESUPUESTO_CRONOGRAMA_BASE'!L8), '01_PRESUPUESTO_CRONOGRAMA_BASE'!M8, 0) + IF(AND(A203&gt;='01_PRESUPUESTO_CRONOGRAMA_BASE'!K9, A203&lt;='01_PRESUPUESTO_CRONOGRAMA_BASE'!L9), '01_PRESUPUESTO_CRONOGRAMA_BASE'!M9, 0)</f>
        <v/>
      </c>
      <c r="F203" s="19">
        <f>SUMIFS(E$2:E203, C$2:C203, C203)</f>
        <v/>
      </c>
    </row>
    <row r="204" ht="19.95" customHeight="1">
      <c r="A204" s="4" t="n">
        <v>51</v>
      </c>
      <c r="B204" s="4" t="inlineStr">
        <is>
          <t>2026-09-20</t>
        </is>
      </c>
      <c r="C204" s="2" t="inlineStr">
        <is>
          <t>WBS-300</t>
        </is>
      </c>
      <c r="D204" s="3" t="inlineStr">
        <is>
          <t>Red de Agua Potable y Conexiones Domiciliarias</t>
        </is>
      </c>
      <c r="E204" s="7">
        <f>IF(AND(A204&gt;='01_PRESUPUESTO_CRONOGRAMA_BASE'!K10, A204&lt;='01_PRESUPUESTO_CRONOGRAMA_BASE'!L10), '01_PRESUPUESTO_CRONOGRAMA_BASE'!M10, 0) + IF(AND(A204&gt;='01_PRESUPUESTO_CRONOGRAMA_BASE'!K11, A204&lt;='01_PRESUPUESTO_CRONOGRAMA_BASE'!L11), '01_PRESUPUESTO_CRONOGRAMA_BASE'!M11, 0)</f>
        <v/>
      </c>
      <c r="F204" s="19">
        <f>SUMIFS(E$2:E204, C$2:C204, C204)</f>
        <v/>
      </c>
    </row>
    <row r="205" ht="19.95" customHeight="1">
      <c r="A205" s="4" t="n">
        <v>51</v>
      </c>
      <c r="B205" s="4" t="inlineStr">
        <is>
          <t>2026-09-20</t>
        </is>
      </c>
      <c r="C205" s="2" t="inlineStr">
        <is>
          <t>WBS-400</t>
        </is>
      </c>
      <c r="D205" s="3" t="inlineStr">
        <is>
          <t>Pruebas Hidráulicas, Desinfección y Entrega</t>
        </is>
      </c>
      <c r="E205" s="7">
        <f>IF(AND(A205&gt;='01_PRESUPUESTO_CRONOGRAMA_BASE'!K12, A205&lt;='01_PRESUPUESTO_CRONOGRAMA_BASE'!L12), '01_PRESUPUESTO_CRONOGRAMA_BASE'!M12, 0)</f>
        <v/>
      </c>
      <c r="F205" s="19">
        <f>SUMIFS(E$2:E205, C$2:C205, C205)</f>
        <v/>
      </c>
    </row>
    <row r="206" ht="19.95" customHeight="1">
      <c r="A206" s="4" t="n">
        <v>52</v>
      </c>
      <c r="B206" s="4" t="inlineStr">
        <is>
          <t>2026-09-21</t>
        </is>
      </c>
      <c r="C206" s="2" t="inlineStr">
        <is>
          <t>WBS-100</t>
        </is>
      </c>
      <c r="D206" s="3" t="inlineStr">
        <is>
          <t>Obras Preliminares, Trazo y Movilización</t>
        </is>
      </c>
      <c r="E206" s="7">
        <f>IF(AND(A206&gt;='01_PRESUPUESTO_CRONOGRAMA_BASE'!K2, A206&lt;='01_PRESUPUESTO_CRONOGRAMA_BASE'!L2), '01_PRESUPUESTO_CRONOGRAMA_BASE'!M2, 0) + IF(AND(A206&gt;='01_PRESUPUESTO_CRONOGRAMA_BASE'!K3, A206&lt;='01_PRESUPUESTO_CRONOGRAMA_BASE'!L3), '01_PRESUPUESTO_CRONOGRAMA_BASE'!M3, 0)</f>
        <v/>
      </c>
      <c r="F206" s="19">
        <f>SUMIFS(E$2:E206, C$2:C206, C206)</f>
        <v/>
      </c>
    </row>
    <row r="207" ht="19.95" customHeight="1">
      <c r="A207" s="4" t="n">
        <v>52</v>
      </c>
      <c r="B207" s="4" t="inlineStr">
        <is>
          <t>2026-09-21</t>
        </is>
      </c>
      <c r="C207" s="2" t="inlineStr">
        <is>
          <t>WBS-200</t>
        </is>
      </c>
      <c r="D207" s="3" t="inlineStr">
        <is>
          <t>Red de Alcantarillado, Zanjas y Buzones</t>
        </is>
      </c>
      <c r="E207" s="7">
        <f>IF(AND(A207&gt;='01_PRESUPUESTO_CRONOGRAMA_BASE'!K4, A207&lt;='01_PRESUPUESTO_CRONOGRAMA_BASE'!L4), '01_PRESUPUESTO_CRONOGRAMA_BASE'!M4, 0) + IF(AND(A207&gt;='01_PRESUPUESTO_CRONOGRAMA_BASE'!K5, A207&lt;='01_PRESUPUESTO_CRONOGRAMA_BASE'!L5), '01_PRESUPUESTO_CRONOGRAMA_BASE'!M5, 0) + IF(AND(A207&gt;='01_PRESUPUESTO_CRONOGRAMA_BASE'!K6, A207&lt;='01_PRESUPUESTO_CRONOGRAMA_BASE'!L6), '01_PRESUPUESTO_CRONOGRAMA_BASE'!M6, 0) + IF(AND(A207&gt;='01_PRESUPUESTO_CRONOGRAMA_BASE'!K7, A207&lt;='01_PRESUPUESTO_CRONOGRAMA_BASE'!L7), '01_PRESUPUESTO_CRONOGRAMA_BASE'!M7, 0) + IF(AND(A207&gt;='01_PRESUPUESTO_CRONOGRAMA_BASE'!K8, A207&lt;='01_PRESUPUESTO_CRONOGRAMA_BASE'!L8), '01_PRESUPUESTO_CRONOGRAMA_BASE'!M8, 0) + IF(AND(A207&gt;='01_PRESUPUESTO_CRONOGRAMA_BASE'!K9, A207&lt;='01_PRESUPUESTO_CRONOGRAMA_BASE'!L9), '01_PRESUPUESTO_CRONOGRAMA_BASE'!M9, 0)</f>
        <v/>
      </c>
      <c r="F207" s="19">
        <f>SUMIFS(E$2:E207, C$2:C207, C207)</f>
        <v/>
      </c>
    </row>
    <row r="208" ht="19.95" customHeight="1">
      <c r="A208" s="4" t="n">
        <v>52</v>
      </c>
      <c r="B208" s="4" t="inlineStr">
        <is>
          <t>2026-09-21</t>
        </is>
      </c>
      <c r="C208" s="2" t="inlineStr">
        <is>
          <t>WBS-300</t>
        </is>
      </c>
      <c r="D208" s="3" t="inlineStr">
        <is>
          <t>Red de Agua Potable y Conexiones Domiciliarias</t>
        </is>
      </c>
      <c r="E208" s="7">
        <f>IF(AND(A208&gt;='01_PRESUPUESTO_CRONOGRAMA_BASE'!K10, A208&lt;='01_PRESUPUESTO_CRONOGRAMA_BASE'!L10), '01_PRESUPUESTO_CRONOGRAMA_BASE'!M10, 0) + IF(AND(A208&gt;='01_PRESUPUESTO_CRONOGRAMA_BASE'!K11, A208&lt;='01_PRESUPUESTO_CRONOGRAMA_BASE'!L11), '01_PRESUPUESTO_CRONOGRAMA_BASE'!M11, 0)</f>
        <v/>
      </c>
      <c r="F208" s="19">
        <f>SUMIFS(E$2:E208, C$2:C208, C208)</f>
        <v/>
      </c>
    </row>
    <row r="209" ht="19.95" customHeight="1">
      <c r="A209" s="4" t="n">
        <v>52</v>
      </c>
      <c r="B209" s="4" t="inlineStr">
        <is>
          <t>2026-09-21</t>
        </is>
      </c>
      <c r="C209" s="2" t="inlineStr">
        <is>
          <t>WBS-400</t>
        </is>
      </c>
      <c r="D209" s="3" t="inlineStr">
        <is>
          <t>Pruebas Hidráulicas, Desinfección y Entrega</t>
        </is>
      </c>
      <c r="E209" s="7">
        <f>IF(AND(A209&gt;='01_PRESUPUESTO_CRONOGRAMA_BASE'!K12, A209&lt;='01_PRESUPUESTO_CRONOGRAMA_BASE'!L12), '01_PRESUPUESTO_CRONOGRAMA_BASE'!M12, 0)</f>
        <v/>
      </c>
      <c r="F209" s="19">
        <f>SUMIFS(E$2:E209, C$2:C209, C209)</f>
        <v/>
      </c>
    </row>
    <row r="210" ht="19.95" customHeight="1">
      <c r="A210" s="4" t="n">
        <v>53</v>
      </c>
      <c r="B210" s="4" t="inlineStr">
        <is>
          <t>2026-09-22</t>
        </is>
      </c>
      <c r="C210" s="2" t="inlineStr">
        <is>
          <t>WBS-100</t>
        </is>
      </c>
      <c r="D210" s="3" t="inlineStr">
        <is>
          <t>Obras Preliminares, Trazo y Movilización</t>
        </is>
      </c>
      <c r="E210" s="7">
        <f>IF(AND(A210&gt;='01_PRESUPUESTO_CRONOGRAMA_BASE'!K2, A210&lt;='01_PRESUPUESTO_CRONOGRAMA_BASE'!L2), '01_PRESUPUESTO_CRONOGRAMA_BASE'!M2, 0) + IF(AND(A210&gt;='01_PRESUPUESTO_CRONOGRAMA_BASE'!K3, A210&lt;='01_PRESUPUESTO_CRONOGRAMA_BASE'!L3), '01_PRESUPUESTO_CRONOGRAMA_BASE'!M3, 0)</f>
        <v/>
      </c>
      <c r="F210" s="19">
        <f>SUMIFS(E$2:E210, C$2:C210, C210)</f>
        <v/>
      </c>
    </row>
    <row r="211" ht="19.95" customHeight="1">
      <c r="A211" s="4" t="n">
        <v>53</v>
      </c>
      <c r="B211" s="4" t="inlineStr">
        <is>
          <t>2026-09-22</t>
        </is>
      </c>
      <c r="C211" s="2" t="inlineStr">
        <is>
          <t>WBS-200</t>
        </is>
      </c>
      <c r="D211" s="3" t="inlineStr">
        <is>
          <t>Red de Alcantarillado, Zanjas y Buzones</t>
        </is>
      </c>
      <c r="E211" s="7">
        <f>IF(AND(A211&gt;='01_PRESUPUESTO_CRONOGRAMA_BASE'!K4, A211&lt;='01_PRESUPUESTO_CRONOGRAMA_BASE'!L4), '01_PRESUPUESTO_CRONOGRAMA_BASE'!M4, 0) + IF(AND(A211&gt;='01_PRESUPUESTO_CRONOGRAMA_BASE'!K5, A211&lt;='01_PRESUPUESTO_CRONOGRAMA_BASE'!L5), '01_PRESUPUESTO_CRONOGRAMA_BASE'!M5, 0) + IF(AND(A211&gt;='01_PRESUPUESTO_CRONOGRAMA_BASE'!K6, A211&lt;='01_PRESUPUESTO_CRONOGRAMA_BASE'!L6), '01_PRESUPUESTO_CRONOGRAMA_BASE'!M6, 0) + IF(AND(A211&gt;='01_PRESUPUESTO_CRONOGRAMA_BASE'!K7, A211&lt;='01_PRESUPUESTO_CRONOGRAMA_BASE'!L7), '01_PRESUPUESTO_CRONOGRAMA_BASE'!M7, 0) + IF(AND(A211&gt;='01_PRESUPUESTO_CRONOGRAMA_BASE'!K8, A211&lt;='01_PRESUPUESTO_CRONOGRAMA_BASE'!L8), '01_PRESUPUESTO_CRONOGRAMA_BASE'!M8, 0) + IF(AND(A211&gt;='01_PRESUPUESTO_CRONOGRAMA_BASE'!K9, A211&lt;='01_PRESUPUESTO_CRONOGRAMA_BASE'!L9), '01_PRESUPUESTO_CRONOGRAMA_BASE'!M9, 0)</f>
        <v/>
      </c>
      <c r="F211" s="19">
        <f>SUMIFS(E$2:E211, C$2:C211, C211)</f>
        <v/>
      </c>
    </row>
    <row r="212" ht="19.95" customHeight="1">
      <c r="A212" s="4" t="n">
        <v>53</v>
      </c>
      <c r="B212" s="4" t="inlineStr">
        <is>
          <t>2026-09-22</t>
        </is>
      </c>
      <c r="C212" s="2" t="inlineStr">
        <is>
          <t>WBS-300</t>
        </is>
      </c>
      <c r="D212" s="3" t="inlineStr">
        <is>
          <t>Red de Agua Potable y Conexiones Domiciliarias</t>
        </is>
      </c>
      <c r="E212" s="7">
        <f>IF(AND(A212&gt;='01_PRESUPUESTO_CRONOGRAMA_BASE'!K10, A212&lt;='01_PRESUPUESTO_CRONOGRAMA_BASE'!L10), '01_PRESUPUESTO_CRONOGRAMA_BASE'!M10, 0) + IF(AND(A212&gt;='01_PRESUPUESTO_CRONOGRAMA_BASE'!K11, A212&lt;='01_PRESUPUESTO_CRONOGRAMA_BASE'!L11), '01_PRESUPUESTO_CRONOGRAMA_BASE'!M11, 0)</f>
        <v/>
      </c>
      <c r="F212" s="19">
        <f>SUMIFS(E$2:E212, C$2:C212, C212)</f>
        <v/>
      </c>
    </row>
    <row r="213" ht="19.95" customHeight="1">
      <c r="A213" s="4" t="n">
        <v>53</v>
      </c>
      <c r="B213" s="4" t="inlineStr">
        <is>
          <t>2026-09-22</t>
        </is>
      </c>
      <c r="C213" s="2" t="inlineStr">
        <is>
          <t>WBS-400</t>
        </is>
      </c>
      <c r="D213" s="3" t="inlineStr">
        <is>
          <t>Pruebas Hidráulicas, Desinfección y Entrega</t>
        </is>
      </c>
      <c r="E213" s="7">
        <f>IF(AND(A213&gt;='01_PRESUPUESTO_CRONOGRAMA_BASE'!K12, A213&lt;='01_PRESUPUESTO_CRONOGRAMA_BASE'!L12), '01_PRESUPUESTO_CRONOGRAMA_BASE'!M12, 0)</f>
        <v/>
      </c>
      <c r="F213" s="19">
        <f>SUMIFS(E$2:E213, C$2:C213, C213)</f>
        <v/>
      </c>
    </row>
    <row r="214" ht="19.95" customHeight="1">
      <c r="A214" s="4" t="n">
        <v>54</v>
      </c>
      <c r="B214" s="4" t="inlineStr">
        <is>
          <t>2026-09-23</t>
        </is>
      </c>
      <c r="C214" s="2" t="inlineStr">
        <is>
          <t>WBS-100</t>
        </is>
      </c>
      <c r="D214" s="3" t="inlineStr">
        <is>
          <t>Obras Preliminares, Trazo y Movilización</t>
        </is>
      </c>
      <c r="E214" s="7">
        <f>IF(AND(A214&gt;='01_PRESUPUESTO_CRONOGRAMA_BASE'!K2, A214&lt;='01_PRESUPUESTO_CRONOGRAMA_BASE'!L2), '01_PRESUPUESTO_CRONOGRAMA_BASE'!M2, 0) + IF(AND(A214&gt;='01_PRESUPUESTO_CRONOGRAMA_BASE'!K3, A214&lt;='01_PRESUPUESTO_CRONOGRAMA_BASE'!L3), '01_PRESUPUESTO_CRONOGRAMA_BASE'!M3, 0)</f>
        <v/>
      </c>
      <c r="F214" s="19">
        <f>SUMIFS(E$2:E214, C$2:C214, C214)</f>
        <v/>
      </c>
    </row>
    <row r="215" ht="19.95" customHeight="1">
      <c r="A215" s="4" t="n">
        <v>54</v>
      </c>
      <c r="B215" s="4" t="inlineStr">
        <is>
          <t>2026-09-23</t>
        </is>
      </c>
      <c r="C215" s="2" t="inlineStr">
        <is>
          <t>WBS-200</t>
        </is>
      </c>
      <c r="D215" s="3" t="inlineStr">
        <is>
          <t>Red de Alcantarillado, Zanjas y Buzones</t>
        </is>
      </c>
      <c r="E215" s="7">
        <f>IF(AND(A215&gt;='01_PRESUPUESTO_CRONOGRAMA_BASE'!K4, A215&lt;='01_PRESUPUESTO_CRONOGRAMA_BASE'!L4), '01_PRESUPUESTO_CRONOGRAMA_BASE'!M4, 0) + IF(AND(A215&gt;='01_PRESUPUESTO_CRONOGRAMA_BASE'!K5, A215&lt;='01_PRESUPUESTO_CRONOGRAMA_BASE'!L5), '01_PRESUPUESTO_CRONOGRAMA_BASE'!M5, 0) + IF(AND(A215&gt;='01_PRESUPUESTO_CRONOGRAMA_BASE'!K6, A215&lt;='01_PRESUPUESTO_CRONOGRAMA_BASE'!L6), '01_PRESUPUESTO_CRONOGRAMA_BASE'!M6, 0) + IF(AND(A215&gt;='01_PRESUPUESTO_CRONOGRAMA_BASE'!K7, A215&lt;='01_PRESUPUESTO_CRONOGRAMA_BASE'!L7), '01_PRESUPUESTO_CRONOGRAMA_BASE'!M7, 0) + IF(AND(A215&gt;='01_PRESUPUESTO_CRONOGRAMA_BASE'!K8, A215&lt;='01_PRESUPUESTO_CRONOGRAMA_BASE'!L8), '01_PRESUPUESTO_CRONOGRAMA_BASE'!M8, 0) + IF(AND(A215&gt;='01_PRESUPUESTO_CRONOGRAMA_BASE'!K9, A215&lt;='01_PRESUPUESTO_CRONOGRAMA_BASE'!L9), '01_PRESUPUESTO_CRONOGRAMA_BASE'!M9, 0)</f>
        <v/>
      </c>
      <c r="F215" s="19">
        <f>SUMIFS(E$2:E215, C$2:C215, C215)</f>
        <v/>
      </c>
    </row>
    <row r="216" ht="19.95" customHeight="1">
      <c r="A216" s="4" t="n">
        <v>54</v>
      </c>
      <c r="B216" s="4" t="inlineStr">
        <is>
          <t>2026-09-23</t>
        </is>
      </c>
      <c r="C216" s="2" t="inlineStr">
        <is>
          <t>WBS-300</t>
        </is>
      </c>
      <c r="D216" s="3" t="inlineStr">
        <is>
          <t>Red de Agua Potable y Conexiones Domiciliarias</t>
        </is>
      </c>
      <c r="E216" s="7">
        <f>IF(AND(A216&gt;='01_PRESUPUESTO_CRONOGRAMA_BASE'!K10, A216&lt;='01_PRESUPUESTO_CRONOGRAMA_BASE'!L10), '01_PRESUPUESTO_CRONOGRAMA_BASE'!M10, 0) + IF(AND(A216&gt;='01_PRESUPUESTO_CRONOGRAMA_BASE'!K11, A216&lt;='01_PRESUPUESTO_CRONOGRAMA_BASE'!L11), '01_PRESUPUESTO_CRONOGRAMA_BASE'!M11, 0)</f>
        <v/>
      </c>
      <c r="F216" s="19">
        <f>SUMIFS(E$2:E216, C$2:C216, C216)</f>
        <v/>
      </c>
    </row>
    <row r="217" ht="19.95" customHeight="1">
      <c r="A217" s="4" t="n">
        <v>54</v>
      </c>
      <c r="B217" s="4" t="inlineStr">
        <is>
          <t>2026-09-23</t>
        </is>
      </c>
      <c r="C217" s="2" t="inlineStr">
        <is>
          <t>WBS-400</t>
        </is>
      </c>
      <c r="D217" s="3" t="inlineStr">
        <is>
          <t>Pruebas Hidráulicas, Desinfección y Entrega</t>
        </is>
      </c>
      <c r="E217" s="7">
        <f>IF(AND(A217&gt;='01_PRESUPUESTO_CRONOGRAMA_BASE'!K12, A217&lt;='01_PRESUPUESTO_CRONOGRAMA_BASE'!L12), '01_PRESUPUESTO_CRONOGRAMA_BASE'!M12, 0)</f>
        <v/>
      </c>
      <c r="F217" s="19">
        <f>SUMIFS(E$2:E217, C$2:C217, C217)</f>
        <v/>
      </c>
    </row>
    <row r="218" ht="19.95" customHeight="1">
      <c r="A218" s="4" t="n">
        <v>55</v>
      </c>
      <c r="B218" s="4" t="inlineStr">
        <is>
          <t>2026-09-24</t>
        </is>
      </c>
      <c r="C218" s="2" t="inlineStr">
        <is>
          <t>WBS-100</t>
        </is>
      </c>
      <c r="D218" s="3" t="inlineStr">
        <is>
          <t>Obras Preliminares, Trazo y Movilización</t>
        </is>
      </c>
      <c r="E218" s="7">
        <f>IF(AND(A218&gt;='01_PRESUPUESTO_CRONOGRAMA_BASE'!K2, A218&lt;='01_PRESUPUESTO_CRONOGRAMA_BASE'!L2), '01_PRESUPUESTO_CRONOGRAMA_BASE'!M2, 0) + IF(AND(A218&gt;='01_PRESUPUESTO_CRONOGRAMA_BASE'!K3, A218&lt;='01_PRESUPUESTO_CRONOGRAMA_BASE'!L3), '01_PRESUPUESTO_CRONOGRAMA_BASE'!M3, 0)</f>
        <v/>
      </c>
      <c r="F218" s="19">
        <f>SUMIFS(E$2:E218, C$2:C218, C218)</f>
        <v/>
      </c>
    </row>
    <row r="219" ht="19.95" customHeight="1">
      <c r="A219" s="4" t="n">
        <v>55</v>
      </c>
      <c r="B219" s="4" t="inlineStr">
        <is>
          <t>2026-09-24</t>
        </is>
      </c>
      <c r="C219" s="2" t="inlineStr">
        <is>
          <t>WBS-200</t>
        </is>
      </c>
      <c r="D219" s="3" t="inlineStr">
        <is>
          <t>Red de Alcantarillado, Zanjas y Buzones</t>
        </is>
      </c>
      <c r="E219" s="7">
        <f>IF(AND(A219&gt;='01_PRESUPUESTO_CRONOGRAMA_BASE'!K4, A219&lt;='01_PRESUPUESTO_CRONOGRAMA_BASE'!L4), '01_PRESUPUESTO_CRONOGRAMA_BASE'!M4, 0) + IF(AND(A219&gt;='01_PRESUPUESTO_CRONOGRAMA_BASE'!K5, A219&lt;='01_PRESUPUESTO_CRONOGRAMA_BASE'!L5), '01_PRESUPUESTO_CRONOGRAMA_BASE'!M5, 0) + IF(AND(A219&gt;='01_PRESUPUESTO_CRONOGRAMA_BASE'!K6, A219&lt;='01_PRESUPUESTO_CRONOGRAMA_BASE'!L6), '01_PRESUPUESTO_CRONOGRAMA_BASE'!M6, 0) + IF(AND(A219&gt;='01_PRESUPUESTO_CRONOGRAMA_BASE'!K7, A219&lt;='01_PRESUPUESTO_CRONOGRAMA_BASE'!L7), '01_PRESUPUESTO_CRONOGRAMA_BASE'!M7, 0) + IF(AND(A219&gt;='01_PRESUPUESTO_CRONOGRAMA_BASE'!K8, A219&lt;='01_PRESUPUESTO_CRONOGRAMA_BASE'!L8), '01_PRESUPUESTO_CRONOGRAMA_BASE'!M8, 0) + IF(AND(A219&gt;='01_PRESUPUESTO_CRONOGRAMA_BASE'!K9, A219&lt;='01_PRESUPUESTO_CRONOGRAMA_BASE'!L9), '01_PRESUPUESTO_CRONOGRAMA_BASE'!M9, 0)</f>
        <v/>
      </c>
      <c r="F219" s="19">
        <f>SUMIFS(E$2:E219, C$2:C219, C219)</f>
        <v/>
      </c>
    </row>
    <row r="220" ht="19.95" customHeight="1">
      <c r="A220" s="4" t="n">
        <v>55</v>
      </c>
      <c r="B220" s="4" t="inlineStr">
        <is>
          <t>2026-09-24</t>
        </is>
      </c>
      <c r="C220" s="2" t="inlineStr">
        <is>
          <t>WBS-300</t>
        </is>
      </c>
      <c r="D220" s="3" t="inlineStr">
        <is>
          <t>Red de Agua Potable y Conexiones Domiciliarias</t>
        </is>
      </c>
      <c r="E220" s="7">
        <f>IF(AND(A220&gt;='01_PRESUPUESTO_CRONOGRAMA_BASE'!K10, A220&lt;='01_PRESUPUESTO_CRONOGRAMA_BASE'!L10), '01_PRESUPUESTO_CRONOGRAMA_BASE'!M10, 0) + IF(AND(A220&gt;='01_PRESUPUESTO_CRONOGRAMA_BASE'!K11, A220&lt;='01_PRESUPUESTO_CRONOGRAMA_BASE'!L11), '01_PRESUPUESTO_CRONOGRAMA_BASE'!M11, 0)</f>
        <v/>
      </c>
      <c r="F220" s="19">
        <f>SUMIFS(E$2:E220, C$2:C220, C220)</f>
        <v/>
      </c>
    </row>
    <row r="221" ht="19.95" customHeight="1">
      <c r="A221" s="4" t="n">
        <v>55</v>
      </c>
      <c r="B221" s="4" t="inlineStr">
        <is>
          <t>2026-09-24</t>
        </is>
      </c>
      <c r="C221" s="2" t="inlineStr">
        <is>
          <t>WBS-400</t>
        </is>
      </c>
      <c r="D221" s="3" t="inlineStr">
        <is>
          <t>Pruebas Hidráulicas, Desinfección y Entrega</t>
        </is>
      </c>
      <c r="E221" s="7">
        <f>IF(AND(A221&gt;='01_PRESUPUESTO_CRONOGRAMA_BASE'!K12, A221&lt;='01_PRESUPUESTO_CRONOGRAMA_BASE'!L12), '01_PRESUPUESTO_CRONOGRAMA_BASE'!M12, 0)</f>
        <v/>
      </c>
      <c r="F221" s="19">
        <f>SUMIFS(E$2:E221, C$2:C221, C221)</f>
        <v/>
      </c>
    </row>
    <row r="222" ht="19.95" customHeight="1">
      <c r="A222" s="4" t="n">
        <v>56</v>
      </c>
      <c r="B222" s="4" t="inlineStr">
        <is>
          <t>2026-09-25</t>
        </is>
      </c>
      <c r="C222" s="2" t="inlineStr">
        <is>
          <t>WBS-100</t>
        </is>
      </c>
      <c r="D222" s="3" t="inlineStr">
        <is>
          <t>Obras Preliminares, Trazo y Movilización</t>
        </is>
      </c>
      <c r="E222" s="7">
        <f>IF(AND(A222&gt;='01_PRESUPUESTO_CRONOGRAMA_BASE'!K2, A222&lt;='01_PRESUPUESTO_CRONOGRAMA_BASE'!L2), '01_PRESUPUESTO_CRONOGRAMA_BASE'!M2, 0) + IF(AND(A222&gt;='01_PRESUPUESTO_CRONOGRAMA_BASE'!K3, A222&lt;='01_PRESUPUESTO_CRONOGRAMA_BASE'!L3), '01_PRESUPUESTO_CRONOGRAMA_BASE'!M3, 0)</f>
        <v/>
      </c>
      <c r="F222" s="19">
        <f>SUMIFS(E$2:E222, C$2:C222, C222)</f>
        <v/>
      </c>
    </row>
    <row r="223" ht="19.95" customHeight="1">
      <c r="A223" s="4" t="n">
        <v>56</v>
      </c>
      <c r="B223" s="4" t="inlineStr">
        <is>
          <t>2026-09-25</t>
        </is>
      </c>
      <c r="C223" s="2" t="inlineStr">
        <is>
          <t>WBS-200</t>
        </is>
      </c>
      <c r="D223" s="3" t="inlineStr">
        <is>
          <t>Red de Alcantarillado, Zanjas y Buzones</t>
        </is>
      </c>
      <c r="E223" s="7">
        <f>IF(AND(A223&gt;='01_PRESUPUESTO_CRONOGRAMA_BASE'!K4, A223&lt;='01_PRESUPUESTO_CRONOGRAMA_BASE'!L4), '01_PRESUPUESTO_CRONOGRAMA_BASE'!M4, 0) + IF(AND(A223&gt;='01_PRESUPUESTO_CRONOGRAMA_BASE'!K5, A223&lt;='01_PRESUPUESTO_CRONOGRAMA_BASE'!L5), '01_PRESUPUESTO_CRONOGRAMA_BASE'!M5, 0) + IF(AND(A223&gt;='01_PRESUPUESTO_CRONOGRAMA_BASE'!K6, A223&lt;='01_PRESUPUESTO_CRONOGRAMA_BASE'!L6), '01_PRESUPUESTO_CRONOGRAMA_BASE'!M6, 0) + IF(AND(A223&gt;='01_PRESUPUESTO_CRONOGRAMA_BASE'!K7, A223&lt;='01_PRESUPUESTO_CRONOGRAMA_BASE'!L7), '01_PRESUPUESTO_CRONOGRAMA_BASE'!M7, 0) + IF(AND(A223&gt;='01_PRESUPUESTO_CRONOGRAMA_BASE'!K8, A223&lt;='01_PRESUPUESTO_CRONOGRAMA_BASE'!L8), '01_PRESUPUESTO_CRONOGRAMA_BASE'!M8, 0) + IF(AND(A223&gt;='01_PRESUPUESTO_CRONOGRAMA_BASE'!K9, A223&lt;='01_PRESUPUESTO_CRONOGRAMA_BASE'!L9), '01_PRESUPUESTO_CRONOGRAMA_BASE'!M9, 0)</f>
        <v/>
      </c>
      <c r="F223" s="19">
        <f>SUMIFS(E$2:E223, C$2:C223, C223)</f>
        <v/>
      </c>
    </row>
    <row r="224" ht="19.95" customHeight="1">
      <c r="A224" s="4" t="n">
        <v>56</v>
      </c>
      <c r="B224" s="4" t="inlineStr">
        <is>
          <t>2026-09-25</t>
        </is>
      </c>
      <c r="C224" s="2" t="inlineStr">
        <is>
          <t>WBS-300</t>
        </is>
      </c>
      <c r="D224" s="3" t="inlineStr">
        <is>
          <t>Red de Agua Potable y Conexiones Domiciliarias</t>
        </is>
      </c>
      <c r="E224" s="7">
        <f>IF(AND(A224&gt;='01_PRESUPUESTO_CRONOGRAMA_BASE'!K10, A224&lt;='01_PRESUPUESTO_CRONOGRAMA_BASE'!L10), '01_PRESUPUESTO_CRONOGRAMA_BASE'!M10, 0) + IF(AND(A224&gt;='01_PRESUPUESTO_CRONOGRAMA_BASE'!K11, A224&lt;='01_PRESUPUESTO_CRONOGRAMA_BASE'!L11), '01_PRESUPUESTO_CRONOGRAMA_BASE'!M11, 0)</f>
        <v/>
      </c>
      <c r="F224" s="19">
        <f>SUMIFS(E$2:E224, C$2:C224, C224)</f>
        <v/>
      </c>
    </row>
    <row r="225" ht="19.95" customHeight="1">
      <c r="A225" s="4" t="n">
        <v>56</v>
      </c>
      <c r="B225" s="4" t="inlineStr">
        <is>
          <t>2026-09-25</t>
        </is>
      </c>
      <c r="C225" s="2" t="inlineStr">
        <is>
          <t>WBS-400</t>
        </is>
      </c>
      <c r="D225" s="3" t="inlineStr">
        <is>
          <t>Pruebas Hidráulicas, Desinfección y Entrega</t>
        </is>
      </c>
      <c r="E225" s="7">
        <f>IF(AND(A225&gt;='01_PRESUPUESTO_CRONOGRAMA_BASE'!K12, A225&lt;='01_PRESUPUESTO_CRONOGRAMA_BASE'!L12), '01_PRESUPUESTO_CRONOGRAMA_BASE'!M12, 0)</f>
        <v/>
      </c>
      <c r="F225" s="19">
        <f>SUMIFS(E$2:E225, C$2:C225, C225)</f>
        <v/>
      </c>
    </row>
    <row r="226" ht="19.95" customHeight="1">
      <c r="A226" s="4" t="n">
        <v>57</v>
      </c>
      <c r="B226" s="4" t="inlineStr">
        <is>
          <t>2026-09-26</t>
        </is>
      </c>
      <c r="C226" s="2" t="inlineStr">
        <is>
          <t>WBS-100</t>
        </is>
      </c>
      <c r="D226" s="3" t="inlineStr">
        <is>
          <t>Obras Preliminares, Trazo y Movilización</t>
        </is>
      </c>
      <c r="E226" s="7">
        <f>IF(AND(A226&gt;='01_PRESUPUESTO_CRONOGRAMA_BASE'!K2, A226&lt;='01_PRESUPUESTO_CRONOGRAMA_BASE'!L2), '01_PRESUPUESTO_CRONOGRAMA_BASE'!M2, 0) + IF(AND(A226&gt;='01_PRESUPUESTO_CRONOGRAMA_BASE'!K3, A226&lt;='01_PRESUPUESTO_CRONOGRAMA_BASE'!L3), '01_PRESUPUESTO_CRONOGRAMA_BASE'!M3, 0)</f>
        <v/>
      </c>
      <c r="F226" s="19">
        <f>SUMIFS(E$2:E226, C$2:C226, C226)</f>
        <v/>
      </c>
    </row>
    <row r="227" ht="19.95" customHeight="1">
      <c r="A227" s="4" t="n">
        <v>57</v>
      </c>
      <c r="B227" s="4" t="inlineStr">
        <is>
          <t>2026-09-26</t>
        </is>
      </c>
      <c r="C227" s="2" t="inlineStr">
        <is>
          <t>WBS-200</t>
        </is>
      </c>
      <c r="D227" s="3" t="inlineStr">
        <is>
          <t>Red de Alcantarillado, Zanjas y Buzones</t>
        </is>
      </c>
      <c r="E227" s="7">
        <f>IF(AND(A227&gt;='01_PRESUPUESTO_CRONOGRAMA_BASE'!K4, A227&lt;='01_PRESUPUESTO_CRONOGRAMA_BASE'!L4), '01_PRESUPUESTO_CRONOGRAMA_BASE'!M4, 0) + IF(AND(A227&gt;='01_PRESUPUESTO_CRONOGRAMA_BASE'!K5, A227&lt;='01_PRESUPUESTO_CRONOGRAMA_BASE'!L5), '01_PRESUPUESTO_CRONOGRAMA_BASE'!M5, 0) + IF(AND(A227&gt;='01_PRESUPUESTO_CRONOGRAMA_BASE'!K6, A227&lt;='01_PRESUPUESTO_CRONOGRAMA_BASE'!L6), '01_PRESUPUESTO_CRONOGRAMA_BASE'!M6, 0) + IF(AND(A227&gt;='01_PRESUPUESTO_CRONOGRAMA_BASE'!K7, A227&lt;='01_PRESUPUESTO_CRONOGRAMA_BASE'!L7), '01_PRESUPUESTO_CRONOGRAMA_BASE'!M7, 0) + IF(AND(A227&gt;='01_PRESUPUESTO_CRONOGRAMA_BASE'!K8, A227&lt;='01_PRESUPUESTO_CRONOGRAMA_BASE'!L8), '01_PRESUPUESTO_CRONOGRAMA_BASE'!M8, 0) + IF(AND(A227&gt;='01_PRESUPUESTO_CRONOGRAMA_BASE'!K9, A227&lt;='01_PRESUPUESTO_CRONOGRAMA_BASE'!L9), '01_PRESUPUESTO_CRONOGRAMA_BASE'!M9, 0)</f>
        <v/>
      </c>
      <c r="F227" s="19">
        <f>SUMIFS(E$2:E227, C$2:C227, C227)</f>
        <v/>
      </c>
    </row>
    <row r="228" ht="19.95" customHeight="1">
      <c r="A228" s="4" t="n">
        <v>57</v>
      </c>
      <c r="B228" s="4" t="inlineStr">
        <is>
          <t>2026-09-26</t>
        </is>
      </c>
      <c r="C228" s="2" t="inlineStr">
        <is>
          <t>WBS-300</t>
        </is>
      </c>
      <c r="D228" s="3" t="inlineStr">
        <is>
          <t>Red de Agua Potable y Conexiones Domiciliarias</t>
        </is>
      </c>
      <c r="E228" s="7">
        <f>IF(AND(A228&gt;='01_PRESUPUESTO_CRONOGRAMA_BASE'!K10, A228&lt;='01_PRESUPUESTO_CRONOGRAMA_BASE'!L10), '01_PRESUPUESTO_CRONOGRAMA_BASE'!M10, 0) + IF(AND(A228&gt;='01_PRESUPUESTO_CRONOGRAMA_BASE'!K11, A228&lt;='01_PRESUPUESTO_CRONOGRAMA_BASE'!L11), '01_PRESUPUESTO_CRONOGRAMA_BASE'!M11, 0)</f>
        <v/>
      </c>
      <c r="F228" s="19">
        <f>SUMIFS(E$2:E228, C$2:C228, C228)</f>
        <v/>
      </c>
    </row>
    <row r="229" ht="19.95" customHeight="1">
      <c r="A229" s="4" t="n">
        <v>57</v>
      </c>
      <c r="B229" s="4" t="inlineStr">
        <is>
          <t>2026-09-26</t>
        </is>
      </c>
      <c r="C229" s="2" t="inlineStr">
        <is>
          <t>WBS-400</t>
        </is>
      </c>
      <c r="D229" s="3" t="inlineStr">
        <is>
          <t>Pruebas Hidráulicas, Desinfección y Entrega</t>
        </is>
      </c>
      <c r="E229" s="7">
        <f>IF(AND(A229&gt;='01_PRESUPUESTO_CRONOGRAMA_BASE'!K12, A229&lt;='01_PRESUPUESTO_CRONOGRAMA_BASE'!L12), '01_PRESUPUESTO_CRONOGRAMA_BASE'!M12, 0)</f>
        <v/>
      </c>
      <c r="F229" s="19">
        <f>SUMIFS(E$2:E229, C$2:C229, C229)</f>
        <v/>
      </c>
    </row>
    <row r="230" ht="19.95" customHeight="1">
      <c r="A230" s="4" t="n">
        <v>58</v>
      </c>
      <c r="B230" s="4" t="inlineStr">
        <is>
          <t>2026-09-27</t>
        </is>
      </c>
      <c r="C230" s="2" t="inlineStr">
        <is>
          <t>WBS-100</t>
        </is>
      </c>
      <c r="D230" s="3" t="inlineStr">
        <is>
          <t>Obras Preliminares, Trazo y Movilización</t>
        </is>
      </c>
      <c r="E230" s="7">
        <f>IF(AND(A230&gt;='01_PRESUPUESTO_CRONOGRAMA_BASE'!K2, A230&lt;='01_PRESUPUESTO_CRONOGRAMA_BASE'!L2), '01_PRESUPUESTO_CRONOGRAMA_BASE'!M2, 0) + IF(AND(A230&gt;='01_PRESUPUESTO_CRONOGRAMA_BASE'!K3, A230&lt;='01_PRESUPUESTO_CRONOGRAMA_BASE'!L3), '01_PRESUPUESTO_CRONOGRAMA_BASE'!M3, 0)</f>
        <v/>
      </c>
      <c r="F230" s="19">
        <f>SUMIFS(E$2:E230, C$2:C230, C230)</f>
        <v/>
      </c>
    </row>
    <row r="231" ht="19.95" customHeight="1">
      <c r="A231" s="4" t="n">
        <v>58</v>
      </c>
      <c r="B231" s="4" t="inlineStr">
        <is>
          <t>2026-09-27</t>
        </is>
      </c>
      <c r="C231" s="2" t="inlineStr">
        <is>
          <t>WBS-200</t>
        </is>
      </c>
      <c r="D231" s="3" t="inlineStr">
        <is>
          <t>Red de Alcantarillado, Zanjas y Buzones</t>
        </is>
      </c>
      <c r="E231" s="7">
        <f>IF(AND(A231&gt;='01_PRESUPUESTO_CRONOGRAMA_BASE'!K4, A231&lt;='01_PRESUPUESTO_CRONOGRAMA_BASE'!L4), '01_PRESUPUESTO_CRONOGRAMA_BASE'!M4, 0) + IF(AND(A231&gt;='01_PRESUPUESTO_CRONOGRAMA_BASE'!K5, A231&lt;='01_PRESUPUESTO_CRONOGRAMA_BASE'!L5), '01_PRESUPUESTO_CRONOGRAMA_BASE'!M5, 0) + IF(AND(A231&gt;='01_PRESUPUESTO_CRONOGRAMA_BASE'!K6, A231&lt;='01_PRESUPUESTO_CRONOGRAMA_BASE'!L6), '01_PRESUPUESTO_CRONOGRAMA_BASE'!M6, 0) + IF(AND(A231&gt;='01_PRESUPUESTO_CRONOGRAMA_BASE'!K7, A231&lt;='01_PRESUPUESTO_CRONOGRAMA_BASE'!L7), '01_PRESUPUESTO_CRONOGRAMA_BASE'!M7, 0) + IF(AND(A231&gt;='01_PRESUPUESTO_CRONOGRAMA_BASE'!K8, A231&lt;='01_PRESUPUESTO_CRONOGRAMA_BASE'!L8), '01_PRESUPUESTO_CRONOGRAMA_BASE'!M8, 0) + IF(AND(A231&gt;='01_PRESUPUESTO_CRONOGRAMA_BASE'!K9, A231&lt;='01_PRESUPUESTO_CRONOGRAMA_BASE'!L9), '01_PRESUPUESTO_CRONOGRAMA_BASE'!M9, 0)</f>
        <v/>
      </c>
      <c r="F231" s="19">
        <f>SUMIFS(E$2:E231, C$2:C231, C231)</f>
        <v/>
      </c>
    </row>
    <row r="232" ht="19.95" customHeight="1">
      <c r="A232" s="4" t="n">
        <v>58</v>
      </c>
      <c r="B232" s="4" t="inlineStr">
        <is>
          <t>2026-09-27</t>
        </is>
      </c>
      <c r="C232" s="2" t="inlineStr">
        <is>
          <t>WBS-300</t>
        </is>
      </c>
      <c r="D232" s="3" t="inlineStr">
        <is>
          <t>Red de Agua Potable y Conexiones Domiciliarias</t>
        </is>
      </c>
      <c r="E232" s="7">
        <f>IF(AND(A232&gt;='01_PRESUPUESTO_CRONOGRAMA_BASE'!K10, A232&lt;='01_PRESUPUESTO_CRONOGRAMA_BASE'!L10), '01_PRESUPUESTO_CRONOGRAMA_BASE'!M10, 0) + IF(AND(A232&gt;='01_PRESUPUESTO_CRONOGRAMA_BASE'!K11, A232&lt;='01_PRESUPUESTO_CRONOGRAMA_BASE'!L11), '01_PRESUPUESTO_CRONOGRAMA_BASE'!M11, 0)</f>
        <v/>
      </c>
      <c r="F232" s="19">
        <f>SUMIFS(E$2:E232, C$2:C232, C232)</f>
        <v/>
      </c>
    </row>
    <row r="233" ht="19.95" customHeight="1">
      <c r="A233" s="4" t="n">
        <v>58</v>
      </c>
      <c r="B233" s="4" t="inlineStr">
        <is>
          <t>2026-09-27</t>
        </is>
      </c>
      <c r="C233" s="2" t="inlineStr">
        <is>
          <t>WBS-400</t>
        </is>
      </c>
      <c r="D233" s="3" t="inlineStr">
        <is>
          <t>Pruebas Hidráulicas, Desinfección y Entrega</t>
        </is>
      </c>
      <c r="E233" s="7">
        <f>IF(AND(A233&gt;='01_PRESUPUESTO_CRONOGRAMA_BASE'!K12, A233&lt;='01_PRESUPUESTO_CRONOGRAMA_BASE'!L12), '01_PRESUPUESTO_CRONOGRAMA_BASE'!M12, 0)</f>
        <v/>
      </c>
      <c r="F233" s="19">
        <f>SUMIFS(E$2:E233, C$2:C233, C233)</f>
        <v/>
      </c>
    </row>
    <row r="234" ht="19.95" customHeight="1">
      <c r="A234" s="4" t="n">
        <v>59</v>
      </c>
      <c r="B234" s="4" t="inlineStr">
        <is>
          <t>2026-09-28</t>
        </is>
      </c>
      <c r="C234" s="2" t="inlineStr">
        <is>
          <t>WBS-100</t>
        </is>
      </c>
      <c r="D234" s="3" t="inlineStr">
        <is>
          <t>Obras Preliminares, Trazo y Movilización</t>
        </is>
      </c>
      <c r="E234" s="7">
        <f>IF(AND(A234&gt;='01_PRESUPUESTO_CRONOGRAMA_BASE'!K2, A234&lt;='01_PRESUPUESTO_CRONOGRAMA_BASE'!L2), '01_PRESUPUESTO_CRONOGRAMA_BASE'!M2, 0) + IF(AND(A234&gt;='01_PRESUPUESTO_CRONOGRAMA_BASE'!K3, A234&lt;='01_PRESUPUESTO_CRONOGRAMA_BASE'!L3), '01_PRESUPUESTO_CRONOGRAMA_BASE'!M3, 0)</f>
        <v/>
      </c>
      <c r="F234" s="19">
        <f>SUMIFS(E$2:E234, C$2:C234, C234)</f>
        <v/>
      </c>
    </row>
    <row r="235" ht="19.95" customHeight="1">
      <c r="A235" s="4" t="n">
        <v>59</v>
      </c>
      <c r="B235" s="4" t="inlineStr">
        <is>
          <t>2026-09-28</t>
        </is>
      </c>
      <c r="C235" s="2" t="inlineStr">
        <is>
          <t>WBS-200</t>
        </is>
      </c>
      <c r="D235" s="3" t="inlineStr">
        <is>
          <t>Red de Alcantarillado, Zanjas y Buzones</t>
        </is>
      </c>
      <c r="E235" s="7">
        <f>IF(AND(A235&gt;='01_PRESUPUESTO_CRONOGRAMA_BASE'!K4, A235&lt;='01_PRESUPUESTO_CRONOGRAMA_BASE'!L4), '01_PRESUPUESTO_CRONOGRAMA_BASE'!M4, 0) + IF(AND(A235&gt;='01_PRESUPUESTO_CRONOGRAMA_BASE'!K5, A235&lt;='01_PRESUPUESTO_CRONOGRAMA_BASE'!L5), '01_PRESUPUESTO_CRONOGRAMA_BASE'!M5, 0) + IF(AND(A235&gt;='01_PRESUPUESTO_CRONOGRAMA_BASE'!K6, A235&lt;='01_PRESUPUESTO_CRONOGRAMA_BASE'!L6), '01_PRESUPUESTO_CRONOGRAMA_BASE'!M6, 0) + IF(AND(A235&gt;='01_PRESUPUESTO_CRONOGRAMA_BASE'!K7, A235&lt;='01_PRESUPUESTO_CRONOGRAMA_BASE'!L7), '01_PRESUPUESTO_CRONOGRAMA_BASE'!M7, 0) + IF(AND(A235&gt;='01_PRESUPUESTO_CRONOGRAMA_BASE'!K8, A235&lt;='01_PRESUPUESTO_CRONOGRAMA_BASE'!L8), '01_PRESUPUESTO_CRONOGRAMA_BASE'!M8, 0) + IF(AND(A235&gt;='01_PRESUPUESTO_CRONOGRAMA_BASE'!K9, A235&lt;='01_PRESUPUESTO_CRONOGRAMA_BASE'!L9), '01_PRESUPUESTO_CRONOGRAMA_BASE'!M9, 0)</f>
        <v/>
      </c>
      <c r="F235" s="19">
        <f>SUMIFS(E$2:E235, C$2:C235, C235)</f>
        <v/>
      </c>
    </row>
    <row r="236" ht="19.95" customHeight="1">
      <c r="A236" s="4" t="n">
        <v>59</v>
      </c>
      <c r="B236" s="4" t="inlineStr">
        <is>
          <t>2026-09-28</t>
        </is>
      </c>
      <c r="C236" s="2" t="inlineStr">
        <is>
          <t>WBS-300</t>
        </is>
      </c>
      <c r="D236" s="3" t="inlineStr">
        <is>
          <t>Red de Agua Potable y Conexiones Domiciliarias</t>
        </is>
      </c>
      <c r="E236" s="7">
        <f>IF(AND(A236&gt;='01_PRESUPUESTO_CRONOGRAMA_BASE'!K10, A236&lt;='01_PRESUPUESTO_CRONOGRAMA_BASE'!L10), '01_PRESUPUESTO_CRONOGRAMA_BASE'!M10, 0) + IF(AND(A236&gt;='01_PRESUPUESTO_CRONOGRAMA_BASE'!K11, A236&lt;='01_PRESUPUESTO_CRONOGRAMA_BASE'!L11), '01_PRESUPUESTO_CRONOGRAMA_BASE'!M11, 0)</f>
        <v/>
      </c>
      <c r="F236" s="19">
        <f>SUMIFS(E$2:E236, C$2:C236, C236)</f>
        <v/>
      </c>
    </row>
    <row r="237" ht="19.95" customHeight="1">
      <c r="A237" s="4" t="n">
        <v>59</v>
      </c>
      <c r="B237" s="4" t="inlineStr">
        <is>
          <t>2026-09-28</t>
        </is>
      </c>
      <c r="C237" s="2" t="inlineStr">
        <is>
          <t>WBS-400</t>
        </is>
      </c>
      <c r="D237" s="3" t="inlineStr">
        <is>
          <t>Pruebas Hidráulicas, Desinfección y Entrega</t>
        </is>
      </c>
      <c r="E237" s="7">
        <f>IF(AND(A237&gt;='01_PRESUPUESTO_CRONOGRAMA_BASE'!K12, A237&lt;='01_PRESUPUESTO_CRONOGRAMA_BASE'!L12), '01_PRESUPUESTO_CRONOGRAMA_BASE'!M12, 0)</f>
        <v/>
      </c>
      <c r="F237" s="19">
        <f>SUMIFS(E$2:E237, C$2:C237, C237)</f>
        <v/>
      </c>
    </row>
    <row r="238" ht="19.95" customHeight="1">
      <c r="A238" s="4" t="n">
        <v>60</v>
      </c>
      <c r="B238" s="4" t="inlineStr">
        <is>
          <t>2026-09-29</t>
        </is>
      </c>
      <c r="C238" s="2" t="inlineStr">
        <is>
          <t>WBS-100</t>
        </is>
      </c>
      <c r="D238" s="3" t="inlineStr">
        <is>
          <t>Obras Preliminares, Trazo y Movilización</t>
        </is>
      </c>
      <c r="E238" s="7">
        <f>IF(AND(A238&gt;='01_PRESUPUESTO_CRONOGRAMA_BASE'!K2, A238&lt;='01_PRESUPUESTO_CRONOGRAMA_BASE'!L2), '01_PRESUPUESTO_CRONOGRAMA_BASE'!M2, 0) + IF(AND(A238&gt;='01_PRESUPUESTO_CRONOGRAMA_BASE'!K3, A238&lt;='01_PRESUPUESTO_CRONOGRAMA_BASE'!L3), '01_PRESUPUESTO_CRONOGRAMA_BASE'!M3, 0)</f>
        <v/>
      </c>
      <c r="F238" s="19">
        <f>SUMIFS(E$2:E238, C$2:C238, C238)</f>
        <v/>
      </c>
    </row>
    <row r="239" ht="19.95" customHeight="1">
      <c r="A239" s="4" t="n">
        <v>60</v>
      </c>
      <c r="B239" s="4" t="inlineStr">
        <is>
          <t>2026-09-29</t>
        </is>
      </c>
      <c r="C239" s="2" t="inlineStr">
        <is>
          <t>WBS-200</t>
        </is>
      </c>
      <c r="D239" s="3" t="inlineStr">
        <is>
          <t>Red de Alcantarillado, Zanjas y Buzones</t>
        </is>
      </c>
      <c r="E239" s="7">
        <f>IF(AND(A239&gt;='01_PRESUPUESTO_CRONOGRAMA_BASE'!K4, A239&lt;='01_PRESUPUESTO_CRONOGRAMA_BASE'!L4), '01_PRESUPUESTO_CRONOGRAMA_BASE'!M4, 0) + IF(AND(A239&gt;='01_PRESUPUESTO_CRONOGRAMA_BASE'!K5, A239&lt;='01_PRESUPUESTO_CRONOGRAMA_BASE'!L5), '01_PRESUPUESTO_CRONOGRAMA_BASE'!M5, 0) + IF(AND(A239&gt;='01_PRESUPUESTO_CRONOGRAMA_BASE'!K6, A239&lt;='01_PRESUPUESTO_CRONOGRAMA_BASE'!L6), '01_PRESUPUESTO_CRONOGRAMA_BASE'!M6, 0) + IF(AND(A239&gt;='01_PRESUPUESTO_CRONOGRAMA_BASE'!K7, A239&lt;='01_PRESUPUESTO_CRONOGRAMA_BASE'!L7), '01_PRESUPUESTO_CRONOGRAMA_BASE'!M7, 0) + IF(AND(A239&gt;='01_PRESUPUESTO_CRONOGRAMA_BASE'!K8, A239&lt;='01_PRESUPUESTO_CRONOGRAMA_BASE'!L8), '01_PRESUPUESTO_CRONOGRAMA_BASE'!M8, 0) + IF(AND(A239&gt;='01_PRESUPUESTO_CRONOGRAMA_BASE'!K9, A239&lt;='01_PRESUPUESTO_CRONOGRAMA_BASE'!L9), '01_PRESUPUESTO_CRONOGRAMA_BASE'!M9, 0)</f>
        <v/>
      </c>
      <c r="F239" s="19">
        <f>SUMIFS(E$2:E239, C$2:C239, C239)</f>
        <v/>
      </c>
    </row>
    <row r="240" ht="19.95" customHeight="1">
      <c r="A240" s="4" t="n">
        <v>60</v>
      </c>
      <c r="B240" s="4" t="inlineStr">
        <is>
          <t>2026-09-29</t>
        </is>
      </c>
      <c r="C240" s="2" t="inlineStr">
        <is>
          <t>WBS-300</t>
        </is>
      </c>
      <c r="D240" s="3" t="inlineStr">
        <is>
          <t>Red de Agua Potable y Conexiones Domiciliarias</t>
        </is>
      </c>
      <c r="E240" s="7">
        <f>IF(AND(A240&gt;='01_PRESUPUESTO_CRONOGRAMA_BASE'!K10, A240&lt;='01_PRESUPUESTO_CRONOGRAMA_BASE'!L10), '01_PRESUPUESTO_CRONOGRAMA_BASE'!M10, 0) + IF(AND(A240&gt;='01_PRESUPUESTO_CRONOGRAMA_BASE'!K11, A240&lt;='01_PRESUPUESTO_CRONOGRAMA_BASE'!L11), '01_PRESUPUESTO_CRONOGRAMA_BASE'!M11, 0)</f>
        <v/>
      </c>
      <c r="F240" s="19">
        <f>SUMIFS(E$2:E240, C$2:C240, C240)</f>
        <v/>
      </c>
    </row>
    <row r="241" ht="19.95" customHeight="1">
      <c r="A241" s="4" t="n">
        <v>60</v>
      </c>
      <c r="B241" s="4" t="inlineStr">
        <is>
          <t>2026-09-29</t>
        </is>
      </c>
      <c r="C241" s="2" t="inlineStr">
        <is>
          <t>WBS-400</t>
        </is>
      </c>
      <c r="D241" s="3" t="inlineStr">
        <is>
          <t>Pruebas Hidráulicas, Desinfección y Entrega</t>
        </is>
      </c>
      <c r="E241" s="7">
        <f>IF(AND(A241&gt;='01_PRESUPUESTO_CRONOGRAMA_BASE'!K12, A241&lt;='01_PRESUPUESTO_CRONOGRAMA_BASE'!L12), '01_PRESUPUESTO_CRONOGRAMA_BASE'!M12, 0)</f>
        <v/>
      </c>
      <c r="F241" s="19">
        <f>SUMIFS(E$2:E241, C$2:C241, C241)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H5" sqref="H5"/>
    </sheetView>
  </sheetViews>
  <sheetFormatPr baseColWidth="10" defaultColWidth="8.88671875" defaultRowHeight="14.4"/>
  <cols>
    <col width="12" customWidth="1" min="1" max="2"/>
    <col width="14" customWidth="1" min="3" max="3"/>
    <col width="36" customWidth="1" min="4" max="4"/>
    <col width="15" customWidth="1" min="5" max="13"/>
    <col width="10" customWidth="1" min="14" max="15"/>
    <col width="18" customWidth="1" min="16" max="16"/>
  </cols>
  <sheetData>
    <row r="1" ht="36" customHeight="1">
      <c r="A1" s="20" t="inlineStr">
        <is>
          <t>N° Día Obra</t>
        </is>
      </c>
      <c r="B1" s="20" t="inlineStr">
        <is>
          <t>Fecha Obra</t>
        </is>
      </c>
      <c r="C1" s="20" t="inlineStr">
        <is>
          <t>Código WBS</t>
        </is>
      </c>
      <c r="D1" s="20" t="inlineStr">
        <is>
          <t>Nombre Frente WBS</t>
        </is>
      </c>
      <c r="E1" s="20" t="inlineStr">
        <is>
          <t>Presupuesto BAC (S/)</t>
        </is>
      </c>
      <c r="F1" s="20" t="inlineStr">
        <is>
          <t>PV Programado Día (S/)</t>
        </is>
      </c>
      <c r="G1" s="20" t="inlineStr">
        <is>
          <t>PV Acumulado (S/)</t>
        </is>
      </c>
      <c r="H1" s="20" t="inlineStr">
        <is>
          <t>EV Ejecutado Día (S/)</t>
        </is>
      </c>
      <c r="I1" s="20" t="inlineStr">
        <is>
          <t>EV Acumulado (S/)</t>
        </is>
      </c>
      <c r="J1" s="20" t="inlineStr">
        <is>
          <t>AC Costo Real Día (S/)</t>
        </is>
      </c>
      <c r="K1" s="20" t="inlineStr">
        <is>
          <t>AC Acumulado (S/)</t>
        </is>
      </c>
      <c r="L1" s="20" t="inlineStr">
        <is>
          <t>Variación Costo CV (S/)</t>
        </is>
      </c>
      <c r="M1" s="20" t="inlineStr">
        <is>
          <t>Variación Plazo SV (S/)</t>
        </is>
      </c>
      <c r="N1" s="20" t="inlineStr">
        <is>
          <t>SPI Plazo (EV/PV)</t>
        </is>
      </c>
      <c r="O1" s="20" t="inlineStr">
        <is>
          <t>CPI Costo (EV/AC)</t>
        </is>
      </c>
      <c r="P1" s="20" t="inlineStr">
        <is>
          <t>Estado Alerta WBS</t>
        </is>
      </c>
    </row>
    <row r="2" ht="19.95" customHeight="1">
      <c r="A2" s="4" t="n">
        <v>1</v>
      </c>
      <c r="B2" s="31" t="n">
        <v>46235</v>
      </c>
      <c r="C2" s="2" t="inlineStr">
        <is>
          <t>WBS-100</t>
        </is>
      </c>
      <c r="D2" s="3" t="inlineStr">
        <is>
          <t>Obras Preliminares, Trazo y Movilización</t>
        </is>
      </c>
      <c r="E2" s="6">
        <f>SUM('01_PRESUPUESTO_CRONOGRAMA_BASE'!G2:G3)</f>
        <v/>
      </c>
      <c r="F2" s="6">
        <f>SUMIFS('02_CRONOGRAMA_PV_DIARIO'!E:E, '02_CRONOGRAMA_PV_DIARIO'!A:A, A2, '02_CRONOGRAMA_PV_DIARIO'!C:C, C2)</f>
        <v/>
      </c>
      <c r="G2" s="6">
        <f>SUMIFS(F$2:F2, C$2:C2, C2)</f>
        <v/>
      </c>
      <c r="H2" s="6">
        <f>IF(B2 &gt; MAX('04_LOG_FIELD_ENTRIES'!$B:$B), "", SUMIFS('04_LOG_FIELD_ENTRIES'!$J:$J, '04_LOG_FIELD_ENTRIES'!$B:$B, B2, '04_LOG_FIELD_ENTRIES'!$D:$D, C2, '04_LOG_FIELD_ENTRIES'!$K:$K, "EV_PRODUCCION"))</f>
        <v/>
      </c>
      <c r="I2" s="6">
        <f>IF(B2 &gt; MAX('04_LOG_FIELD_ENTRIES'!$B:$B), "", SUMIFS(H$2:H2, C$2:C2, C2))</f>
        <v/>
      </c>
      <c r="J2" s="6">
        <f>IF(B2 &gt; MAX('04_LOG_FIELD_ENTRIES'!$B:$B), "", SUMIFS('04_LOG_FIELD_ENTRIES'!$J:$J, '04_LOG_FIELD_ENTRIES'!$B:$B, B2, '04_LOG_FIELD_ENTRIES'!$D:$D, C2, '04_LOG_FIELD_ENTRIES'!$K:$K, "AC_*"))</f>
        <v/>
      </c>
      <c r="K2" s="6">
        <f>IF(B2 &gt; MAX('04_LOG_FIELD_ENTRIES'!$B:$B), "", SUMIFS(J$2:J2, C$2:C2, C2))</f>
        <v/>
      </c>
      <c r="L2" s="6">
        <f>IF(K2="", "", I2-K2)</f>
        <v/>
      </c>
      <c r="M2" s="6">
        <f>IF(I2="", "", I2-G2)</f>
        <v/>
      </c>
      <c r="N2" s="21">
        <f>IF(I2="", "", IF(G2&gt;0, I2/G2, 1))</f>
        <v/>
      </c>
      <c r="O2" s="21">
        <f>IF(I2="", "", IF(K2&gt;0, I2/K2, 1))</f>
        <v/>
      </c>
      <c r="P2" s="2">
        <f>IF(I2="", "", IF(AND(N2&gt;=0.95, O2&gt;=0.95), "SALUDABLE", IF(N2&lt;0.9, "ALERTA RETRASO", "ALERTA SOBRECOSTO")))</f>
        <v/>
      </c>
    </row>
    <row r="3" ht="19.95" customHeight="1">
      <c r="A3" s="4" t="n">
        <v>1</v>
      </c>
      <c r="B3" s="31" t="n">
        <v>46235</v>
      </c>
      <c r="C3" s="2" t="inlineStr">
        <is>
          <t>WBS-200</t>
        </is>
      </c>
      <c r="D3" s="3" t="inlineStr">
        <is>
          <t>Red de Alcantarillado, Zanjas y Buzones</t>
        </is>
      </c>
      <c r="E3" s="6">
        <f>SUM('01_PRESUPUESTO_CRONOGRAMA_BASE'!G4:G9)</f>
        <v/>
      </c>
      <c r="F3" s="6">
        <f>SUMIFS('02_CRONOGRAMA_PV_DIARIO'!E:E, '02_CRONOGRAMA_PV_DIARIO'!A:A, A3, '02_CRONOGRAMA_PV_DIARIO'!C:C, C3)</f>
        <v/>
      </c>
      <c r="G3" s="6">
        <f>SUMIFS(F$2:F3, C$2:C3, C3)</f>
        <v/>
      </c>
      <c r="H3" s="6">
        <f>IF(B3 &gt; MAX('04_LOG_FIELD_ENTRIES'!$B:$B), "", SUMIFS('04_LOG_FIELD_ENTRIES'!$J:$J, '04_LOG_FIELD_ENTRIES'!$B:$B, B3, '04_LOG_FIELD_ENTRIES'!$D:$D, C3, '04_LOG_FIELD_ENTRIES'!$K:$K, "EV_PRODUCCION"))</f>
        <v/>
      </c>
      <c r="I3" s="6">
        <f>IF(B3 &gt; MAX('04_LOG_FIELD_ENTRIES'!$B:$B), "", SUMIFS(H$2:H3, C$2:C3, C3))</f>
        <v/>
      </c>
      <c r="J3" s="6">
        <f>IF(B3 &gt; MAX('04_LOG_FIELD_ENTRIES'!$B:$B), "", SUMIFS('04_LOG_FIELD_ENTRIES'!$J:$J, '04_LOG_FIELD_ENTRIES'!$B:$B, B3, '04_LOG_FIELD_ENTRIES'!$D:$D, C3, '04_LOG_FIELD_ENTRIES'!$K:$K, "AC_*"))</f>
        <v/>
      </c>
      <c r="K3" s="6">
        <f>IF(B3 &gt; MAX('04_LOG_FIELD_ENTRIES'!$B:$B), "", SUMIFS(J$2:J3, C$2:C3, C3))</f>
        <v/>
      </c>
      <c r="L3" s="6">
        <f>IF(K3="", "", I3-K3)</f>
        <v/>
      </c>
      <c r="M3" s="6">
        <f>IF(I3="", "", I3-G3)</f>
        <v/>
      </c>
      <c r="N3" s="21">
        <f>IF(I3="", "", IF(G3&gt;0, I3/G3, 1))</f>
        <v/>
      </c>
      <c r="O3" s="21">
        <f>IF(I3="", "", IF(K3&gt;0, I3/K3, 1))</f>
        <v/>
      </c>
      <c r="P3" s="2">
        <f>IF(I3="", "", IF(AND(N3&gt;=0.95, O3&gt;=0.95), "SALUDABLE", IF(N3&lt;0.9, "ALERTA RETRASO", "ALERTA SOBRECOSTO")))</f>
        <v/>
      </c>
    </row>
    <row r="4" ht="19.95" customHeight="1">
      <c r="A4" s="4" t="n">
        <v>1</v>
      </c>
      <c r="B4" s="31" t="n">
        <v>46235</v>
      </c>
      <c r="C4" s="2" t="inlineStr">
        <is>
          <t>WBS-300</t>
        </is>
      </c>
      <c r="D4" s="3" t="inlineStr">
        <is>
          <t>Red de Agua Potable y Conexiones Domiciliarias</t>
        </is>
      </c>
      <c r="E4" s="6">
        <f>SUM('01_PRESUPUESTO_CRONOGRAMA_BASE'!G10:G11)</f>
        <v/>
      </c>
      <c r="F4" s="6">
        <f>SUMIFS('02_CRONOGRAMA_PV_DIARIO'!E:E, '02_CRONOGRAMA_PV_DIARIO'!A:A, A4, '02_CRONOGRAMA_PV_DIARIO'!C:C, C4)</f>
        <v/>
      </c>
      <c r="G4" s="6">
        <f>SUMIFS(F$2:F4, C$2:C4, C4)</f>
        <v/>
      </c>
      <c r="H4" s="6">
        <f>IF(B4 &gt; MAX('04_LOG_FIELD_ENTRIES'!$B:$B), "", SUMIFS('04_LOG_FIELD_ENTRIES'!$J:$J, '04_LOG_FIELD_ENTRIES'!$B:$B, B4, '04_LOG_FIELD_ENTRIES'!$D:$D, C4, '04_LOG_FIELD_ENTRIES'!$K:$K, "EV_PRODUCCION"))</f>
        <v/>
      </c>
      <c r="I4" s="6">
        <f>IF(B4 &gt; MAX('04_LOG_FIELD_ENTRIES'!$B:$B), "", SUMIFS(H$2:H4, C$2:C4, C4))</f>
        <v/>
      </c>
      <c r="J4" s="6">
        <f>IF(B4 &gt; MAX('04_LOG_FIELD_ENTRIES'!$B:$B), "", SUMIFS('04_LOG_FIELD_ENTRIES'!$J:$J, '04_LOG_FIELD_ENTRIES'!$B:$B, B4, '04_LOG_FIELD_ENTRIES'!$D:$D, C4, '04_LOG_FIELD_ENTRIES'!$K:$K, "AC_*"))</f>
        <v/>
      </c>
      <c r="K4" s="6">
        <f>IF(B4 &gt; MAX('04_LOG_FIELD_ENTRIES'!$B:$B), "", SUMIFS(J$2:J4, C$2:C4, C4))</f>
        <v/>
      </c>
      <c r="L4" s="6">
        <f>IF(K4="", "", I4-K4)</f>
        <v/>
      </c>
      <c r="M4" s="6">
        <f>IF(I4="", "", I4-G4)</f>
        <v/>
      </c>
      <c r="N4" s="21">
        <f>IF(I4="", "", IF(G4&gt;0, I4/G4, 1))</f>
        <v/>
      </c>
      <c r="O4" s="21">
        <f>IF(I4="", "", IF(K4&gt;0, I4/K4, 1))</f>
        <v/>
      </c>
      <c r="P4" s="2">
        <f>IF(I4="", "", IF(AND(N4&gt;=0.95, O4&gt;=0.95), "SALUDABLE", IF(N4&lt;0.9, "ALERTA RETRASO", "ALERTA SOBRECOSTO")))</f>
        <v/>
      </c>
    </row>
    <row r="5" ht="19.95" customHeight="1">
      <c r="A5" s="4" t="n">
        <v>1</v>
      </c>
      <c r="B5" s="31" t="n">
        <v>46235</v>
      </c>
      <c r="C5" s="2" t="inlineStr">
        <is>
          <t>WBS-400</t>
        </is>
      </c>
      <c r="D5" s="3" t="inlineStr">
        <is>
          <t>Pruebas Hidráulicas, Desinfección y Entrega</t>
        </is>
      </c>
      <c r="E5" s="6">
        <f>SUM('01_PRESUPUESTO_CRONOGRAMA_BASE'!G12:G12)</f>
        <v/>
      </c>
      <c r="F5" s="6">
        <f>SUMIFS('02_CRONOGRAMA_PV_DIARIO'!E:E, '02_CRONOGRAMA_PV_DIARIO'!A:A, A5, '02_CRONOGRAMA_PV_DIARIO'!C:C, C5)</f>
        <v/>
      </c>
      <c r="G5" s="6">
        <f>SUMIFS(F$2:F5, C$2:C5, C5)</f>
        <v/>
      </c>
      <c r="H5" s="6">
        <f>IF(B5 &gt; MAX('04_LOG_FIELD_ENTRIES'!$B:$B), "", SUMIFS('04_LOG_FIELD_ENTRIES'!$J:$J, '04_LOG_FIELD_ENTRIES'!$B:$B, B5, '04_LOG_FIELD_ENTRIES'!$D:$D, C5, '04_LOG_FIELD_ENTRIES'!$K:$K, "EV_PRODUCCION"))</f>
        <v/>
      </c>
      <c r="I5" s="6">
        <f>IF(B5 &gt; MAX('04_LOG_FIELD_ENTRIES'!$B:$B), "", SUMIFS(H$2:H5, C$2:C5, C5))</f>
        <v/>
      </c>
      <c r="J5" s="6">
        <f>IF(B5 &gt; MAX('04_LOG_FIELD_ENTRIES'!$B:$B), "", SUMIFS('04_LOG_FIELD_ENTRIES'!$J:$J, '04_LOG_FIELD_ENTRIES'!$B:$B, B5, '04_LOG_FIELD_ENTRIES'!$D:$D, C5, '04_LOG_FIELD_ENTRIES'!$K:$K, "AC_*"))</f>
        <v/>
      </c>
      <c r="K5" s="6">
        <f>IF(B5 &gt; MAX('04_LOG_FIELD_ENTRIES'!$B:$B), "", SUMIFS(J$2:J5, C$2:C5, C5))</f>
        <v/>
      </c>
      <c r="L5" s="6">
        <f>IF(K5="", "", I5-K5)</f>
        <v/>
      </c>
      <c r="M5" s="6">
        <f>IF(I5="", "", I5-G5)</f>
        <v/>
      </c>
      <c r="N5" s="21">
        <f>IF(I5="", "", IF(G5&gt;0, I5/G5, 1))</f>
        <v/>
      </c>
      <c r="O5" s="21">
        <f>IF(I5="", "", IF(K5&gt;0, I5/K5, 1))</f>
        <v/>
      </c>
      <c r="P5" s="2">
        <f>IF(I5="", "", IF(AND(N5&gt;=0.95, O5&gt;=0.95), "SALUDABLE", IF(N5&lt;0.9, "ALERTA RETRASO", "ALERTA SOBRECOSTO")))</f>
        <v/>
      </c>
    </row>
    <row r="6" ht="19.95" customHeight="1">
      <c r="A6" s="4" t="n">
        <v>2</v>
      </c>
      <c r="B6" s="31" t="n">
        <v>46236</v>
      </c>
      <c r="C6" s="2" t="inlineStr">
        <is>
          <t>WBS-100</t>
        </is>
      </c>
      <c r="D6" s="3" t="inlineStr">
        <is>
          <t>Obras Preliminares, Trazo y Movilización</t>
        </is>
      </c>
      <c r="E6" s="6">
        <f>SUM('01_PRESUPUESTO_CRONOGRAMA_BASE'!G2:G3)</f>
        <v/>
      </c>
      <c r="F6" s="6">
        <f>SUMIFS('02_CRONOGRAMA_PV_DIARIO'!E:E, '02_CRONOGRAMA_PV_DIARIO'!A:A, A6, '02_CRONOGRAMA_PV_DIARIO'!C:C, C6)</f>
        <v/>
      </c>
      <c r="G6" s="6">
        <f>SUMIFS(F$2:F6, C$2:C6, C6)</f>
        <v/>
      </c>
      <c r="H6" s="6">
        <f>IF(B6 &gt; MAX('04_LOG_FIELD_ENTRIES'!$B:$B), "", SUMIFS('04_LOG_FIELD_ENTRIES'!$J:$J, '04_LOG_FIELD_ENTRIES'!$B:$B, B6, '04_LOG_FIELD_ENTRIES'!$D:$D, C6, '04_LOG_FIELD_ENTRIES'!$K:$K, "EV_PRODUCCION"))</f>
        <v/>
      </c>
      <c r="I6" s="6">
        <f>IF(B6 &gt; MAX('04_LOG_FIELD_ENTRIES'!$B:$B), "", SUMIFS(H$2:H6, C$2:C6, C6))</f>
        <v/>
      </c>
      <c r="J6" s="6">
        <f>IF(B6 &gt; MAX('04_LOG_FIELD_ENTRIES'!$B:$B), "", SUMIFS('04_LOG_FIELD_ENTRIES'!$J:$J, '04_LOG_FIELD_ENTRIES'!$B:$B, B6, '04_LOG_FIELD_ENTRIES'!$D:$D, C6, '04_LOG_FIELD_ENTRIES'!$K:$K, "AC_*"))</f>
        <v/>
      </c>
      <c r="K6" s="6">
        <f>IF(B6 &gt; MAX('04_LOG_FIELD_ENTRIES'!$B:$B), "", SUMIFS(J$2:J6, C$2:C6, C6))</f>
        <v/>
      </c>
      <c r="L6" s="6">
        <f>IF(K6="", "", I6-K6)</f>
        <v/>
      </c>
      <c r="M6" s="6">
        <f>IF(I6="", "", I6-G6)</f>
        <v/>
      </c>
      <c r="N6" s="21">
        <f>IF(I6="", "", IF(G6&gt;0, I6/G6, 1))</f>
        <v/>
      </c>
      <c r="O6" s="21">
        <f>IF(I6="", "", IF(K6&gt;0, I6/K6, 1))</f>
        <v/>
      </c>
      <c r="P6" s="2">
        <f>IF(I6="", "", IF(AND(N6&gt;=0.95, O6&gt;=0.95), "SALUDABLE", IF(N6&lt;0.9, "ALERTA RETRASO", "ALERTA SOBRECOSTO")))</f>
        <v/>
      </c>
    </row>
    <row r="7" ht="19.95" customHeight="1">
      <c r="A7" s="4" t="n">
        <v>2</v>
      </c>
      <c r="B7" s="31" t="n">
        <v>46236</v>
      </c>
      <c r="C7" s="2" t="inlineStr">
        <is>
          <t>WBS-200</t>
        </is>
      </c>
      <c r="D7" s="3" t="inlineStr">
        <is>
          <t>Red de Alcantarillado, Zanjas y Buzones</t>
        </is>
      </c>
      <c r="E7" s="6">
        <f>SUM('01_PRESUPUESTO_CRONOGRAMA_BASE'!G4:G9)</f>
        <v/>
      </c>
      <c r="F7" s="6">
        <f>SUMIFS('02_CRONOGRAMA_PV_DIARIO'!E:E, '02_CRONOGRAMA_PV_DIARIO'!A:A, A7, '02_CRONOGRAMA_PV_DIARIO'!C:C, C7)</f>
        <v/>
      </c>
      <c r="G7" s="6">
        <f>SUMIFS(F$2:F7, C$2:C7, C7)</f>
        <v/>
      </c>
      <c r="H7" s="6">
        <f>IF(B7 &gt; MAX('04_LOG_FIELD_ENTRIES'!$B:$B), "", SUMIFS('04_LOG_FIELD_ENTRIES'!$J:$J, '04_LOG_FIELD_ENTRIES'!$B:$B, B7, '04_LOG_FIELD_ENTRIES'!$D:$D, C7, '04_LOG_FIELD_ENTRIES'!$K:$K, "EV_PRODUCCION"))</f>
        <v/>
      </c>
      <c r="I7" s="6">
        <f>IF(B7 &gt; MAX('04_LOG_FIELD_ENTRIES'!$B:$B), "", SUMIFS(H$2:H7, C$2:C7, C7))</f>
        <v/>
      </c>
      <c r="J7" s="6">
        <f>IF(B7 &gt; MAX('04_LOG_FIELD_ENTRIES'!$B:$B), "", SUMIFS('04_LOG_FIELD_ENTRIES'!$J:$J, '04_LOG_FIELD_ENTRIES'!$B:$B, B7, '04_LOG_FIELD_ENTRIES'!$D:$D, C7, '04_LOG_FIELD_ENTRIES'!$K:$K, "AC_*"))</f>
        <v/>
      </c>
      <c r="K7" s="6">
        <f>IF(B7 &gt; MAX('04_LOG_FIELD_ENTRIES'!$B:$B), "", SUMIFS(J$2:J7, C$2:C7, C7))</f>
        <v/>
      </c>
      <c r="L7" s="6">
        <f>IF(K7="", "", I7-K7)</f>
        <v/>
      </c>
      <c r="M7" s="6">
        <f>IF(I7="", "", I7-G7)</f>
        <v/>
      </c>
      <c r="N7" s="21">
        <f>IF(I7="", "", IF(G7&gt;0, I7/G7, 1))</f>
        <v/>
      </c>
      <c r="O7" s="21">
        <f>IF(I7="", "", IF(K7&gt;0, I7/K7, 1))</f>
        <v/>
      </c>
      <c r="P7" s="2">
        <f>IF(I7="", "", IF(AND(N7&gt;=0.95, O7&gt;=0.95), "SALUDABLE", IF(N7&lt;0.9, "ALERTA RETRASO", "ALERTA SOBRECOSTO")))</f>
        <v/>
      </c>
    </row>
    <row r="8" ht="19.95" customHeight="1">
      <c r="A8" s="4" t="n">
        <v>2</v>
      </c>
      <c r="B8" s="31" t="n">
        <v>46236</v>
      </c>
      <c r="C8" s="2" t="inlineStr">
        <is>
          <t>WBS-300</t>
        </is>
      </c>
      <c r="D8" s="3" t="inlineStr">
        <is>
          <t>Red de Agua Potable y Conexiones Domiciliarias</t>
        </is>
      </c>
      <c r="E8" s="6">
        <f>SUM('01_PRESUPUESTO_CRONOGRAMA_BASE'!G10:G11)</f>
        <v/>
      </c>
      <c r="F8" s="6">
        <f>SUMIFS('02_CRONOGRAMA_PV_DIARIO'!E:E, '02_CRONOGRAMA_PV_DIARIO'!A:A, A8, '02_CRONOGRAMA_PV_DIARIO'!C:C, C8)</f>
        <v/>
      </c>
      <c r="G8" s="6">
        <f>SUMIFS(F$2:F8, C$2:C8, C8)</f>
        <v/>
      </c>
      <c r="H8" s="6">
        <f>IF(B8 &gt; MAX('04_LOG_FIELD_ENTRIES'!$B:$B), "", SUMIFS('04_LOG_FIELD_ENTRIES'!$J:$J, '04_LOG_FIELD_ENTRIES'!$B:$B, B8, '04_LOG_FIELD_ENTRIES'!$D:$D, C8, '04_LOG_FIELD_ENTRIES'!$K:$K, "EV_PRODUCCION"))</f>
        <v/>
      </c>
      <c r="I8" s="6">
        <f>IF(B8 &gt; MAX('04_LOG_FIELD_ENTRIES'!$B:$B), "", SUMIFS(H$2:H8, C$2:C8, C8))</f>
        <v/>
      </c>
      <c r="J8" s="6">
        <f>IF(B8 &gt; MAX('04_LOG_FIELD_ENTRIES'!$B:$B), "", SUMIFS('04_LOG_FIELD_ENTRIES'!$J:$J, '04_LOG_FIELD_ENTRIES'!$B:$B, B8, '04_LOG_FIELD_ENTRIES'!$D:$D, C8, '04_LOG_FIELD_ENTRIES'!$K:$K, "AC_*"))</f>
        <v/>
      </c>
      <c r="K8" s="6">
        <f>IF(B8 &gt; MAX('04_LOG_FIELD_ENTRIES'!$B:$B), "", SUMIFS(J$2:J8, C$2:C8, C8))</f>
        <v/>
      </c>
      <c r="L8" s="6">
        <f>IF(K8="", "", I8-K8)</f>
        <v/>
      </c>
      <c r="M8" s="6">
        <f>IF(I8="", "", I8-G8)</f>
        <v/>
      </c>
      <c r="N8" s="21">
        <f>IF(I8="", "", IF(G8&gt;0, I8/G8, 1))</f>
        <v/>
      </c>
      <c r="O8" s="21">
        <f>IF(I8="", "", IF(K8&gt;0, I8/K8, 1))</f>
        <v/>
      </c>
      <c r="P8" s="2">
        <f>IF(I8="", "", IF(AND(N8&gt;=0.95, O8&gt;=0.95), "SALUDABLE", IF(N8&lt;0.9, "ALERTA RETRASO", "ALERTA SOBRECOSTO")))</f>
        <v/>
      </c>
    </row>
    <row r="9" ht="19.95" customHeight="1">
      <c r="A9" s="4" t="n">
        <v>2</v>
      </c>
      <c r="B9" s="31" t="n">
        <v>46236</v>
      </c>
      <c r="C9" s="2" t="inlineStr">
        <is>
          <t>WBS-400</t>
        </is>
      </c>
      <c r="D9" s="3" t="inlineStr">
        <is>
          <t>Pruebas Hidráulicas, Desinfección y Entrega</t>
        </is>
      </c>
      <c r="E9" s="6">
        <f>SUM('01_PRESUPUESTO_CRONOGRAMA_BASE'!G12:G12)</f>
        <v/>
      </c>
      <c r="F9" s="6">
        <f>SUMIFS('02_CRONOGRAMA_PV_DIARIO'!E:E, '02_CRONOGRAMA_PV_DIARIO'!A:A, A9, '02_CRONOGRAMA_PV_DIARIO'!C:C, C9)</f>
        <v/>
      </c>
      <c r="G9" s="6">
        <f>SUMIFS(F$2:F9, C$2:C9, C9)</f>
        <v/>
      </c>
      <c r="H9" s="6">
        <f>IF(B9 &gt; MAX('04_LOG_FIELD_ENTRIES'!$B:$B), "", SUMIFS('04_LOG_FIELD_ENTRIES'!$J:$J, '04_LOG_FIELD_ENTRIES'!$B:$B, B9, '04_LOG_FIELD_ENTRIES'!$D:$D, C9, '04_LOG_FIELD_ENTRIES'!$K:$K, "EV_PRODUCCION"))</f>
        <v/>
      </c>
      <c r="I9" s="6">
        <f>IF(B9 &gt; MAX('04_LOG_FIELD_ENTRIES'!$B:$B), "", SUMIFS(H$2:H9, C$2:C9, C9))</f>
        <v/>
      </c>
      <c r="J9" s="6">
        <f>IF(B9 &gt; MAX('04_LOG_FIELD_ENTRIES'!$B:$B), "", SUMIFS('04_LOG_FIELD_ENTRIES'!$J:$J, '04_LOG_FIELD_ENTRIES'!$B:$B, B9, '04_LOG_FIELD_ENTRIES'!$D:$D, C9, '04_LOG_FIELD_ENTRIES'!$K:$K, "AC_*"))</f>
        <v/>
      </c>
      <c r="K9" s="6">
        <f>IF(B9 &gt; MAX('04_LOG_FIELD_ENTRIES'!$B:$B), "", SUMIFS(J$2:J9, C$2:C9, C9))</f>
        <v/>
      </c>
      <c r="L9" s="6">
        <f>IF(K9="", "", I9-K9)</f>
        <v/>
      </c>
      <c r="M9" s="6">
        <f>IF(I9="", "", I9-G9)</f>
        <v/>
      </c>
      <c r="N9" s="21">
        <f>IF(I9="", "", IF(G9&gt;0, I9/G9, 1))</f>
        <v/>
      </c>
      <c r="O9" s="21">
        <f>IF(I9="", "", IF(K9&gt;0, I9/K9, 1))</f>
        <v/>
      </c>
      <c r="P9" s="2">
        <f>IF(I9="", "", IF(AND(N9&gt;=0.95, O9&gt;=0.95), "SALUDABLE", IF(N9&lt;0.9, "ALERTA RETRASO", "ALERTA SOBRECOSTO")))</f>
        <v/>
      </c>
    </row>
    <row r="10" ht="19.95" customHeight="1">
      <c r="A10" s="4" t="n">
        <v>3</v>
      </c>
      <c r="B10" s="31" t="n">
        <v>46237</v>
      </c>
      <c r="C10" s="2" t="inlineStr">
        <is>
          <t>WBS-100</t>
        </is>
      </c>
      <c r="D10" s="3" t="inlineStr">
        <is>
          <t>Obras Preliminares, Trazo y Movilización</t>
        </is>
      </c>
      <c r="E10" s="6">
        <f>SUM('01_PRESUPUESTO_CRONOGRAMA_BASE'!G2:G3)</f>
        <v/>
      </c>
      <c r="F10" s="6">
        <f>SUMIFS('02_CRONOGRAMA_PV_DIARIO'!E:E, '02_CRONOGRAMA_PV_DIARIO'!A:A, A10, '02_CRONOGRAMA_PV_DIARIO'!C:C, C10)</f>
        <v/>
      </c>
      <c r="G10" s="6">
        <f>SUMIFS(F$2:F10, C$2:C10, C10)</f>
        <v/>
      </c>
      <c r="H10" s="6">
        <f>IF(B10 &gt; MAX('04_LOG_FIELD_ENTRIES'!$B:$B), "", SUMIFS('04_LOG_FIELD_ENTRIES'!$J:$J, '04_LOG_FIELD_ENTRIES'!$B:$B, B10, '04_LOG_FIELD_ENTRIES'!$D:$D, C10, '04_LOG_FIELD_ENTRIES'!$K:$K, "EV_PRODUCCION"))</f>
        <v/>
      </c>
      <c r="I10" s="6">
        <f>IF(B10 &gt; MAX('04_LOG_FIELD_ENTRIES'!$B:$B), "", SUMIFS(H$2:H10, C$2:C10, C10))</f>
        <v/>
      </c>
      <c r="J10" s="6">
        <f>IF(B10 &gt; MAX('04_LOG_FIELD_ENTRIES'!$B:$B), "", SUMIFS('04_LOG_FIELD_ENTRIES'!$J:$J, '04_LOG_FIELD_ENTRIES'!$B:$B, B10, '04_LOG_FIELD_ENTRIES'!$D:$D, C10, '04_LOG_FIELD_ENTRIES'!$K:$K, "AC_*"))</f>
        <v/>
      </c>
      <c r="K10" s="6">
        <f>IF(B10 &gt; MAX('04_LOG_FIELD_ENTRIES'!$B:$B), "", SUMIFS(J$2:J10, C$2:C10, C10))</f>
        <v/>
      </c>
      <c r="L10" s="6">
        <f>IF(K10="", "", I10-K10)</f>
        <v/>
      </c>
      <c r="M10" s="6">
        <f>IF(I10="", "", I10-G10)</f>
        <v/>
      </c>
      <c r="N10" s="21">
        <f>IF(I10="", "", IF(G10&gt;0, I10/G10, 1))</f>
        <v/>
      </c>
      <c r="O10" s="21">
        <f>IF(I10="", "", IF(K10&gt;0, I10/K10, 1))</f>
        <v/>
      </c>
      <c r="P10" s="2">
        <f>IF(I10="", "", IF(AND(N10&gt;=0.95, O10&gt;=0.95), "SALUDABLE", IF(N10&lt;0.9, "ALERTA RETRASO", "ALERTA SOBRECOSTO")))</f>
        <v/>
      </c>
    </row>
    <row r="11" ht="19.95" customHeight="1">
      <c r="A11" s="4" t="n">
        <v>3</v>
      </c>
      <c r="B11" s="31" t="n">
        <v>46237</v>
      </c>
      <c r="C11" s="2" t="inlineStr">
        <is>
          <t>WBS-200</t>
        </is>
      </c>
      <c r="D11" s="3" t="inlineStr">
        <is>
          <t>Red de Alcantarillado, Zanjas y Buzones</t>
        </is>
      </c>
      <c r="E11" s="6">
        <f>SUM('01_PRESUPUESTO_CRONOGRAMA_BASE'!G4:G9)</f>
        <v/>
      </c>
      <c r="F11" s="6">
        <f>SUMIFS('02_CRONOGRAMA_PV_DIARIO'!E:E, '02_CRONOGRAMA_PV_DIARIO'!A:A, A11, '02_CRONOGRAMA_PV_DIARIO'!C:C, C11)</f>
        <v/>
      </c>
      <c r="G11" s="6">
        <f>SUMIFS(F$2:F11, C$2:C11, C11)</f>
        <v/>
      </c>
      <c r="H11" s="6">
        <f>IF(B11 &gt; MAX('04_LOG_FIELD_ENTRIES'!$B:$B), "", SUMIFS('04_LOG_FIELD_ENTRIES'!$J:$J, '04_LOG_FIELD_ENTRIES'!$B:$B, B11, '04_LOG_FIELD_ENTRIES'!$D:$D, C11, '04_LOG_FIELD_ENTRIES'!$K:$K, "EV_PRODUCCION"))</f>
        <v/>
      </c>
      <c r="I11" s="6">
        <f>IF(B11 &gt; MAX('04_LOG_FIELD_ENTRIES'!$B:$B), "", SUMIFS(H$2:H11, C$2:C11, C11))</f>
        <v/>
      </c>
      <c r="J11" s="6">
        <f>IF(B11 &gt; MAX('04_LOG_FIELD_ENTRIES'!$B:$B), "", SUMIFS('04_LOG_FIELD_ENTRIES'!$J:$J, '04_LOG_FIELD_ENTRIES'!$B:$B, B11, '04_LOG_FIELD_ENTRIES'!$D:$D, C11, '04_LOG_FIELD_ENTRIES'!$K:$K, "AC_*"))</f>
        <v/>
      </c>
      <c r="K11" s="6">
        <f>IF(B11 &gt; MAX('04_LOG_FIELD_ENTRIES'!$B:$B), "", SUMIFS(J$2:J11, C$2:C11, C11))</f>
        <v/>
      </c>
      <c r="L11" s="6">
        <f>IF(K11="", "", I11-K11)</f>
        <v/>
      </c>
      <c r="M11" s="6">
        <f>IF(I11="", "", I11-G11)</f>
        <v/>
      </c>
      <c r="N11" s="21">
        <f>IF(I11="", "", IF(G11&gt;0, I11/G11, 1))</f>
        <v/>
      </c>
      <c r="O11" s="21">
        <f>IF(I11="", "", IF(K11&gt;0, I11/K11, 1))</f>
        <v/>
      </c>
      <c r="P11" s="2">
        <f>IF(I11="", "", IF(AND(N11&gt;=0.95, O11&gt;=0.95), "SALUDABLE", IF(N11&lt;0.9, "ALERTA RETRASO", "ALERTA SOBRECOSTO")))</f>
        <v/>
      </c>
    </row>
    <row r="12" ht="19.95" customHeight="1">
      <c r="A12" s="4" t="n">
        <v>3</v>
      </c>
      <c r="B12" s="31" t="n">
        <v>46237</v>
      </c>
      <c r="C12" s="2" t="inlineStr">
        <is>
          <t>WBS-300</t>
        </is>
      </c>
      <c r="D12" s="3" t="inlineStr">
        <is>
          <t>Red de Agua Potable y Conexiones Domiciliarias</t>
        </is>
      </c>
      <c r="E12" s="6">
        <f>SUM('01_PRESUPUESTO_CRONOGRAMA_BASE'!G10:G11)</f>
        <v/>
      </c>
      <c r="F12" s="6">
        <f>SUMIFS('02_CRONOGRAMA_PV_DIARIO'!E:E, '02_CRONOGRAMA_PV_DIARIO'!A:A, A12, '02_CRONOGRAMA_PV_DIARIO'!C:C, C12)</f>
        <v/>
      </c>
      <c r="G12" s="6">
        <f>SUMIFS(F$2:F12, C$2:C12, C12)</f>
        <v/>
      </c>
      <c r="H12" s="6">
        <f>IF(B12 &gt; MAX('04_LOG_FIELD_ENTRIES'!$B:$B), "", SUMIFS('04_LOG_FIELD_ENTRIES'!$J:$J, '04_LOG_FIELD_ENTRIES'!$B:$B, B12, '04_LOG_FIELD_ENTRIES'!$D:$D, C12, '04_LOG_FIELD_ENTRIES'!$K:$K, "EV_PRODUCCION"))</f>
        <v/>
      </c>
      <c r="I12" s="6">
        <f>IF(B12 &gt; MAX('04_LOG_FIELD_ENTRIES'!$B:$B), "", SUMIFS(H$2:H12, C$2:C12, C12))</f>
        <v/>
      </c>
      <c r="J12" s="6">
        <f>IF(B12 &gt; MAX('04_LOG_FIELD_ENTRIES'!$B:$B), "", SUMIFS('04_LOG_FIELD_ENTRIES'!$J:$J, '04_LOG_FIELD_ENTRIES'!$B:$B, B12, '04_LOG_FIELD_ENTRIES'!$D:$D, C12, '04_LOG_FIELD_ENTRIES'!$K:$K, "AC_*"))</f>
        <v/>
      </c>
      <c r="K12" s="6">
        <f>IF(B12 &gt; MAX('04_LOG_FIELD_ENTRIES'!$B:$B), "", SUMIFS(J$2:J12, C$2:C12, C12))</f>
        <v/>
      </c>
      <c r="L12" s="6">
        <f>IF(K12="", "", I12-K12)</f>
        <v/>
      </c>
      <c r="M12" s="6">
        <f>IF(I12="", "", I12-G12)</f>
        <v/>
      </c>
      <c r="N12" s="21">
        <f>IF(I12="", "", IF(G12&gt;0, I12/G12, 1))</f>
        <v/>
      </c>
      <c r="O12" s="21">
        <f>IF(I12="", "", IF(K12&gt;0, I12/K12, 1))</f>
        <v/>
      </c>
      <c r="P12" s="2">
        <f>IF(I12="", "", IF(AND(N12&gt;=0.95, O12&gt;=0.95), "SALUDABLE", IF(N12&lt;0.9, "ALERTA RETRASO", "ALERTA SOBRECOSTO")))</f>
        <v/>
      </c>
    </row>
    <row r="13" ht="19.95" customHeight="1">
      <c r="A13" s="4" t="n">
        <v>3</v>
      </c>
      <c r="B13" s="31" t="n">
        <v>46237</v>
      </c>
      <c r="C13" s="2" t="inlineStr">
        <is>
          <t>WBS-400</t>
        </is>
      </c>
      <c r="D13" s="3" t="inlineStr">
        <is>
          <t>Pruebas Hidráulicas, Desinfección y Entrega</t>
        </is>
      </c>
      <c r="E13" s="6">
        <f>SUM('01_PRESUPUESTO_CRONOGRAMA_BASE'!G12:G12)</f>
        <v/>
      </c>
      <c r="F13" s="6">
        <f>SUMIFS('02_CRONOGRAMA_PV_DIARIO'!E:E, '02_CRONOGRAMA_PV_DIARIO'!A:A, A13, '02_CRONOGRAMA_PV_DIARIO'!C:C, C13)</f>
        <v/>
      </c>
      <c r="G13" s="6">
        <f>SUMIFS(F$2:F13, C$2:C13, C13)</f>
        <v/>
      </c>
      <c r="H13" s="6">
        <f>IF(B13 &gt; MAX('04_LOG_FIELD_ENTRIES'!$B:$B), "", SUMIFS('04_LOG_FIELD_ENTRIES'!$J:$J, '04_LOG_FIELD_ENTRIES'!$B:$B, B13, '04_LOG_FIELD_ENTRIES'!$D:$D, C13, '04_LOG_FIELD_ENTRIES'!$K:$K, "EV_PRODUCCION"))</f>
        <v/>
      </c>
      <c r="I13" s="6">
        <f>IF(B13 &gt; MAX('04_LOG_FIELD_ENTRIES'!$B:$B), "", SUMIFS(H$2:H13, C$2:C13, C13))</f>
        <v/>
      </c>
      <c r="J13" s="6">
        <f>IF(B13 &gt; MAX('04_LOG_FIELD_ENTRIES'!$B:$B), "", SUMIFS('04_LOG_FIELD_ENTRIES'!$J:$J, '04_LOG_FIELD_ENTRIES'!$B:$B, B13, '04_LOG_FIELD_ENTRIES'!$D:$D, C13, '04_LOG_FIELD_ENTRIES'!$K:$K, "AC_*"))</f>
        <v/>
      </c>
      <c r="K13" s="6">
        <f>IF(B13 &gt; MAX('04_LOG_FIELD_ENTRIES'!$B:$B), "", SUMIFS(J$2:J13, C$2:C13, C13))</f>
        <v/>
      </c>
      <c r="L13" s="6">
        <f>IF(K13="", "", I13-K13)</f>
        <v/>
      </c>
      <c r="M13" s="6">
        <f>IF(I13="", "", I13-G13)</f>
        <v/>
      </c>
      <c r="N13" s="21">
        <f>IF(I13="", "", IF(G13&gt;0, I13/G13, 1))</f>
        <v/>
      </c>
      <c r="O13" s="21">
        <f>IF(I13="", "", IF(K13&gt;0, I13/K13, 1))</f>
        <v/>
      </c>
      <c r="P13" s="2">
        <f>IF(I13="", "", IF(AND(N13&gt;=0.95, O13&gt;=0.95), "SALUDABLE", IF(N13&lt;0.9, "ALERTA RETRASO", "ALERTA SOBRECOSTO")))</f>
        <v/>
      </c>
    </row>
    <row r="14" ht="19.95" customHeight="1">
      <c r="A14" s="4" t="n">
        <v>4</v>
      </c>
      <c r="B14" s="31" t="n">
        <v>46238</v>
      </c>
      <c r="C14" s="2" t="inlineStr">
        <is>
          <t>WBS-100</t>
        </is>
      </c>
      <c r="D14" s="3" t="inlineStr">
        <is>
          <t>Obras Preliminares, Trazo y Movilización</t>
        </is>
      </c>
      <c r="E14" s="6">
        <f>SUM('01_PRESUPUESTO_CRONOGRAMA_BASE'!G2:G3)</f>
        <v/>
      </c>
      <c r="F14" s="6">
        <f>SUMIFS('02_CRONOGRAMA_PV_DIARIO'!E:E, '02_CRONOGRAMA_PV_DIARIO'!A:A, A14, '02_CRONOGRAMA_PV_DIARIO'!C:C, C14)</f>
        <v/>
      </c>
      <c r="G14" s="6">
        <f>SUMIFS(F$2:F14, C$2:C14, C14)</f>
        <v/>
      </c>
      <c r="H14" s="6">
        <f>IF(B14 &gt; MAX('04_LOG_FIELD_ENTRIES'!$B:$B), "", SUMIFS('04_LOG_FIELD_ENTRIES'!$J:$J, '04_LOG_FIELD_ENTRIES'!$B:$B, B14, '04_LOG_FIELD_ENTRIES'!$D:$D, C14, '04_LOG_FIELD_ENTRIES'!$K:$K, "EV_PRODUCCION"))</f>
        <v/>
      </c>
      <c r="I14" s="6">
        <f>IF(B14 &gt; MAX('04_LOG_FIELD_ENTRIES'!$B:$B), "", SUMIFS(H$2:H14, C$2:C14, C14))</f>
        <v/>
      </c>
      <c r="J14" s="6">
        <f>IF(B14 &gt; MAX('04_LOG_FIELD_ENTRIES'!$B:$B), "", SUMIFS('04_LOG_FIELD_ENTRIES'!$J:$J, '04_LOG_FIELD_ENTRIES'!$B:$B, B14, '04_LOG_FIELD_ENTRIES'!$D:$D, C14, '04_LOG_FIELD_ENTRIES'!$K:$K, "AC_*"))</f>
        <v/>
      </c>
      <c r="K14" s="6">
        <f>IF(B14 &gt; MAX('04_LOG_FIELD_ENTRIES'!$B:$B), "", SUMIFS(J$2:J14, C$2:C14, C14))</f>
        <v/>
      </c>
      <c r="L14" s="6">
        <f>IF(K14="", "", I14-K14)</f>
        <v/>
      </c>
      <c r="M14" s="6">
        <f>IF(I14="", "", I14-G14)</f>
        <v/>
      </c>
      <c r="N14" s="21">
        <f>IF(I14="", "", IF(G14&gt;0, I14/G14, 1))</f>
        <v/>
      </c>
      <c r="O14" s="21">
        <f>IF(I14="", "", IF(K14&gt;0, I14/K14, 1))</f>
        <v/>
      </c>
      <c r="P14" s="2">
        <f>IF(I14="", "", IF(AND(N14&gt;=0.95, O14&gt;=0.95), "SALUDABLE", IF(N14&lt;0.9, "ALERTA RETRASO", "ALERTA SOBRECOSTO")))</f>
        <v/>
      </c>
    </row>
    <row r="15" ht="19.95" customHeight="1">
      <c r="A15" s="4" t="n">
        <v>4</v>
      </c>
      <c r="B15" s="31" t="n">
        <v>46238</v>
      </c>
      <c r="C15" s="2" t="inlineStr">
        <is>
          <t>WBS-200</t>
        </is>
      </c>
      <c r="D15" s="3" t="inlineStr">
        <is>
          <t>Red de Alcantarillado, Zanjas y Buzones</t>
        </is>
      </c>
      <c r="E15" s="6">
        <f>SUM('01_PRESUPUESTO_CRONOGRAMA_BASE'!G4:G9)</f>
        <v/>
      </c>
      <c r="F15" s="6">
        <f>SUMIFS('02_CRONOGRAMA_PV_DIARIO'!E:E, '02_CRONOGRAMA_PV_DIARIO'!A:A, A15, '02_CRONOGRAMA_PV_DIARIO'!C:C, C15)</f>
        <v/>
      </c>
      <c r="G15" s="6">
        <f>SUMIFS(F$2:F15, C$2:C15, C15)</f>
        <v/>
      </c>
      <c r="H15" s="6">
        <f>IF(B15 &gt; MAX('04_LOG_FIELD_ENTRIES'!$B:$B), "", SUMIFS('04_LOG_FIELD_ENTRIES'!$J:$J, '04_LOG_FIELD_ENTRIES'!$B:$B, B15, '04_LOG_FIELD_ENTRIES'!$D:$D, C15, '04_LOG_FIELD_ENTRIES'!$K:$K, "EV_PRODUCCION"))</f>
        <v/>
      </c>
      <c r="I15" s="6">
        <f>IF(B15 &gt; MAX('04_LOG_FIELD_ENTRIES'!$B:$B), "", SUMIFS(H$2:H15, C$2:C15, C15))</f>
        <v/>
      </c>
      <c r="J15" s="6">
        <f>IF(B15 &gt; MAX('04_LOG_FIELD_ENTRIES'!$B:$B), "", SUMIFS('04_LOG_FIELD_ENTRIES'!$J:$J, '04_LOG_FIELD_ENTRIES'!$B:$B, B15, '04_LOG_FIELD_ENTRIES'!$D:$D, C15, '04_LOG_FIELD_ENTRIES'!$K:$K, "AC_*"))</f>
        <v/>
      </c>
      <c r="K15" s="6">
        <f>IF(B15 &gt; MAX('04_LOG_FIELD_ENTRIES'!$B:$B), "", SUMIFS(J$2:J15, C$2:C15, C15))</f>
        <v/>
      </c>
      <c r="L15" s="6">
        <f>IF(K15="", "", I15-K15)</f>
        <v/>
      </c>
      <c r="M15" s="6">
        <f>IF(I15="", "", I15-G15)</f>
        <v/>
      </c>
      <c r="N15" s="21">
        <f>IF(I15="", "", IF(G15&gt;0, I15/G15, 1))</f>
        <v/>
      </c>
      <c r="O15" s="21">
        <f>IF(I15="", "", IF(K15&gt;0, I15/K15, 1))</f>
        <v/>
      </c>
      <c r="P15" s="2">
        <f>IF(I15="", "", IF(AND(N15&gt;=0.95, O15&gt;=0.95), "SALUDABLE", IF(N15&lt;0.9, "ALERTA RETRASO", "ALERTA SOBRECOSTO")))</f>
        <v/>
      </c>
    </row>
    <row r="16" ht="19.95" customHeight="1">
      <c r="A16" s="4" t="n">
        <v>4</v>
      </c>
      <c r="B16" s="31" t="n">
        <v>46238</v>
      </c>
      <c r="C16" s="2" t="inlineStr">
        <is>
          <t>WBS-300</t>
        </is>
      </c>
      <c r="D16" s="3" t="inlineStr">
        <is>
          <t>Red de Agua Potable y Conexiones Domiciliarias</t>
        </is>
      </c>
      <c r="E16" s="6">
        <f>SUM('01_PRESUPUESTO_CRONOGRAMA_BASE'!G10:G11)</f>
        <v/>
      </c>
      <c r="F16" s="6">
        <f>SUMIFS('02_CRONOGRAMA_PV_DIARIO'!E:E, '02_CRONOGRAMA_PV_DIARIO'!A:A, A16, '02_CRONOGRAMA_PV_DIARIO'!C:C, C16)</f>
        <v/>
      </c>
      <c r="G16" s="6">
        <f>SUMIFS(F$2:F16, C$2:C16, C16)</f>
        <v/>
      </c>
      <c r="H16" s="6">
        <f>IF(B16 &gt; MAX('04_LOG_FIELD_ENTRIES'!$B:$B), "", SUMIFS('04_LOG_FIELD_ENTRIES'!$J:$J, '04_LOG_FIELD_ENTRIES'!$B:$B, B16, '04_LOG_FIELD_ENTRIES'!$D:$D, C16, '04_LOG_FIELD_ENTRIES'!$K:$K, "EV_PRODUCCION"))</f>
        <v/>
      </c>
      <c r="I16" s="6">
        <f>IF(B16 &gt; MAX('04_LOG_FIELD_ENTRIES'!$B:$B), "", SUMIFS(H$2:H16, C$2:C16, C16))</f>
        <v/>
      </c>
      <c r="J16" s="6">
        <f>IF(B16 &gt; MAX('04_LOG_FIELD_ENTRIES'!$B:$B), "", SUMIFS('04_LOG_FIELD_ENTRIES'!$J:$J, '04_LOG_FIELD_ENTRIES'!$B:$B, B16, '04_LOG_FIELD_ENTRIES'!$D:$D, C16, '04_LOG_FIELD_ENTRIES'!$K:$K, "AC_*"))</f>
        <v/>
      </c>
      <c r="K16" s="6">
        <f>IF(B16 &gt; MAX('04_LOG_FIELD_ENTRIES'!$B:$B), "", SUMIFS(J$2:J16, C$2:C16, C16))</f>
        <v/>
      </c>
      <c r="L16" s="6">
        <f>IF(K16="", "", I16-K16)</f>
        <v/>
      </c>
      <c r="M16" s="6">
        <f>IF(I16="", "", I16-G16)</f>
        <v/>
      </c>
      <c r="N16" s="21">
        <f>IF(I16="", "", IF(G16&gt;0, I16/G16, 1))</f>
        <v/>
      </c>
      <c r="O16" s="21">
        <f>IF(I16="", "", IF(K16&gt;0, I16/K16, 1))</f>
        <v/>
      </c>
      <c r="P16" s="2">
        <f>IF(I16="", "", IF(AND(N16&gt;=0.95, O16&gt;=0.95), "SALUDABLE", IF(N16&lt;0.9, "ALERTA RETRASO", "ALERTA SOBRECOSTO")))</f>
        <v/>
      </c>
    </row>
    <row r="17" ht="19.95" customHeight="1">
      <c r="A17" s="4" t="n">
        <v>4</v>
      </c>
      <c r="B17" s="31" t="n">
        <v>46238</v>
      </c>
      <c r="C17" s="2" t="inlineStr">
        <is>
          <t>WBS-400</t>
        </is>
      </c>
      <c r="D17" s="3" t="inlineStr">
        <is>
          <t>Pruebas Hidráulicas, Desinfección y Entrega</t>
        </is>
      </c>
      <c r="E17" s="6">
        <f>SUM('01_PRESUPUESTO_CRONOGRAMA_BASE'!G12:G12)</f>
        <v/>
      </c>
      <c r="F17" s="6">
        <f>SUMIFS('02_CRONOGRAMA_PV_DIARIO'!E:E, '02_CRONOGRAMA_PV_DIARIO'!A:A, A17, '02_CRONOGRAMA_PV_DIARIO'!C:C, C17)</f>
        <v/>
      </c>
      <c r="G17" s="6">
        <f>SUMIFS(F$2:F17, C$2:C17, C17)</f>
        <v/>
      </c>
      <c r="H17" s="6">
        <f>IF(B17 &gt; MAX('04_LOG_FIELD_ENTRIES'!$B:$B), "", SUMIFS('04_LOG_FIELD_ENTRIES'!$J:$J, '04_LOG_FIELD_ENTRIES'!$B:$B, B17, '04_LOG_FIELD_ENTRIES'!$D:$D, C17, '04_LOG_FIELD_ENTRIES'!$K:$K, "EV_PRODUCCION"))</f>
        <v/>
      </c>
      <c r="I17" s="6">
        <f>IF(B17 &gt; MAX('04_LOG_FIELD_ENTRIES'!$B:$B), "", SUMIFS(H$2:H17, C$2:C17, C17))</f>
        <v/>
      </c>
      <c r="J17" s="6">
        <f>IF(B17 &gt; MAX('04_LOG_FIELD_ENTRIES'!$B:$B), "", SUMIFS('04_LOG_FIELD_ENTRIES'!$J:$J, '04_LOG_FIELD_ENTRIES'!$B:$B, B17, '04_LOG_FIELD_ENTRIES'!$D:$D, C17, '04_LOG_FIELD_ENTRIES'!$K:$K, "AC_*"))</f>
        <v/>
      </c>
      <c r="K17" s="6">
        <f>IF(B17 &gt; MAX('04_LOG_FIELD_ENTRIES'!$B:$B), "", SUMIFS(J$2:J17, C$2:C17, C17))</f>
        <v/>
      </c>
      <c r="L17" s="6">
        <f>IF(K17="", "", I17-K17)</f>
        <v/>
      </c>
      <c r="M17" s="6">
        <f>IF(I17="", "", I17-G17)</f>
        <v/>
      </c>
      <c r="N17" s="21">
        <f>IF(I17="", "", IF(G17&gt;0, I17/G17, 1))</f>
        <v/>
      </c>
      <c r="O17" s="21">
        <f>IF(I17="", "", IF(K17&gt;0, I17/K17, 1))</f>
        <v/>
      </c>
      <c r="P17" s="2">
        <f>IF(I17="", "", IF(AND(N17&gt;=0.95, O17&gt;=0.95), "SALUDABLE", IF(N17&lt;0.9, "ALERTA RETRASO", "ALERTA SOBRECOSTO")))</f>
        <v/>
      </c>
    </row>
    <row r="18" ht="19.95" customHeight="1">
      <c r="A18" s="4" t="n">
        <v>5</v>
      </c>
      <c r="B18" s="31" t="n">
        <v>46239</v>
      </c>
      <c r="C18" s="2" t="inlineStr">
        <is>
          <t>WBS-100</t>
        </is>
      </c>
      <c r="D18" s="3" t="inlineStr">
        <is>
          <t>Obras Preliminares, Trazo y Movilización</t>
        </is>
      </c>
      <c r="E18" s="6">
        <f>SUM('01_PRESUPUESTO_CRONOGRAMA_BASE'!G2:G3)</f>
        <v/>
      </c>
      <c r="F18" s="6">
        <f>SUMIFS('02_CRONOGRAMA_PV_DIARIO'!E:E, '02_CRONOGRAMA_PV_DIARIO'!A:A, A18, '02_CRONOGRAMA_PV_DIARIO'!C:C, C18)</f>
        <v/>
      </c>
      <c r="G18" s="6">
        <f>SUMIFS(F$2:F18, C$2:C18, C18)</f>
        <v/>
      </c>
      <c r="H18" s="6">
        <f>IF(B18 &gt; MAX('04_LOG_FIELD_ENTRIES'!$B:$B), "", SUMIFS('04_LOG_FIELD_ENTRIES'!$J:$J, '04_LOG_FIELD_ENTRIES'!$B:$B, B18, '04_LOG_FIELD_ENTRIES'!$D:$D, C18, '04_LOG_FIELD_ENTRIES'!$K:$K, "EV_PRODUCCION"))</f>
        <v/>
      </c>
      <c r="I18" s="6">
        <f>IF(B18 &gt; MAX('04_LOG_FIELD_ENTRIES'!$B:$B), "", SUMIFS(H$2:H18, C$2:C18, C18))</f>
        <v/>
      </c>
      <c r="J18" s="6">
        <f>IF(B18 &gt; MAX('04_LOG_FIELD_ENTRIES'!$B:$B), "", SUMIFS('04_LOG_FIELD_ENTRIES'!$J:$J, '04_LOG_FIELD_ENTRIES'!$B:$B, B18, '04_LOG_FIELD_ENTRIES'!$D:$D, C18, '04_LOG_FIELD_ENTRIES'!$K:$K, "AC_*"))</f>
        <v/>
      </c>
      <c r="K18" s="6">
        <f>IF(B18 &gt; MAX('04_LOG_FIELD_ENTRIES'!$B:$B), "", SUMIFS(J$2:J18, C$2:C18, C18))</f>
        <v/>
      </c>
      <c r="L18" s="6">
        <f>IF(K18="", "", I18-K18)</f>
        <v/>
      </c>
      <c r="M18" s="6">
        <f>IF(I18="", "", I18-G18)</f>
        <v/>
      </c>
      <c r="N18" s="21">
        <f>IF(I18="", "", IF(G18&gt;0, I18/G18, 1))</f>
        <v/>
      </c>
      <c r="O18" s="21">
        <f>IF(I18="", "", IF(K18&gt;0, I18/K18, 1))</f>
        <v/>
      </c>
      <c r="P18" s="2">
        <f>IF(I18="", "", IF(AND(N18&gt;=0.95, O18&gt;=0.95), "SALUDABLE", IF(N18&lt;0.9, "ALERTA RETRASO", "ALERTA SOBRECOSTO")))</f>
        <v/>
      </c>
    </row>
    <row r="19" ht="19.95" customHeight="1">
      <c r="A19" s="4" t="n">
        <v>5</v>
      </c>
      <c r="B19" s="31" t="n">
        <v>46239</v>
      </c>
      <c r="C19" s="2" t="inlineStr">
        <is>
          <t>WBS-200</t>
        </is>
      </c>
      <c r="D19" s="3" t="inlineStr">
        <is>
          <t>Red de Alcantarillado, Zanjas y Buzones</t>
        </is>
      </c>
      <c r="E19" s="6">
        <f>SUM('01_PRESUPUESTO_CRONOGRAMA_BASE'!G4:G9)</f>
        <v/>
      </c>
      <c r="F19" s="6">
        <f>SUMIFS('02_CRONOGRAMA_PV_DIARIO'!E:E, '02_CRONOGRAMA_PV_DIARIO'!A:A, A19, '02_CRONOGRAMA_PV_DIARIO'!C:C, C19)</f>
        <v/>
      </c>
      <c r="G19" s="6">
        <f>SUMIFS(F$2:F19, C$2:C19, C19)</f>
        <v/>
      </c>
      <c r="H19" s="6">
        <f>IF(B19 &gt; MAX('04_LOG_FIELD_ENTRIES'!$B:$B), "", SUMIFS('04_LOG_FIELD_ENTRIES'!$J:$J, '04_LOG_FIELD_ENTRIES'!$B:$B, B19, '04_LOG_FIELD_ENTRIES'!$D:$D, C19, '04_LOG_FIELD_ENTRIES'!$K:$K, "EV_PRODUCCION"))</f>
        <v/>
      </c>
      <c r="I19" s="6">
        <f>IF(B19 &gt; MAX('04_LOG_FIELD_ENTRIES'!$B:$B), "", SUMIFS(H$2:H19, C$2:C19, C19))</f>
        <v/>
      </c>
      <c r="J19" s="6">
        <f>IF(B19 &gt; MAX('04_LOG_FIELD_ENTRIES'!$B:$B), "", SUMIFS('04_LOG_FIELD_ENTRIES'!$J:$J, '04_LOG_FIELD_ENTRIES'!$B:$B, B19, '04_LOG_FIELD_ENTRIES'!$D:$D, C19, '04_LOG_FIELD_ENTRIES'!$K:$K, "AC_*"))</f>
        <v/>
      </c>
      <c r="K19" s="6">
        <f>IF(B19 &gt; MAX('04_LOG_FIELD_ENTRIES'!$B:$B), "", SUMIFS(J$2:J19, C$2:C19, C19))</f>
        <v/>
      </c>
      <c r="L19" s="6">
        <f>IF(K19="", "", I19-K19)</f>
        <v/>
      </c>
      <c r="M19" s="6">
        <f>IF(I19="", "", I19-G19)</f>
        <v/>
      </c>
      <c r="N19" s="21">
        <f>IF(I19="", "", IF(G19&gt;0, I19/G19, 1))</f>
        <v/>
      </c>
      <c r="O19" s="21">
        <f>IF(I19="", "", IF(K19&gt;0, I19/K19, 1))</f>
        <v/>
      </c>
      <c r="P19" s="2">
        <f>IF(I19="", "", IF(AND(N19&gt;=0.95, O19&gt;=0.95), "SALUDABLE", IF(N19&lt;0.9, "ALERTA RETRASO", "ALERTA SOBRECOSTO")))</f>
        <v/>
      </c>
    </row>
    <row r="20" ht="19.95" customHeight="1">
      <c r="A20" s="4" t="n">
        <v>5</v>
      </c>
      <c r="B20" s="31" t="n">
        <v>46239</v>
      </c>
      <c r="C20" s="2" t="inlineStr">
        <is>
          <t>WBS-300</t>
        </is>
      </c>
      <c r="D20" s="3" t="inlineStr">
        <is>
          <t>Red de Agua Potable y Conexiones Domiciliarias</t>
        </is>
      </c>
      <c r="E20" s="6">
        <f>SUM('01_PRESUPUESTO_CRONOGRAMA_BASE'!G10:G11)</f>
        <v/>
      </c>
      <c r="F20" s="6">
        <f>SUMIFS('02_CRONOGRAMA_PV_DIARIO'!E:E, '02_CRONOGRAMA_PV_DIARIO'!A:A, A20, '02_CRONOGRAMA_PV_DIARIO'!C:C, C20)</f>
        <v/>
      </c>
      <c r="G20" s="6">
        <f>SUMIFS(F$2:F20, C$2:C20, C20)</f>
        <v/>
      </c>
      <c r="H20" s="6">
        <f>IF(B20 &gt; MAX('04_LOG_FIELD_ENTRIES'!$B:$B), "", SUMIFS('04_LOG_FIELD_ENTRIES'!$J:$J, '04_LOG_FIELD_ENTRIES'!$B:$B, B20, '04_LOG_FIELD_ENTRIES'!$D:$D, C20, '04_LOG_FIELD_ENTRIES'!$K:$K, "EV_PRODUCCION"))</f>
        <v/>
      </c>
      <c r="I20" s="6">
        <f>IF(B20 &gt; MAX('04_LOG_FIELD_ENTRIES'!$B:$B), "", SUMIFS(H$2:H20, C$2:C20, C20))</f>
        <v/>
      </c>
      <c r="J20" s="6">
        <f>IF(B20 &gt; MAX('04_LOG_FIELD_ENTRIES'!$B:$B), "", SUMIFS('04_LOG_FIELD_ENTRIES'!$J:$J, '04_LOG_FIELD_ENTRIES'!$B:$B, B20, '04_LOG_FIELD_ENTRIES'!$D:$D, C20, '04_LOG_FIELD_ENTRIES'!$K:$K, "AC_*"))</f>
        <v/>
      </c>
      <c r="K20" s="6">
        <f>IF(B20 &gt; MAX('04_LOG_FIELD_ENTRIES'!$B:$B), "", SUMIFS(J$2:J20, C$2:C20, C20))</f>
        <v/>
      </c>
      <c r="L20" s="6">
        <f>IF(K20="", "", I20-K20)</f>
        <v/>
      </c>
      <c r="M20" s="6">
        <f>IF(I20="", "", I20-G20)</f>
        <v/>
      </c>
      <c r="N20" s="21">
        <f>IF(I20="", "", IF(G20&gt;0, I20/G20, 1))</f>
        <v/>
      </c>
      <c r="O20" s="21">
        <f>IF(I20="", "", IF(K20&gt;0, I20/K20, 1))</f>
        <v/>
      </c>
      <c r="P20" s="2">
        <f>IF(I20="", "", IF(AND(N20&gt;=0.95, O20&gt;=0.95), "SALUDABLE", IF(N20&lt;0.9, "ALERTA RETRASO", "ALERTA SOBRECOSTO")))</f>
        <v/>
      </c>
    </row>
    <row r="21" ht="19.95" customHeight="1">
      <c r="A21" s="4" t="n">
        <v>5</v>
      </c>
      <c r="B21" s="31" t="n">
        <v>46239</v>
      </c>
      <c r="C21" s="2" t="inlineStr">
        <is>
          <t>WBS-400</t>
        </is>
      </c>
      <c r="D21" s="3" t="inlineStr">
        <is>
          <t>Pruebas Hidráulicas, Desinfección y Entrega</t>
        </is>
      </c>
      <c r="E21" s="6">
        <f>SUM('01_PRESUPUESTO_CRONOGRAMA_BASE'!G12:G12)</f>
        <v/>
      </c>
      <c r="F21" s="6">
        <f>SUMIFS('02_CRONOGRAMA_PV_DIARIO'!E:E, '02_CRONOGRAMA_PV_DIARIO'!A:A, A21, '02_CRONOGRAMA_PV_DIARIO'!C:C, C21)</f>
        <v/>
      </c>
      <c r="G21" s="6">
        <f>SUMIFS(F$2:F21, C$2:C21, C21)</f>
        <v/>
      </c>
      <c r="H21" s="6">
        <f>IF(B21 &gt; MAX('04_LOG_FIELD_ENTRIES'!$B:$B), "", SUMIFS('04_LOG_FIELD_ENTRIES'!$J:$J, '04_LOG_FIELD_ENTRIES'!$B:$B, B21, '04_LOG_FIELD_ENTRIES'!$D:$D, C21, '04_LOG_FIELD_ENTRIES'!$K:$K, "EV_PRODUCCION"))</f>
        <v/>
      </c>
      <c r="I21" s="6">
        <f>IF(B21 &gt; MAX('04_LOG_FIELD_ENTRIES'!$B:$B), "", SUMIFS(H$2:H21, C$2:C21, C21))</f>
        <v/>
      </c>
      <c r="J21" s="6">
        <f>IF(B21 &gt; MAX('04_LOG_FIELD_ENTRIES'!$B:$B), "", SUMIFS('04_LOG_FIELD_ENTRIES'!$J:$J, '04_LOG_FIELD_ENTRIES'!$B:$B, B21, '04_LOG_FIELD_ENTRIES'!$D:$D, C21, '04_LOG_FIELD_ENTRIES'!$K:$K, "AC_*"))</f>
        <v/>
      </c>
      <c r="K21" s="6">
        <f>IF(B21 &gt; MAX('04_LOG_FIELD_ENTRIES'!$B:$B), "", SUMIFS(J$2:J21, C$2:C21, C21))</f>
        <v/>
      </c>
      <c r="L21" s="6">
        <f>IF(K21="", "", I21-K21)</f>
        <v/>
      </c>
      <c r="M21" s="6">
        <f>IF(I21="", "", I21-G21)</f>
        <v/>
      </c>
      <c r="N21" s="21">
        <f>IF(I21="", "", IF(G21&gt;0, I21/G21, 1))</f>
        <v/>
      </c>
      <c r="O21" s="21">
        <f>IF(I21="", "", IF(K21&gt;0, I21/K21, 1))</f>
        <v/>
      </c>
      <c r="P21" s="2">
        <f>IF(I21="", "", IF(AND(N21&gt;=0.95, O21&gt;=0.95), "SALUDABLE", IF(N21&lt;0.9, "ALERTA RETRASO", "ALERTA SOBRECOSTO")))</f>
        <v/>
      </c>
    </row>
    <row r="22" ht="19.95" customHeight="1">
      <c r="A22" s="4" t="n">
        <v>6</v>
      </c>
      <c r="B22" s="31" t="n">
        <v>46240</v>
      </c>
      <c r="C22" s="2" t="inlineStr">
        <is>
          <t>WBS-100</t>
        </is>
      </c>
      <c r="D22" s="3" t="inlineStr">
        <is>
          <t>Obras Preliminares, Trazo y Movilización</t>
        </is>
      </c>
      <c r="E22" s="6">
        <f>SUM('01_PRESUPUESTO_CRONOGRAMA_BASE'!G2:G3)</f>
        <v/>
      </c>
      <c r="F22" s="6">
        <f>SUMIFS('02_CRONOGRAMA_PV_DIARIO'!E:E, '02_CRONOGRAMA_PV_DIARIO'!A:A, A22, '02_CRONOGRAMA_PV_DIARIO'!C:C, C22)</f>
        <v/>
      </c>
      <c r="G22" s="6">
        <f>SUMIFS(F$2:F22, C$2:C22, C22)</f>
        <v/>
      </c>
      <c r="H22" s="6">
        <f>IF(B22 &gt; MAX('04_LOG_FIELD_ENTRIES'!$B:$B), "", SUMIFS('04_LOG_FIELD_ENTRIES'!$J:$J, '04_LOG_FIELD_ENTRIES'!$B:$B, B22, '04_LOG_FIELD_ENTRIES'!$D:$D, C22, '04_LOG_FIELD_ENTRIES'!$K:$K, "EV_PRODUCCION"))</f>
        <v/>
      </c>
      <c r="I22" s="6">
        <f>IF(B22 &gt; MAX('04_LOG_FIELD_ENTRIES'!$B:$B), "", SUMIFS(H$2:H22, C$2:C22, C22))</f>
        <v/>
      </c>
      <c r="J22" s="6">
        <f>IF(B22 &gt; MAX('04_LOG_FIELD_ENTRIES'!$B:$B), "", SUMIFS('04_LOG_FIELD_ENTRIES'!$J:$J, '04_LOG_FIELD_ENTRIES'!$B:$B, B22, '04_LOG_FIELD_ENTRIES'!$D:$D, C22, '04_LOG_FIELD_ENTRIES'!$K:$K, "AC_*"))</f>
        <v/>
      </c>
      <c r="K22" s="6">
        <f>IF(B22 &gt; MAX('04_LOG_FIELD_ENTRIES'!$B:$B), "", SUMIFS(J$2:J22, C$2:C22, C22))</f>
        <v/>
      </c>
      <c r="L22" s="6">
        <f>IF(K22="", "", I22-K22)</f>
        <v/>
      </c>
      <c r="M22" s="6">
        <f>IF(I22="", "", I22-G22)</f>
        <v/>
      </c>
      <c r="N22" s="21">
        <f>IF(I22="", "", IF(G22&gt;0, I22/G22, 1))</f>
        <v/>
      </c>
      <c r="O22" s="21">
        <f>IF(I22="", "", IF(K22&gt;0, I22/K22, 1))</f>
        <v/>
      </c>
      <c r="P22" s="2">
        <f>IF(I22="", "", IF(AND(N22&gt;=0.95, O22&gt;=0.95), "SALUDABLE", IF(N22&lt;0.9, "ALERTA RETRASO", "ALERTA SOBRECOSTO")))</f>
        <v/>
      </c>
    </row>
    <row r="23" ht="19.95" customHeight="1">
      <c r="A23" s="4" t="n">
        <v>6</v>
      </c>
      <c r="B23" s="31" t="n">
        <v>46240</v>
      </c>
      <c r="C23" s="2" t="inlineStr">
        <is>
          <t>WBS-200</t>
        </is>
      </c>
      <c r="D23" s="3" t="inlineStr">
        <is>
          <t>Red de Alcantarillado, Zanjas y Buzones</t>
        </is>
      </c>
      <c r="E23" s="6">
        <f>SUM('01_PRESUPUESTO_CRONOGRAMA_BASE'!G4:G9)</f>
        <v/>
      </c>
      <c r="F23" s="6">
        <f>SUMIFS('02_CRONOGRAMA_PV_DIARIO'!E:E, '02_CRONOGRAMA_PV_DIARIO'!A:A, A23, '02_CRONOGRAMA_PV_DIARIO'!C:C, C23)</f>
        <v/>
      </c>
      <c r="G23" s="6">
        <f>SUMIFS(F$2:F23, C$2:C23, C23)</f>
        <v/>
      </c>
      <c r="H23" s="6">
        <f>IF(B23 &gt; MAX('04_LOG_FIELD_ENTRIES'!$B:$B), "", SUMIFS('04_LOG_FIELD_ENTRIES'!$J:$J, '04_LOG_FIELD_ENTRIES'!$B:$B, B23, '04_LOG_FIELD_ENTRIES'!$D:$D, C23, '04_LOG_FIELD_ENTRIES'!$K:$K, "EV_PRODUCCION"))</f>
        <v/>
      </c>
      <c r="I23" s="6">
        <f>IF(B23 &gt; MAX('04_LOG_FIELD_ENTRIES'!$B:$B), "", SUMIFS(H$2:H23, C$2:C23, C23))</f>
        <v/>
      </c>
      <c r="J23" s="6">
        <f>IF(B23 &gt; MAX('04_LOG_FIELD_ENTRIES'!$B:$B), "", SUMIFS('04_LOG_FIELD_ENTRIES'!$J:$J, '04_LOG_FIELD_ENTRIES'!$B:$B, B23, '04_LOG_FIELD_ENTRIES'!$D:$D, C23, '04_LOG_FIELD_ENTRIES'!$K:$K, "AC_*"))</f>
        <v/>
      </c>
      <c r="K23" s="6">
        <f>IF(B23 &gt; MAX('04_LOG_FIELD_ENTRIES'!$B:$B), "", SUMIFS(J$2:J23, C$2:C23, C23))</f>
        <v/>
      </c>
      <c r="L23" s="6">
        <f>IF(K23="", "", I23-K23)</f>
        <v/>
      </c>
      <c r="M23" s="6">
        <f>IF(I23="", "", I23-G23)</f>
        <v/>
      </c>
      <c r="N23" s="21">
        <f>IF(I23="", "", IF(G23&gt;0, I23/G23, 1))</f>
        <v/>
      </c>
      <c r="O23" s="21">
        <f>IF(I23="", "", IF(K23&gt;0, I23/K23, 1))</f>
        <v/>
      </c>
      <c r="P23" s="2">
        <f>IF(I23="", "", IF(AND(N23&gt;=0.95, O23&gt;=0.95), "SALUDABLE", IF(N23&lt;0.9, "ALERTA RETRASO", "ALERTA SOBRECOSTO")))</f>
        <v/>
      </c>
    </row>
    <row r="24" ht="19.95" customHeight="1">
      <c r="A24" s="4" t="n">
        <v>6</v>
      </c>
      <c r="B24" s="31" t="n">
        <v>46240</v>
      </c>
      <c r="C24" s="2" t="inlineStr">
        <is>
          <t>WBS-300</t>
        </is>
      </c>
      <c r="D24" s="3" t="inlineStr">
        <is>
          <t>Red de Agua Potable y Conexiones Domiciliarias</t>
        </is>
      </c>
      <c r="E24" s="6">
        <f>SUM('01_PRESUPUESTO_CRONOGRAMA_BASE'!G10:G11)</f>
        <v/>
      </c>
      <c r="F24" s="6">
        <f>SUMIFS('02_CRONOGRAMA_PV_DIARIO'!E:E, '02_CRONOGRAMA_PV_DIARIO'!A:A, A24, '02_CRONOGRAMA_PV_DIARIO'!C:C, C24)</f>
        <v/>
      </c>
      <c r="G24" s="6">
        <f>SUMIFS(F$2:F24, C$2:C24, C24)</f>
        <v/>
      </c>
      <c r="H24" s="6">
        <f>IF(B24 &gt; MAX('04_LOG_FIELD_ENTRIES'!$B:$B), "", SUMIFS('04_LOG_FIELD_ENTRIES'!$J:$J, '04_LOG_FIELD_ENTRIES'!$B:$B, B24, '04_LOG_FIELD_ENTRIES'!$D:$D, C24, '04_LOG_FIELD_ENTRIES'!$K:$K, "EV_PRODUCCION"))</f>
        <v/>
      </c>
      <c r="I24" s="6">
        <f>IF(B24 &gt; MAX('04_LOG_FIELD_ENTRIES'!$B:$B), "", SUMIFS(H$2:H24, C$2:C24, C24))</f>
        <v/>
      </c>
      <c r="J24" s="6">
        <f>IF(B24 &gt; MAX('04_LOG_FIELD_ENTRIES'!$B:$B), "", SUMIFS('04_LOG_FIELD_ENTRIES'!$J:$J, '04_LOG_FIELD_ENTRIES'!$B:$B, B24, '04_LOG_FIELD_ENTRIES'!$D:$D, C24, '04_LOG_FIELD_ENTRIES'!$K:$K, "AC_*"))</f>
        <v/>
      </c>
      <c r="K24" s="6">
        <f>IF(B24 &gt; MAX('04_LOG_FIELD_ENTRIES'!$B:$B), "", SUMIFS(J$2:J24, C$2:C24, C24))</f>
        <v/>
      </c>
      <c r="L24" s="6">
        <f>IF(K24="", "", I24-K24)</f>
        <v/>
      </c>
      <c r="M24" s="6">
        <f>IF(I24="", "", I24-G24)</f>
        <v/>
      </c>
      <c r="N24" s="21">
        <f>IF(I24="", "", IF(G24&gt;0, I24/G24, 1))</f>
        <v/>
      </c>
      <c r="O24" s="21">
        <f>IF(I24="", "", IF(K24&gt;0, I24/K24, 1))</f>
        <v/>
      </c>
      <c r="P24" s="2">
        <f>IF(I24="", "", IF(AND(N24&gt;=0.95, O24&gt;=0.95), "SALUDABLE", IF(N24&lt;0.9, "ALERTA RETRASO", "ALERTA SOBRECOSTO")))</f>
        <v/>
      </c>
    </row>
    <row r="25" ht="19.95" customHeight="1">
      <c r="A25" s="4" t="n">
        <v>6</v>
      </c>
      <c r="B25" s="31" t="n">
        <v>46240</v>
      </c>
      <c r="C25" s="2" t="inlineStr">
        <is>
          <t>WBS-400</t>
        </is>
      </c>
      <c r="D25" s="3" t="inlineStr">
        <is>
          <t>Pruebas Hidráulicas, Desinfección y Entrega</t>
        </is>
      </c>
      <c r="E25" s="6">
        <f>SUM('01_PRESUPUESTO_CRONOGRAMA_BASE'!G12:G12)</f>
        <v/>
      </c>
      <c r="F25" s="6">
        <f>SUMIFS('02_CRONOGRAMA_PV_DIARIO'!E:E, '02_CRONOGRAMA_PV_DIARIO'!A:A, A25, '02_CRONOGRAMA_PV_DIARIO'!C:C, C25)</f>
        <v/>
      </c>
      <c r="G25" s="6">
        <f>SUMIFS(F$2:F25, C$2:C25, C25)</f>
        <v/>
      </c>
      <c r="H25" s="6">
        <f>IF(B25 &gt; MAX('04_LOG_FIELD_ENTRIES'!$B:$B), "", SUMIFS('04_LOG_FIELD_ENTRIES'!$J:$J, '04_LOG_FIELD_ENTRIES'!$B:$B, B25, '04_LOG_FIELD_ENTRIES'!$D:$D, C25, '04_LOG_FIELD_ENTRIES'!$K:$K, "EV_PRODUCCION"))</f>
        <v/>
      </c>
      <c r="I25" s="6">
        <f>IF(B25 &gt; MAX('04_LOG_FIELD_ENTRIES'!$B:$B), "", SUMIFS(H$2:H25, C$2:C25, C25))</f>
        <v/>
      </c>
      <c r="J25" s="6">
        <f>IF(B25 &gt; MAX('04_LOG_FIELD_ENTRIES'!$B:$B), "", SUMIFS('04_LOG_FIELD_ENTRIES'!$J:$J, '04_LOG_FIELD_ENTRIES'!$B:$B, B25, '04_LOG_FIELD_ENTRIES'!$D:$D, C25, '04_LOG_FIELD_ENTRIES'!$K:$K, "AC_*"))</f>
        <v/>
      </c>
      <c r="K25" s="6">
        <f>IF(B25 &gt; MAX('04_LOG_FIELD_ENTRIES'!$B:$B), "", SUMIFS(J$2:J25, C$2:C25, C25))</f>
        <v/>
      </c>
      <c r="L25" s="6">
        <f>IF(K25="", "", I25-K25)</f>
        <v/>
      </c>
      <c r="M25" s="6">
        <f>IF(I25="", "", I25-G25)</f>
        <v/>
      </c>
      <c r="N25" s="21">
        <f>IF(I25="", "", IF(G25&gt;0, I25/G25, 1))</f>
        <v/>
      </c>
      <c r="O25" s="21">
        <f>IF(I25="", "", IF(K25&gt;0, I25/K25, 1))</f>
        <v/>
      </c>
      <c r="P25" s="2">
        <f>IF(I25="", "", IF(AND(N25&gt;=0.95, O25&gt;=0.95), "SALUDABLE", IF(N25&lt;0.9, "ALERTA RETRASO", "ALERTA SOBRECOSTO")))</f>
        <v/>
      </c>
    </row>
    <row r="26" ht="19.95" customHeight="1">
      <c r="A26" s="4" t="n">
        <v>7</v>
      </c>
      <c r="B26" s="31" t="n">
        <v>46241</v>
      </c>
      <c r="C26" s="2" t="inlineStr">
        <is>
          <t>WBS-100</t>
        </is>
      </c>
      <c r="D26" s="3" t="inlineStr">
        <is>
          <t>Obras Preliminares, Trazo y Movilización</t>
        </is>
      </c>
      <c r="E26" s="6">
        <f>SUM('01_PRESUPUESTO_CRONOGRAMA_BASE'!G2:G3)</f>
        <v/>
      </c>
      <c r="F26" s="6">
        <f>SUMIFS('02_CRONOGRAMA_PV_DIARIO'!E:E, '02_CRONOGRAMA_PV_DIARIO'!A:A, A26, '02_CRONOGRAMA_PV_DIARIO'!C:C, C26)</f>
        <v/>
      </c>
      <c r="G26" s="6">
        <f>SUMIFS(F$2:F26, C$2:C26, C26)</f>
        <v/>
      </c>
      <c r="H26" s="6">
        <f>IF(B26 &gt; MAX('04_LOG_FIELD_ENTRIES'!$B:$B), "", SUMIFS('04_LOG_FIELD_ENTRIES'!$J:$J, '04_LOG_FIELD_ENTRIES'!$B:$B, B26, '04_LOG_FIELD_ENTRIES'!$D:$D, C26, '04_LOG_FIELD_ENTRIES'!$K:$K, "EV_PRODUCCION"))</f>
        <v/>
      </c>
      <c r="I26" s="6">
        <f>IF(B26 &gt; MAX('04_LOG_FIELD_ENTRIES'!$B:$B), "", SUMIFS(H$2:H26, C$2:C26, C26))</f>
        <v/>
      </c>
      <c r="J26" s="6">
        <f>IF(B26 &gt; MAX('04_LOG_FIELD_ENTRIES'!$B:$B), "", SUMIFS('04_LOG_FIELD_ENTRIES'!$J:$J, '04_LOG_FIELD_ENTRIES'!$B:$B, B26, '04_LOG_FIELD_ENTRIES'!$D:$D, C26, '04_LOG_FIELD_ENTRIES'!$K:$K, "AC_*"))</f>
        <v/>
      </c>
      <c r="K26" s="6">
        <f>IF(B26 &gt; MAX('04_LOG_FIELD_ENTRIES'!$B:$B), "", SUMIFS(J$2:J26, C$2:C26, C26))</f>
        <v/>
      </c>
      <c r="L26" s="6">
        <f>IF(K26="", "", I26-K26)</f>
        <v/>
      </c>
      <c r="M26" s="6">
        <f>IF(I26="", "", I26-G26)</f>
        <v/>
      </c>
      <c r="N26" s="21">
        <f>IF(I26="", "", IF(G26&gt;0, I26/G26, 1))</f>
        <v/>
      </c>
      <c r="O26" s="21">
        <f>IF(I26="", "", IF(K26&gt;0, I26/K26, 1))</f>
        <v/>
      </c>
      <c r="P26" s="2">
        <f>IF(I26="", "", IF(AND(N26&gt;=0.95, O26&gt;=0.95), "SALUDABLE", IF(N26&lt;0.9, "ALERTA RETRASO", "ALERTA SOBRECOSTO")))</f>
        <v/>
      </c>
    </row>
    <row r="27" ht="19.95" customHeight="1">
      <c r="A27" s="4" t="n">
        <v>7</v>
      </c>
      <c r="B27" s="31" t="n">
        <v>46241</v>
      </c>
      <c r="C27" s="2" t="inlineStr">
        <is>
          <t>WBS-200</t>
        </is>
      </c>
      <c r="D27" s="3" t="inlineStr">
        <is>
          <t>Red de Alcantarillado, Zanjas y Buzones</t>
        </is>
      </c>
      <c r="E27" s="6">
        <f>SUM('01_PRESUPUESTO_CRONOGRAMA_BASE'!G4:G9)</f>
        <v/>
      </c>
      <c r="F27" s="6">
        <f>SUMIFS('02_CRONOGRAMA_PV_DIARIO'!E:E, '02_CRONOGRAMA_PV_DIARIO'!A:A, A27, '02_CRONOGRAMA_PV_DIARIO'!C:C, C27)</f>
        <v/>
      </c>
      <c r="G27" s="6">
        <f>SUMIFS(F$2:F27, C$2:C27, C27)</f>
        <v/>
      </c>
      <c r="H27" s="6">
        <f>IF(B27 &gt; MAX('04_LOG_FIELD_ENTRIES'!$B:$B), "", SUMIFS('04_LOG_FIELD_ENTRIES'!$J:$J, '04_LOG_FIELD_ENTRIES'!$B:$B, B27, '04_LOG_FIELD_ENTRIES'!$D:$D, C27, '04_LOG_FIELD_ENTRIES'!$K:$K, "EV_PRODUCCION"))</f>
        <v/>
      </c>
      <c r="I27" s="6">
        <f>IF(B27 &gt; MAX('04_LOG_FIELD_ENTRIES'!$B:$B), "", SUMIFS(H$2:H27, C$2:C27, C27))</f>
        <v/>
      </c>
      <c r="J27" s="6">
        <f>IF(B27 &gt; MAX('04_LOG_FIELD_ENTRIES'!$B:$B), "", SUMIFS('04_LOG_FIELD_ENTRIES'!$J:$J, '04_LOG_FIELD_ENTRIES'!$B:$B, B27, '04_LOG_FIELD_ENTRIES'!$D:$D, C27, '04_LOG_FIELD_ENTRIES'!$K:$K, "AC_*"))</f>
        <v/>
      </c>
      <c r="K27" s="6">
        <f>IF(B27 &gt; MAX('04_LOG_FIELD_ENTRIES'!$B:$B), "", SUMIFS(J$2:J27, C$2:C27, C27))</f>
        <v/>
      </c>
      <c r="L27" s="6">
        <f>IF(K27="", "", I27-K27)</f>
        <v/>
      </c>
      <c r="M27" s="6">
        <f>IF(I27="", "", I27-G27)</f>
        <v/>
      </c>
      <c r="N27" s="21">
        <f>IF(I27="", "", IF(G27&gt;0, I27/G27, 1))</f>
        <v/>
      </c>
      <c r="O27" s="21">
        <f>IF(I27="", "", IF(K27&gt;0, I27/K27, 1))</f>
        <v/>
      </c>
      <c r="P27" s="2">
        <f>IF(I27="", "", IF(AND(N27&gt;=0.95, O27&gt;=0.95), "SALUDABLE", IF(N27&lt;0.9, "ALERTA RETRASO", "ALERTA SOBRECOSTO")))</f>
        <v/>
      </c>
    </row>
    <row r="28" ht="19.95" customHeight="1">
      <c r="A28" s="4" t="n">
        <v>7</v>
      </c>
      <c r="B28" s="31" t="n">
        <v>46241</v>
      </c>
      <c r="C28" s="2" t="inlineStr">
        <is>
          <t>WBS-300</t>
        </is>
      </c>
      <c r="D28" s="3" t="inlineStr">
        <is>
          <t>Red de Agua Potable y Conexiones Domiciliarias</t>
        </is>
      </c>
      <c r="E28" s="6">
        <f>SUM('01_PRESUPUESTO_CRONOGRAMA_BASE'!G10:G11)</f>
        <v/>
      </c>
      <c r="F28" s="6">
        <f>SUMIFS('02_CRONOGRAMA_PV_DIARIO'!E:E, '02_CRONOGRAMA_PV_DIARIO'!A:A, A28, '02_CRONOGRAMA_PV_DIARIO'!C:C, C28)</f>
        <v/>
      </c>
      <c r="G28" s="6">
        <f>SUMIFS(F$2:F28, C$2:C28, C28)</f>
        <v/>
      </c>
      <c r="H28" s="6">
        <f>IF(B28 &gt; MAX('04_LOG_FIELD_ENTRIES'!$B:$B), "", SUMIFS('04_LOG_FIELD_ENTRIES'!$J:$J, '04_LOG_FIELD_ENTRIES'!$B:$B, B28, '04_LOG_FIELD_ENTRIES'!$D:$D, C28, '04_LOG_FIELD_ENTRIES'!$K:$K, "EV_PRODUCCION"))</f>
        <v/>
      </c>
      <c r="I28" s="6">
        <f>IF(B28 &gt; MAX('04_LOG_FIELD_ENTRIES'!$B:$B), "", SUMIFS(H$2:H28, C$2:C28, C28))</f>
        <v/>
      </c>
      <c r="J28" s="6">
        <f>IF(B28 &gt; MAX('04_LOG_FIELD_ENTRIES'!$B:$B), "", SUMIFS('04_LOG_FIELD_ENTRIES'!$J:$J, '04_LOG_FIELD_ENTRIES'!$B:$B, B28, '04_LOG_FIELD_ENTRIES'!$D:$D, C28, '04_LOG_FIELD_ENTRIES'!$K:$K, "AC_*"))</f>
        <v/>
      </c>
      <c r="K28" s="6">
        <f>IF(B28 &gt; MAX('04_LOG_FIELD_ENTRIES'!$B:$B), "", SUMIFS(J$2:J28, C$2:C28, C28))</f>
        <v/>
      </c>
      <c r="L28" s="6">
        <f>IF(K28="", "", I28-K28)</f>
        <v/>
      </c>
      <c r="M28" s="6">
        <f>IF(I28="", "", I28-G28)</f>
        <v/>
      </c>
      <c r="N28" s="21">
        <f>IF(I28="", "", IF(G28&gt;0, I28/G28, 1))</f>
        <v/>
      </c>
      <c r="O28" s="21">
        <f>IF(I28="", "", IF(K28&gt;0, I28/K28, 1))</f>
        <v/>
      </c>
      <c r="P28" s="2">
        <f>IF(I28="", "", IF(AND(N28&gt;=0.95, O28&gt;=0.95), "SALUDABLE", IF(N28&lt;0.9, "ALERTA RETRASO", "ALERTA SOBRECOSTO")))</f>
        <v/>
      </c>
    </row>
    <row r="29" ht="19.95" customHeight="1">
      <c r="A29" s="4" t="n">
        <v>7</v>
      </c>
      <c r="B29" s="31" t="n">
        <v>46241</v>
      </c>
      <c r="C29" s="2" t="inlineStr">
        <is>
          <t>WBS-400</t>
        </is>
      </c>
      <c r="D29" s="3" t="inlineStr">
        <is>
          <t>Pruebas Hidráulicas, Desinfección y Entrega</t>
        </is>
      </c>
      <c r="E29" s="6">
        <f>SUM('01_PRESUPUESTO_CRONOGRAMA_BASE'!G12:G12)</f>
        <v/>
      </c>
      <c r="F29" s="6">
        <f>SUMIFS('02_CRONOGRAMA_PV_DIARIO'!E:E, '02_CRONOGRAMA_PV_DIARIO'!A:A, A29, '02_CRONOGRAMA_PV_DIARIO'!C:C, C29)</f>
        <v/>
      </c>
      <c r="G29" s="6">
        <f>SUMIFS(F$2:F29, C$2:C29, C29)</f>
        <v/>
      </c>
      <c r="H29" s="6">
        <f>IF(B29 &gt; MAX('04_LOG_FIELD_ENTRIES'!$B:$B), "", SUMIFS('04_LOG_FIELD_ENTRIES'!$J:$J, '04_LOG_FIELD_ENTRIES'!$B:$B, B29, '04_LOG_FIELD_ENTRIES'!$D:$D, C29, '04_LOG_FIELD_ENTRIES'!$K:$K, "EV_PRODUCCION"))</f>
        <v/>
      </c>
      <c r="I29" s="6">
        <f>IF(B29 &gt; MAX('04_LOG_FIELD_ENTRIES'!$B:$B), "", SUMIFS(H$2:H29, C$2:C29, C29))</f>
        <v/>
      </c>
      <c r="J29" s="6">
        <f>IF(B29 &gt; MAX('04_LOG_FIELD_ENTRIES'!$B:$B), "", SUMIFS('04_LOG_FIELD_ENTRIES'!$J:$J, '04_LOG_FIELD_ENTRIES'!$B:$B, B29, '04_LOG_FIELD_ENTRIES'!$D:$D, C29, '04_LOG_FIELD_ENTRIES'!$K:$K, "AC_*"))</f>
        <v/>
      </c>
      <c r="K29" s="6">
        <f>IF(B29 &gt; MAX('04_LOG_FIELD_ENTRIES'!$B:$B), "", SUMIFS(J$2:J29, C$2:C29, C29))</f>
        <v/>
      </c>
      <c r="L29" s="6">
        <f>IF(K29="", "", I29-K29)</f>
        <v/>
      </c>
      <c r="M29" s="6">
        <f>IF(I29="", "", I29-G29)</f>
        <v/>
      </c>
      <c r="N29" s="21">
        <f>IF(I29="", "", IF(G29&gt;0, I29/G29, 1))</f>
        <v/>
      </c>
      <c r="O29" s="21">
        <f>IF(I29="", "", IF(K29&gt;0, I29/K29, 1))</f>
        <v/>
      </c>
      <c r="P29" s="2">
        <f>IF(I29="", "", IF(AND(N29&gt;=0.95, O29&gt;=0.95), "SALUDABLE", IF(N29&lt;0.9, "ALERTA RETRASO", "ALERTA SOBRECOSTO")))</f>
        <v/>
      </c>
    </row>
    <row r="30" ht="19.95" customHeight="1">
      <c r="A30" s="4" t="n">
        <v>8</v>
      </c>
      <c r="B30" s="31" t="n">
        <v>46242</v>
      </c>
      <c r="C30" s="2" t="inlineStr">
        <is>
          <t>WBS-100</t>
        </is>
      </c>
      <c r="D30" s="3" t="inlineStr">
        <is>
          <t>Obras Preliminares, Trazo y Movilización</t>
        </is>
      </c>
      <c r="E30" s="6">
        <f>SUM('01_PRESUPUESTO_CRONOGRAMA_BASE'!G2:G3)</f>
        <v/>
      </c>
      <c r="F30" s="6">
        <f>SUMIFS('02_CRONOGRAMA_PV_DIARIO'!E:E, '02_CRONOGRAMA_PV_DIARIO'!A:A, A30, '02_CRONOGRAMA_PV_DIARIO'!C:C, C30)</f>
        <v/>
      </c>
      <c r="G30" s="6">
        <f>SUMIFS(F$2:F30, C$2:C30, C30)</f>
        <v/>
      </c>
      <c r="H30" s="6">
        <f>IF(B30 &gt; MAX('04_LOG_FIELD_ENTRIES'!$B:$B), "", SUMIFS('04_LOG_FIELD_ENTRIES'!$J:$J, '04_LOG_FIELD_ENTRIES'!$B:$B, B30, '04_LOG_FIELD_ENTRIES'!$D:$D, C30, '04_LOG_FIELD_ENTRIES'!$K:$K, "EV_PRODUCCION"))</f>
        <v/>
      </c>
      <c r="I30" s="6">
        <f>IF(B30 &gt; MAX('04_LOG_FIELD_ENTRIES'!$B:$B), "", SUMIFS(H$2:H30, C$2:C30, C30))</f>
        <v/>
      </c>
      <c r="J30" s="6">
        <f>IF(B30 &gt; MAX('04_LOG_FIELD_ENTRIES'!$B:$B), "", SUMIFS('04_LOG_FIELD_ENTRIES'!$J:$J, '04_LOG_FIELD_ENTRIES'!$B:$B, B30, '04_LOG_FIELD_ENTRIES'!$D:$D, C30, '04_LOG_FIELD_ENTRIES'!$K:$K, "AC_*"))</f>
        <v/>
      </c>
      <c r="K30" s="6">
        <f>IF(B30 &gt; MAX('04_LOG_FIELD_ENTRIES'!$B:$B), "", SUMIFS(J$2:J30, C$2:C30, C30))</f>
        <v/>
      </c>
      <c r="L30" s="6">
        <f>IF(K30="", "", I30-K30)</f>
        <v/>
      </c>
      <c r="M30" s="6">
        <f>IF(I30="", "", I30-G30)</f>
        <v/>
      </c>
      <c r="N30" s="21">
        <f>IF(I30="", "", IF(G30&gt;0, I30/G30, 1))</f>
        <v/>
      </c>
      <c r="O30" s="21">
        <f>IF(I30="", "", IF(K30&gt;0, I30/K30, 1))</f>
        <v/>
      </c>
      <c r="P30" s="2">
        <f>IF(I30="", "", IF(AND(N30&gt;=0.95, O30&gt;=0.95), "SALUDABLE", IF(N30&lt;0.9, "ALERTA RETRASO", "ALERTA SOBRECOSTO")))</f>
        <v/>
      </c>
    </row>
    <row r="31" ht="19.95" customHeight="1">
      <c r="A31" s="4" t="n">
        <v>8</v>
      </c>
      <c r="B31" s="31" t="n">
        <v>46242</v>
      </c>
      <c r="C31" s="2" t="inlineStr">
        <is>
          <t>WBS-200</t>
        </is>
      </c>
      <c r="D31" s="3" t="inlineStr">
        <is>
          <t>Red de Alcantarillado, Zanjas y Buzones</t>
        </is>
      </c>
      <c r="E31" s="6">
        <f>SUM('01_PRESUPUESTO_CRONOGRAMA_BASE'!G4:G9)</f>
        <v/>
      </c>
      <c r="F31" s="6">
        <f>SUMIFS('02_CRONOGRAMA_PV_DIARIO'!E:E, '02_CRONOGRAMA_PV_DIARIO'!A:A, A31, '02_CRONOGRAMA_PV_DIARIO'!C:C, C31)</f>
        <v/>
      </c>
      <c r="G31" s="6">
        <f>SUMIFS(F$2:F31, C$2:C31, C31)</f>
        <v/>
      </c>
      <c r="H31" s="6">
        <f>IF(B31 &gt; MAX('04_LOG_FIELD_ENTRIES'!$B:$B), "", SUMIFS('04_LOG_FIELD_ENTRIES'!$J:$J, '04_LOG_FIELD_ENTRIES'!$B:$B, B31, '04_LOG_FIELD_ENTRIES'!$D:$D, C31, '04_LOG_FIELD_ENTRIES'!$K:$K, "EV_PRODUCCION"))</f>
        <v/>
      </c>
      <c r="I31" s="6">
        <f>IF(B31 &gt; MAX('04_LOG_FIELD_ENTRIES'!$B:$B), "", SUMIFS(H$2:H31, C$2:C31, C31))</f>
        <v/>
      </c>
      <c r="J31" s="6">
        <f>IF(B31 &gt; MAX('04_LOG_FIELD_ENTRIES'!$B:$B), "", SUMIFS('04_LOG_FIELD_ENTRIES'!$J:$J, '04_LOG_FIELD_ENTRIES'!$B:$B, B31, '04_LOG_FIELD_ENTRIES'!$D:$D, C31, '04_LOG_FIELD_ENTRIES'!$K:$K, "AC_*"))</f>
        <v/>
      </c>
      <c r="K31" s="6">
        <f>IF(B31 &gt; MAX('04_LOG_FIELD_ENTRIES'!$B:$B), "", SUMIFS(J$2:J31, C$2:C31, C31))</f>
        <v/>
      </c>
      <c r="L31" s="6">
        <f>IF(K31="", "", I31-K31)</f>
        <v/>
      </c>
      <c r="M31" s="6">
        <f>IF(I31="", "", I31-G31)</f>
        <v/>
      </c>
      <c r="N31" s="21">
        <f>IF(I31="", "", IF(G31&gt;0, I31/G31, 1))</f>
        <v/>
      </c>
      <c r="O31" s="21">
        <f>IF(I31="", "", IF(K31&gt;0, I31/K31, 1))</f>
        <v/>
      </c>
      <c r="P31" s="2">
        <f>IF(I31="", "", IF(AND(N31&gt;=0.95, O31&gt;=0.95), "SALUDABLE", IF(N31&lt;0.9, "ALERTA RETRASO", "ALERTA SOBRECOSTO")))</f>
        <v/>
      </c>
    </row>
    <row r="32" ht="19.95" customHeight="1">
      <c r="A32" s="4" t="n">
        <v>8</v>
      </c>
      <c r="B32" s="31" t="n">
        <v>46242</v>
      </c>
      <c r="C32" s="2" t="inlineStr">
        <is>
          <t>WBS-300</t>
        </is>
      </c>
      <c r="D32" s="3" t="inlineStr">
        <is>
          <t>Red de Agua Potable y Conexiones Domiciliarias</t>
        </is>
      </c>
      <c r="E32" s="6">
        <f>SUM('01_PRESUPUESTO_CRONOGRAMA_BASE'!G10:G11)</f>
        <v/>
      </c>
      <c r="F32" s="6">
        <f>SUMIFS('02_CRONOGRAMA_PV_DIARIO'!E:E, '02_CRONOGRAMA_PV_DIARIO'!A:A, A32, '02_CRONOGRAMA_PV_DIARIO'!C:C, C32)</f>
        <v/>
      </c>
      <c r="G32" s="6">
        <f>SUMIFS(F$2:F32, C$2:C32, C32)</f>
        <v/>
      </c>
      <c r="H32" s="6">
        <f>IF(B32 &gt; MAX('04_LOG_FIELD_ENTRIES'!$B:$B), "", SUMIFS('04_LOG_FIELD_ENTRIES'!$J:$J, '04_LOG_FIELD_ENTRIES'!$B:$B, B32, '04_LOG_FIELD_ENTRIES'!$D:$D, C32, '04_LOG_FIELD_ENTRIES'!$K:$K, "EV_PRODUCCION"))</f>
        <v/>
      </c>
      <c r="I32" s="6">
        <f>IF(B32 &gt; MAX('04_LOG_FIELD_ENTRIES'!$B:$B), "", SUMIFS(H$2:H32, C$2:C32, C32))</f>
        <v/>
      </c>
      <c r="J32" s="6">
        <f>IF(B32 &gt; MAX('04_LOG_FIELD_ENTRIES'!$B:$B), "", SUMIFS('04_LOG_FIELD_ENTRIES'!$J:$J, '04_LOG_FIELD_ENTRIES'!$B:$B, B32, '04_LOG_FIELD_ENTRIES'!$D:$D, C32, '04_LOG_FIELD_ENTRIES'!$K:$K, "AC_*"))</f>
        <v/>
      </c>
      <c r="K32" s="6">
        <f>IF(B32 &gt; MAX('04_LOG_FIELD_ENTRIES'!$B:$B), "", SUMIFS(J$2:J32, C$2:C32, C32))</f>
        <v/>
      </c>
      <c r="L32" s="6">
        <f>IF(K32="", "", I32-K32)</f>
        <v/>
      </c>
      <c r="M32" s="6">
        <f>IF(I32="", "", I32-G32)</f>
        <v/>
      </c>
      <c r="N32" s="21">
        <f>IF(I32="", "", IF(G32&gt;0, I32/G32, 1))</f>
        <v/>
      </c>
      <c r="O32" s="21">
        <f>IF(I32="", "", IF(K32&gt;0, I32/K32, 1))</f>
        <v/>
      </c>
      <c r="P32" s="2">
        <f>IF(I32="", "", IF(AND(N32&gt;=0.95, O32&gt;=0.95), "SALUDABLE", IF(N32&lt;0.9, "ALERTA RETRASO", "ALERTA SOBRECOSTO")))</f>
        <v/>
      </c>
    </row>
    <row r="33" ht="19.95" customHeight="1">
      <c r="A33" s="4" t="n">
        <v>8</v>
      </c>
      <c r="B33" s="31" t="n">
        <v>46242</v>
      </c>
      <c r="C33" s="2" t="inlineStr">
        <is>
          <t>WBS-400</t>
        </is>
      </c>
      <c r="D33" s="3" t="inlineStr">
        <is>
          <t>Pruebas Hidráulicas, Desinfección y Entrega</t>
        </is>
      </c>
      <c r="E33" s="6">
        <f>SUM('01_PRESUPUESTO_CRONOGRAMA_BASE'!G12:G12)</f>
        <v/>
      </c>
      <c r="F33" s="6">
        <f>SUMIFS('02_CRONOGRAMA_PV_DIARIO'!E:E, '02_CRONOGRAMA_PV_DIARIO'!A:A, A33, '02_CRONOGRAMA_PV_DIARIO'!C:C, C33)</f>
        <v/>
      </c>
      <c r="G33" s="6">
        <f>SUMIFS(F$2:F33, C$2:C33, C33)</f>
        <v/>
      </c>
      <c r="H33" s="6">
        <f>IF(B33 &gt; MAX('04_LOG_FIELD_ENTRIES'!$B:$B), "", SUMIFS('04_LOG_FIELD_ENTRIES'!$J:$J, '04_LOG_FIELD_ENTRIES'!$B:$B, B33, '04_LOG_FIELD_ENTRIES'!$D:$D, C33, '04_LOG_FIELD_ENTRIES'!$K:$K, "EV_PRODUCCION"))</f>
        <v/>
      </c>
      <c r="I33" s="6">
        <f>IF(B33 &gt; MAX('04_LOG_FIELD_ENTRIES'!$B:$B), "", SUMIFS(H$2:H33, C$2:C33, C33))</f>
        <v/>
      </c>
      <c r="J33" s="6">
        <f>IF(B33 &gt; MAX('04_LOG_FIELD_ENTRIES'!$B:$B), "", SUMIFS('04_LOG_FIELD_ENTRIES'!$J:$J, '04_LOG_FIELD_ENTRIES'!$B:$B, B33, '04_LOG_FIELD_ENTRIES'!$D:$D, C33, '04_LOG_FIELD_ENTRIES'!$K:$K, "AC_*"))</f>
        <v/>
      </c>
      <c r="K33" s="6">
        <f>IF(B33 &gt; MAX('04_LOG_FIELD_ENTRIES'!$B:$B), "", SUMIFS(J$2:J33, C$2:C33, C33))</f>
        <v/>
      </c>
      <c r="L33" s="6">
        <f>IF(K33="", "", I33-K33)</f>
        <v/>
      </c>
      <c r="M33" s="6">
        <f>IF(I33="", "", I33-G33)</f>
        <v/>
      </c>
      <c r="N33" s="21">
        <f>IF(I33="", "", IF(G33&gt;0, I33/G33, 1))</f>
        <v/>
      </c>
      <c r="O33" s="21">
        <f>IF(I33="", "", IF(K33&gt;0, I33/K33, 1))</f>
        <v/>
      </c>
      <c r="P33" s="2">
        <f>IF(I33="", "", IF(AND(N33&gt;=0.95, O33&gt;=0.95), "SALUDABLE", IF(N33&lt;0.9, "ALERTA RETRASO", "ALERTA SOBRECOSTO")))</f>
        <v/>
      </c>
    </row>
    <row r="34" ht="19.95" customHeight="1">
      <c r="A34" s="4" t="n">
        <v>9</v>
      </c>
      <c r="B34" s="31" t="n">
        <v>46243</v>
      </c>
      <c r="C34" s="2" t="inlineStr">
        <is>
          <t>WBS-100</t>
        </is>
      </c>
      <c r="D34" s="3" t="inlineStr">
        <is>
          <t>Obras Preliminares, Trazo y Movilización</t>
        </is>
      </c>
      <c r="E34" s="6">
        <f>SUM('01_PRESUPUESTO_CRONOGRAMA_BASE'!G2:G3)</f>
        <v/>
      </c>
      <c r="F34" s="6">
        <f>SUMIFS('02_CRONOGRAMA_PV_DIARIO'!E:E, '02_CRONOGRAMA_PV_DIARIO'!A:A, A34, '02_CRONOGRAMA_PV_DIARIO'!C:C, C34)</f>
        <v/>
      </c>
      <c r="G34" s="6">
        <f>SUMIFS(F$2:F34, C$2:C34, C34)</f>
        <v/>
      </c>
      <c r="H34" s="6">
        <f>IF(B34 &gt; MAX('04_LOG_FIELD_ENTRIES'!$B:$B), "", SUMIFS('04_LOG_FIELD_ENTRIES'!$J:$J, '04_LOG_FIELD_ENTRIES'!$B:$B, B34, '04_LOG_FIELD_ENTRIES'!$D:$D, C34, '04_LOG_FIELD_ENTRIES'!$K:$K, "EV_PRODUCCION"))</f>
        <v/>
      </c>
      <c r="I34" s="6">
        <f>IF(B34 &gt; MAX('04_LOG_FIELD_ENTRIES'!$B:$B), "", SUMIFS(H$2:H34, C$2:C34, C34))</f>
        <v/>
      </c>
      <c r="J34" s="6">
        <f>IF(B34 &gt; MAX('04_LOG_FIELD_ENTRIES'!$B:$B), "", SUMIFS('04_LOG_FIELD_ENTRIES'!$J:$J, '04_LOG_FIELD_ENTRIES'!$B:$B, B34, '04_LOG_FIELD_ENTRIES'!$D:$D, C34, '04_LOG_FIELD_ENTRIES'!$K:$K, "AC_*"))</f>
        <v/>
      </c>
      <c r="K34" s="6">
        <f>IF(B34 &gt; MAX('04_LOG_FIELD_ENTRIES'!$B:$B), "", SUMIFS(J$2:J34, C$2:C34, C34))</f>
        <v/>
      </c>
      <c r="L34" s="6">
        <f>IF(K34="", "", I34-K34)</f>
        <v/>
      </c>
      <c r="M34" s="6">
        <f>IF(I34="", "", I34-G34)</f>
        <v/>
      </c>
      <c r="N34" s="21">
        <f>IF(I34="", "", IF(G34&gt;0, I34/G34, 1))</f>
        <v/>
      </c>
      <c r="O34" s="21">
        <f>IF(I34="", "", IF(K34&gt;0, I34/K34, 1))</f>
        <v/>
      </c>
      <c r="P34" s="2">
        <f>IF(I34="", "", IF(AND(N34&gt;=0.95, O34&gt;=0.95), "SALUDABLE", IF(N34&lt;0.9, "ALERTA RETRASO", "ALERTA SOBRECOSTO")))</f>
        <v/>
      </c>
    </row>
    <row r="35" ht="19.95" customHeight="1">
      <c r="A35" s="4" t="n">
        <v>9</v>
      </c>
      <c r="B35" s="31" t="n">
        <v>46243</v>
      </c>
      <c r="C35" s="2" t="inlineStr">
        <is>
          <t>WBS-200</t>
        </is>
      </c>
      <c r="D35" s="3" t="inlineStr">
        <is>
          <t>Red de Alcantarillado, Zanjas y Buzones</t>
        </is>
      </c>
      <c r="E35" s="6">
        <f>SUM('01_PRESUPUESTO_CRONOGRAMA_BASE'!G4:G9)</f>
        <v/>
      </c>
      <c r="F35" s="6">
        <f>SUMIFS('02_CRONOGRAMA_PV_DIARIO'!E:E, '02_CRONOGRAMA_PV_DIARIO'!A:A, A35, '02_CRONOGRAMA_PV_DIARIO'!C:C, C35)</f>
        <v/>
      </c>
      <c r="G35" s="6">
        <f>SUMIFS(F$2:F35, C$2:C35, C35)</f>
        <v/>
      </c>
      <c r="H35" s="6">
        <f>IF(B35 &gt; MAX('04_LOG_FIELD_ENTRIES'!$B:$B), "", SUMIFS('04_LOG_FIELD_ENTRIES'!$J:$J, '04_LOG_FIELD_ENTRIES'!$B:$B, B35, '04_LOG_FIELD_ENTRIES'!$D:$D, C35, '04_LOG_FIELD_ENTRIES'!$K:$K, "EV_PRODUCCION"))</f>
        <v/>
      </c>
      <c r="I35" s="6">
        <f>IF(B35 &gt; MAX('04_LOG_FIELD_ENTRIES'!$B:$B), "", SUMIFS(H$2:H35, C$2:C35, C35))</f>
        <v/>
      </c>
      <c r="J35" s="6">
        <f>IF(B35 &gt; MAX('04_LOG_FIELD_ENTRIES'!$B:$B), "", SUMIFS('04_LOG_FIELD_ENTRIES'!$J:$J, '04_LOG_FIELD_ENTRIES'!$B:$B, B35, '04_LOG_FIELD_ENTRIES'!$D:$D, C35, '04_LOG_FIELD_ENTRIES'!$K:$K, "AC_*"))</f>
        <v/>
      </c>
      <c r="K35" s="6">
        <f>IF(B35 &gt; MAX('04_LOG_FIELD_ENTRIES'!$B:$B), "", SUMIFS(J$2:J35, C$2:C35, C35))</f>
        <v/>
      </c>
      <c r="L35" s="6">
        <f>IF(K35="", "", I35-K35)</f>
        <v/>
      </c>
      <c r="M35" s="6">
        <f>IF(I35="", "", I35-G35)</f>
        <v/>
      </c>
      <c r="N35" s="21">
        <f>IF(I35="", "", IF(G35&gt;0, I35/G35, 1))</f>
        <v/>
      </c>
      <c r="O35" s="21">
        <f>IF(I35="", "", IF(K35&gt;0, I35/K35, 1))</f>
        <v/>
      </c>
      <c r="P35" s="2">
        <f>IF(I35="", "", IF(AND(N35&gt;=0.95, O35&gt;=0.95), "SALUDABLE", IF(N35&lt;0.9, "ALERTA RETRASO", "ALERTA SOBRECOSTO")))</f>
        <v/>
      </c>
    </row>
    <row r="36" ht="19.95" customHeight="1">
      <c r="A36" s="4" t="n">
        <v>9</v>
      </c>
      <c r="B36" s="31" t="n">
        <v>46243</v>
      </c>
      <c r="C36" s="2" t="inlineStr">
        <is>
          <t>WBS-300</t>
        </is>
      </c>
      <c r="D36" s="3" t="inlineStr">
        <is>
          <t>Red de Agua Potable y Conexiones Domiciliarias</t>
        </is>
      </c>
      <c r="E36" s="6">
        <f>SUM('01_PRESUPUESTO_CRONOGRAMA_BASE'!G10:G11)</f>
        <v/>
      </c>
      <c r="F36" s="6">
        <f>SUMIFS('02_CRONOGRAMA_PV_DIARIO'!E:E, '02_CRONOGRAMA_PV_DIARIO'!A:A, A36, '02_CRONOGRAMA_PV_DIARIO'!C:C, C36)</f>
        <v/>
      </c>
      <c r="G36" s="6">
        <f>SUMIFS(F$2:F36, C$2:C36, C36)</f>
        <v/>
      </c>
      <c r="H36" s="6">
        <f>IF(B36 &gt; MAX('04_LOG_FIELD_ENTRIES'!$B:$B), "", SUMIFS('04_LOG_FIELD_ENTRIES'!$J:$J, '04_LOG_FIELD_ENTRIES'!$B:$B, B36, '04_LOG_FIELD_ENTRIES'!$D:$D, C36, '04_LOG_FIELD_ENTRIES'!$K:$K, "EV_PRODUCCION"))</f>
        <v/>
      </c>
      <c r="I36" s="6">
        <f>IF(B36 &gt; MAX('04_LOG_FIELD_ENTRIES'!$B:$B), "", SUMIFS(H$2:H36, C$2:C36, C36))</f>
        <v/>
      </c>
      <c r="J36" s="6">
        <f>IF(B36 &gt; MAX('04_LOG_FIELD_ENTRIES'!$B:$B), "", SUMIFS('04_LOG_FIELD_ENTRIES'!$J:$J, '04_LOG_FIELD_ENTRIES'!$B:$B, B36, '04_LOG_FIELD_ENTRIES'!$D:$D, C36, '04_LOG_FIELD_ENTRIES'!$K:$K, "AC_*"))</f>
        <v/>
      </c>
      <c r="K36" s="6">
        <f>IF(B36 &gt; MAX('04_LOG_FIELD_ENTRIES'!$B:$B), "", SUMIFS(J$2:J36, C$2:C36, C36))</f>
        <v/>
      </c>
      <c r="L36" s="6">
        <f>IF(K36="", "", I36-K36)</f>
        <v/>
      </c>
      <c r="M36" s="6">
        <f>IF(I36="", "", I36-G36)</f>
        <v/>
      </c>
      <c r="N36" s="21">
        <f>IF(I36="", "", IF(G36&gt;0, I36/G36, 1))</f>
        <v/>
      </c>
      <c r="O36" s="21">
        <f>IF(I36="", "", IF(K36&gt;0, I36/K36, 1))</f>
        <v/>
      </c>
      <c r="P36" s="2">
        <f>IF(I36="", "", IF(AND(N36&gt;=0.95, O36&gt;=0.95), "SALUDABLE", IF(N36&lt;0.9, "ALERTA RETRASO", "ALERTA SOBRECOSTO")))</f>
        <v/>
      </c>
    </row>
    <row r="37" ht="19.95" customHeight="1">
      <c r="A37" s="4" t="n">
        <v>9</v>
      </c>
      <c r="B37" s="31" t="n">
        <v>46243</v>
      </c>
      <c r="C37" s="2" t="inlineStr">
        <is>
          <t>WBS-400</t>
        </is>
      </c>
      <c r="D37" s="3" t="inlineStr">
        <is>
          <t>Pruebas Hidráulicas, Desinfección y Entrega</t>
        </is>
      </c>
      <c r="E37" s="6">
        <f>SUM('01_PRESUPUESTO_CRONOGRAMA_BASE'!G12:G12)</f>
        <v/>
      </c>
      <c r="F37" s="6">
        <f>SUMIFS('02_CRONOGRAMA_PV_DIARIO'!E:E, '02_CRONOGRAMA_PV_DIARIO'!A:A, A37, '02_CRONOGRAMA_PV_DIARIO'!C:C, C37)</f>
        <v/>
      </c>
      <c r="G37" s="6">
        <f>SUMIFS(F$2:F37, C$2:C37, C37)</f>
        <v/>
      </c>
      <c r="H37" s="6">
        <f>IF(B37 &gt; MAX('04_LOG_FIELD_ENTRIES'!$B:$B), "", SUMIFS('04_LOG_FIELD_ENTRIES'!$J:$J, '04_LOG_FIELD_ENTRIES'!$B:$B, B37, '04_LOG_FIELD_ENTRIES'!$D:$D, C37, '04_LOG_FIELD_ENTRIES'!$K:$K, "EV_PRODUCCION"))</f>
        <v/>
      </c>
      <c r="I37" s="6">
        <f>IF(B37 &gt; MAX('04_LOG_FIELD_ENTRIES'!$B:$B), "", SUMIFS(H$2:H37, C$2:C37, C37))</f>
        <v/>
      </c>
      <c r="J37" s="6">
        <f>IF(B37 &gt; MAX('04_LOG_FIELD_ENTRIES'!$B:$B), "", SUMIFS('04_LOG_FIELD_ENTRIES'!$J:$J, '04_LOG_FIELD_ENTRIES'!$B:$B, B37, '04_LOG_FIELD_ENTRIES'!$D:$D, C37, '04_LOG_FIELD_ENTRIES'!$K:$K, "AC_*"))</f>
        <v/>
      </c>
      <c r="K37" s="6">
        <f>IF(B37 &gt; MAX('04_LOG_FIELD_ENTRIES'!$B:$B), "", SUMIFS(J$2:J37, C$2:C37, C37))</f>
        <v/>
      </c>
      <c r="L37" s="6">
        <f>IF(K37="", "", I37-K37)</f>
        <v/>
      </c>
      <c r="M37" s="6">
        <f>IF(I37="", "", I37-G37)</f>
        <v/>
      </c>
      <c r="N37" s="21">
        <f>IF(I37="", "", IF(G37&gt;0, I37/G37, 1))</f>
        <v/>
      </c>
      <c r="O37" s="21">
        <f>IF(I37="", "", IF(K37&gt;0, I37/K37, 1))</f>
        <v/>
      </c>
      <c r="P37" s="2">
        <f>IF(I37="", "", IF(AND(N37&gt;=0.95, O37&gt;=0.95), "SALUDABLE", IF(N37&lt;0.9, "ALERTA RETRASO", "ALERTA SOBRECOSTO")))</f>
        <v/>
      </c>
    </row>
    <row r="38" ht="19.95" customHeight="1">
      <c r="A38" s="4" t="n">
        <v>10</v>
      </c>
      <c r="B38" s="31" t="n">
        <v>46244</v>
      </c>
      <c r="C38" s="2" t="inlineStr">
        <is>
          <t>WBS-100</t>
        </is>
      </c>
      <c r="D38" s="3" t="inlineStr">
        <is>
          <t>Obras Preliminares, Trazo y Movilización</t>
        </is>
      </c>
      <c r="E38" s="6">
        <f>SUM('01_PRESUPUESTO_CRONOGRAMA_BASE'!G2:G3)</f>
        <v/>
      </c>
      <c r="F38" s="6">
        <f>SUMIFS('02_CRONOGRAMA_PV_DIARIO'!E:E, '02_CRONOGRAMA_PV_DIARIO'!A:A, A38, '02_CRONOGRAMA_PV_DIARIO'!C:C, C38)</f>
        <v/>
      </c>
      <c r="G38" s="6">
        <f>SUMIFS(F$2:F38, C$2:C38, C38)</f>
        <v/>
      </c>
      <c r="H38" s="6">
        <f>IF(B38 &gt; MAX('04_LOG_FIELD_ENTRIES'!$B:$B), "", SUMIFS('04_LOG_FIELD_ENTRIES'!$J:$J, '04_LOG_FIELD_ENTRIES'!$B:$B, B38, '04_LOG_FIELD_ENTRIES'!$D:$D, C38, '04_LOG_FIELD_ENTRIES'!$K:$K, "EV_PRODUCCION"))</f>
        <v/>
      </c>
      <c r="I38" s="6">
        <f>IF(B38 &gt; MAX('04_LOG_FIELD_ENTRIES'!$B:$B), "", SUMIFS(H$2:H38, C$2:C38, C38))</f>
        <v/>
      </c>
      <c r="J38" s="6">
        <f>IF(B38 &gt; MAX('04_LOG_FIELD_ENTRIES'!$B:$B), "", SUMIFS('04_LOG_FIELD_ENTRIES'!$J:$J, '04_LOG_FIELD_ENTRIES'!$B:$B, B38, '04_LOG_FIELD_ENTRIES'!$D:$D, C38, '04_LOG_FIELD_ENTRIES'!$K:$K, "AC_*"))</f>
        <v/>
      </c>
      <c r="K38" s="6">
        <f>IF(B38 &gt; MAX('04_LOG_FIELD_ENTRIES'!$B:$B), "", SUMIFS(J$2:J38, C$2:C38, C38))</f>
        <v/>
      </c>
      <c r="L38" s="6">
        <f>IF(K38="", "", I38-K38)</f>
        <v/>
      </c>
      <c r="M38" s="6">
        <f>IF(I38="", "", I38-G38)</f>
        <v/>
      </c>
      <c r="N38" s="21">
        <f>IF(I38="", "", IF(G38&gt;0, I38/G38, 1))</f>
        <v/>
      </c>
      <c r="O38" s="21">
        <f>IF(I38="", "", IF(K38&gt;0, I38/K38, 1))</f>
        <v/>
      </c>
      <c r="P38" s="2">
        <f>IF(I38="", "", IF(AND(N38&gt;=0.95, O38&gt;=0.95), "SALUDABLE", IF(N38&lt;0.9, "ALERTA RETRASO", "ALERTA SOBRECOSTO")))</f>
        <v/>
      </c>
    </row>
    <row r="39" ht="19.95" customHeight="1">
      <c r="A39" s="4" t="n">
        <v>10</v>
      </c>
      <c r="B39" s="31" t="n">
        <v>46244</v>
      </c>
      <c r="C39" s="2" t="inlineStr">
        <is>
          <t>WBS-200</t>
        </is>
      </c>
      <c r="D39" s="3" t="inlineStr">
        <is>
          <t>Red de Alcantarillado, Zanjas y Buzones</t>
        </is>
      </c>
      <c r="E39" s="6">
        <f>SUM('01_PRESUPUESTO_CRONOGRAMA_BASE'!G4:G9)</f>
        <v/>
      </c>
      <c r="F39" s="6">
        <f>SUMIFS('02_CRONOGRAMA_PV_DIARIO'!E:E, '02_CRONOGRAMA_PV_DIARIO'!A:A, A39, '02_CRONOGRAMA_PV_DIARIO'!C:C, C39)</f>
        <v/>
      </c>
      <c r="G39" s="6">
        <f>SUMIFS(F$2:F39, C$2:C39, C39)</f>
        <v/>
      </c>
      <c r="H39" s="6">
        <f>IF(B39 &gt; MAX('04_LOG_FIELD_ENTRIES'!$B:$B), "", SUMIFS('04_LOG_FIELD_ENTRIES'!$J:$J, '04_LOG_FIELD_ENTRIES'!$B:$B, B39, '04_LOG_FIELD_ENTRIES'!$D:$D, C39, '04_LOG_FIELD_ENTRIES'!$K:$K, "EV_PRODUCCION"))</f>
        <v/>
      </c>
      <c r="I39" s="6">
        <f>IF(B39 &gt; MAX('04_LOG_FIELD_ENTRIES'!$B:$B), "", SUMIFS(H$2:H39, C$2:C39, C39))</f>
        <v/>
      </c>
      <c r="J39" s="6">
        <f>IF(B39 &gt; MAX('04_LOG_FIELD_ENTRIES'!$B:$B), "", SUMIFS('04_LOG_FIELD_ENTRIES'!$J:$J, '04_LOG_FIELD_ENTRIES'!$B:$B, B39, '04_LOG_FIELD_ENTRIES'!$D:$D, C39, '04_LOG_FIELD_ENTRIES'!$K:$K, "AC_*"))</f>
        <v/>
      </c>
      <c r="K39" s="6">
        <f>IF(B39 &gt; MAX('04_LOG_FIELD_ENTRIES'!$B:$B), "", SUMIFS(J$2:J39, C$2:C39, C39))</f>
        <v/>
      </c>
      <c r="L39" s="6">
        <f>IF(K39="", "", I39-K39)</f>
        <v/>
      </c>
      <c r="M39" s="6">
        <f>IF(I39="", "", I39-G39)</f>
        <v/>
      </c>
      <c r="N39" s="21">
        <f>IF(I39="", "", IF(G39&gt;0, I39/G39, 1))</f>
        <v/>
      </c>
      <c r="O39" s="21">
        <f>IF(I39="", "", IF(K39&gt;0, I39/K39, 1))</f>
        <v/>
      </c>
      <c r="P39" s="2">
        <f>IF(I39="", "", IF(AND(N39&gt;=0.95, O39&gt;=0.95), "SALUDABLE", IF(N39&lt;0.9, "ALERTA RETRASO", "ALERTA SOBRECOSTO")))</f>
        <v/>
      </c>
    </row>
    <row r="40" ht="19.95" customHeight="1">
      <c r="A40" s="4" t="n">
        <v>10</v>
      </c>
      <c r="B40" s="31" t="n">
        <v>46244</v>
      </c>
      <c r="C40" s="2" t="inlineStr">
        <is>
          <t>WBS-300</t>
        </is>
      </c>
      <c r="D40" s="3" t="inlineStr">
        <is>
          <t>Red de Agua Potable y Conexiones Domiciliarias</t>
        </is>
      </c>
      <c r="E40" s="6">
        <f>SUM('01_PRESUPUESTO_CRONOGRAMA_BASE'!G10:G11)</f>
        <v/>
      </c>
      <c r="F40" s="6">
        <f>SUMIFS('02_CRONOGRAMA_PV_DIARIO'!E:E, '02_CRONOGRAMA_PV_DIARIO'!A:A, A40, '02_CRONOGRAMA_PV_DIARIO'!C:C, C40)</f>
        <v/>
      </c>
      <c r="G40" s="6">
        <f>SUMIFS(F$2:F40, C$2:C40, C40)</f>
        <v/>
      </c>
      <c r="H40" s="6">
        <f>IF(B40 &gt; MAX('04_LOG_FIELD_ENTRIES'!$B:$B), "", SUMIFS('04_LOG_FIELD_ENTRIES'!$J:$J, '04_LOG_FIELD_ENTRIES'!$B:$B, B40, '04_LOG_FIELD_ENTRIES'!$D:$D, C40, '04_LOG_FIELD_ENTRIES'!$K:$K, "EV_PRODUCCION"))</f>
        <v/>
      </c>
      <c r="I40" s="6">
        <f>IF(B40 &gt; MAX('04_LOG_FIELD_ENTRIES'!$B:$B), "", SUMIFS(H$2:H40, C$2:C40, C40))</f>
        <v/>
      </c>
      <c r="J40" s="6">
        <f>IF(B40 &gt; MAX('04_LOG_FIELD_ENTRIES'!$B:$B), "", SUMIFS('04_LOG_FIELD_ENTRIES'!$J:$J, '04_LOG_FIELD_ENTRIES'!$B:$B, B40, '04_LOG_FIELD_ENTRIES'!$D:$D, C40, '04_LOG_FIELD_ENTRIES'!$K:$K, "AC_*"))</f>
        <v/>
      </c>
      <c r="K40" s="6">
        <f>IF(B40 &gt; MAX('04_LOG_FIELD_ENTRIES'!$B:$B), "", SUMIFS(J$2:J40, C$2:C40, C40))</f>
        <v/>
      </c>
      <c r="L40" s="6">
        <f>IF(K40="", "", I40-K40)</f>
        <v/>
      </c>
      <c r="M40" s="6">
        <f>IF(I40="", "", I40-G40)</f>
        <v/>
      </c>
      <c r="N40" s="21">
        <f>IF(I40="", "", IF(G40&gt;0, I40/G40, 1))</f>
        <v/>
      </c>
      <c r="O40" s="21">
        <f>IF(I40="", "", IF(K40&gt;0, I40/K40, 1))</f>
        <v/>
      </c>
      <c r="P40" s="2">
        <f>IF(I40="", "", IF(AND(N40&gt;=0.95, O40&gt;=0.95), "SALUDABLE", IF(N40&lt;0.9, "ALERTA RETRASO", "ALERTA SOBRECOSTO")))</f>
        <v/>
      </c>
    </row>
    <row r="41" ht="19.95" customHeight="1">
      <c r="A41" s="4" t="n">
        <v>10</v>
      </c>
      <c r="B41" s="31" t="n">
        <v>46244</v>
      </c>
      <c r="C41" s="2" t="inlineStr">
        <is>
          <t>WBS-400</t>
        </is>
      </c>
      <c r="D41" s="3" t="inlineStr">
        <is>
          <t>Pruebas Hidráulicas, Desinfección y Entrega</t>
        </is>
      </c>
      <c r="E41" s="6">
        <f>SUM('01_PRESUPUESTO_CRONOGRAMA_BASE'!G12:G12)</f>
        <v/>
      </c>
      <c r="F41" s="6">
        <f>SUMIFS('02_CRONOGRAMA_PV_DIARIO'!E:E, '02_CRONOGRAMA_PV_DIARIO'!A:A, A41, '02_CRONOGRAMA_PV_DIARIO'!C:C, C41)</f>
        <v/>
      </c>
      <c r="G41" s="6">
        <f>SUMIFS(F$2:F41, C$2:C41, C41)</f>
        <v/>
      </c>
      <c r="H41" s="6">
        <f>IF(B41 &gt; MAX('04_LOG_FIELD_ENTRIES'!$B:$B), "", SUMIFS('04_LOG_FIELD_ENTRIES'!$J:$J, '04_LOG_FIELD_ENTRIES'!$B:$B, B41, '04_LOG_FIELD_ENTRIES'!$D:$D, C41, '04_LOG_FIELD_ENTRIES'!$K:$K, "EV_PRODUCCION"))</f>
        <v/>
      </c>
      <c r="I41" s="6">
        <f>IF(B41 &gt; MAX('04_LOG_FIELD_ENTRIES'!$B:$B), "", SUMIFS(H$2:H41, C$2:C41, C41))</f>
        <v/>
      </c>
      <c r="J41" s="6">
        <f>IF(B41 &gt; MAX('04_LOG_FIELD_ENTRIES'!$B:$B), "", SUMIFS('04_LOG_FIELD_ENTRIES'!$J:$J, '04_LOG_FIELD_ENTRIES'!$B:$B, B41, '04_LOG_FIELD_ENTRIES'!$D:$D, C41, '04_LOG_FIELD_ENTRIES'!$K:$K, "AC_*"))</f>
        <v/>
      </c>
      <c r="K41" s="6">
        <f>IF(B41 &gt; MAX('04_LOG_FIELD_ENTRIES'!$B:$B), "", SUMIFS(J$2:J41, C$2:C41, C41))</f>
        <v/>
      </c>
      <c r="L41" s="6">
        <f>IF(K41="", "", I41-K41)</f>
        <v/>
      </c>
      <c r="M41" s="6">
        <f>IF(I41="", "", I41-G41)</f>
        <v/>
      </c>
      <c r="N41" s="21">
        <f>IF(I41="", "", IF(G41&gt;0, I41/G41, 1))</f>
        <v/>
      </c>
      <c r="O41" s="21">
        <f>IF(I41="", "", IF(K41&gt;0, I41/K41, 1))</f>
        <v/>
      </c>
      <c r="P41" s="2">
        <f>IF(I41="", "", IF(AND(N41&gt;=0.95, O41&gt;=0.95), "SALUDABLE", IF(N41&lt;0.9, "ALERTA RETRASO", "ALERTA SOBRECOSTO")))</f>
        <v/>
      </c>
    </row>
    <row r="42" ht="19.95" customHeight="1">
      <c r="A42" s="4" t="n">
        <v>11</v>
      </c>
      <c r="B42" s="31" t="n">
        <v>46245</v>
      </c>
      <c r="C42" s="2" t="inlineStr">
        <is>
          <t>WBS-100</t>
        </is>
      </c>
      <c r="D42" s="3" t="inlineStr">
        <is>
          <t>Obras Preliminares, Trazo y Movilización</t>
        </is>
      </c>
      <c r="E42" s="6">
        <f>SUM('01_PRESUPUESTO_CRONOGRAMA_BASE'!G2:G3)</f>
        <v/>
      </c>
      <c r="F42" s="6">
        <f>SUMIFS('02_CRONOGRAMA_PV_DIARIO'!E:E, '02_CRONOGRAMA_PV_DIARIO'!A:A, A42, '02_CRONOGRAMA_PV_DIARIO'!C:C, C42)</f>
        <v/>
      </c>
      <c r="G42" s="6">
        <f>SUMIFS(F$2:F42, C$2:C42, C42)</f>
        <v/>
      </c>
      <c r="H42" s="6">
        <f>IF(B42 &gt; MAX('04_LOG_FIELD_ENTRIES'!$B:$B), "", SUMIFS('04_LOG_FIELD_ENTRIES'!$J:$J, '04_LOG_FIELD_ENTRIES'!$B:$B, B42, '04_LOG_FIELD_ENTRIES'!$D:$D, C42, '04_LOG_FIELD_ENTRIES'!$K:$K, "EV_PRODUCCION"))</f>
        <v/>
      </c>
      <c r="I42" s="6">
        <f>IF(B42 &gt; MAX('04_LOG_FIELD_ENTRIES'!$B:$B), "", SUMIFS(H$2:H42, C$2:C42, C42))</f>
        <v/>
      </c>
      <c r="J42" s="6">
        <f>IF(B42 &gt; MAX('04_LOG_FIELD_ENTRIES'!$B:$B), "", SUMIFS('04_LOG_FIELD_ENTRIES'!$J:$J, '04_LOG_FIELD_ENTRIES'!$B:$B, B42, '04_LOG_FIELD_ENTRIES'!$D:$D, C42, '04_LOG_FIELD_ENTRIES'!$K:$K, "AC_*"))</f>
        <v/>
      </c>
      <c r="K42" s="6">
        <f>IF(B42 &gt; MAX('04_LOG_FIELD_ENTRIES'!$B:$B), "", SUMIFS(J$2:J42, C$2:C42, C42))</f>
        <v/>
      </c>
      <c r="L42" s="6">
        <f>IF(K42="", "", I42-K42)</f>
        <v/>
      </c>
      <c r="M42" s="6">
        <f>IF(I42="", "", I42-G42)</f>
        <v/>
      </c>
      <c r="N42" s="21">
        <f>IF(I42="", "", IF(G42&gt;0, I42/G42, 1))</f>
        <v/>
      </c>
      <c r="O42" s="21">
        <f>IF(I42="", "", IF(K42&gt;0, I42/K42, 1))</f>
        <v/>
      </c>
      <c r="P42" s="2">
        <f>IF(I42="", "", IF(AND(N42&gt;=0.95, O42&gt;=0.95), "SALUDABLE", IF(N42&lt;0.9, "ALERTA RETRASO", "ALERTA SOBRECOSTO")))</f>
        <v/>
      </c>
    </row>
    <row r="43" ht="19.95" customHeight="1">
      <c r="A43" s="4" t="n">
        <v>11</v>
      </c>
      <c r="B43" s="31" t="n">
        <v>46245</v>
      </c>
      <c r="C43" s="2" t="inlineStr">
        <is>
          <t>WBS-200</t>
        </is>
      </c>
      <c r="D43" s="3" t="inlineStr">
        <is>
          <t>Red de Alcantarillado, Zanjas y Buzones</t>
        </is>
      </c>
      <c r="E43" s="6">
        <f>SUM('01_PRESUPUESTO_CRONOGRAMA_BASE'!G4:G9)</f>
        <v/>
      </c>
      <c r="F43" s="6">
        <f>SUMIFS('02_CRONOGRAMA_PV_DIARIO'!E:E, '02_CRONOGRAMA_PV_DIARIO'!A:A, A43, '02_CRONOGRAMA_PV_DIARIO'!C:C, C43)</f>
        <v/>
      </c>
      <c r="G43" s="6">
        <f>SUMIFS(F$2:F43, C$2:C43, C43)</f>
        <v/>
      </c>
      <c r="H43" s="6">
        <f>IF(B43 &gt; MAX('04_LOG_FIELD_ENTRIES'!$B:$B), "", SUMIFS('04_LOG_FIELD_ENTRIES'!$J:$J, '04_LOG_FIELD_ENTRIES'!$B:$B, B43, '04_LOG_FIELD_ENTRIES'!$D:$D, C43, '04_LOG_FIELD_ENTRIES'!$K:$K, "EV_PRODUCCION"))</f>
        <v/>
      </c>
      <c r="I43" s="6">
        <f>IF(B43 &gt; MAX('04_LOG_FIELD_ENTRIES'!$B:$B), "", SUMIFS(H$2:H43, C$2:C43, C43))</f>
        <v/>
      </c>
      <c r="J43" s="6">
        <f>IF(B43 &gt; MAX('04_LOG_FIELD_ENTRIES'!$B:$B), "", SUMIFS('04_LOG_FIELD_ENTRIES'!$J:$J, '04_LOG_FIELD_ENTRIES'!$B:$B, B43, '04_LOG_FIELD_ENTRIES'!$D:$D, C43, '04_LOG_FIELD_ENTRIES'!$K:$K, "AC_*"))</f>
        <v/>
      </c>
      <c r="K43" s="6">
        <f>IF(B43 &gt; MAX('04_LOG_FIELD_ENTRIES'!$B:$B), "", SUMIFS(J$2:J43, C$2:C43, C43))</f>
        <v/>
      </c>
      <c r="L43" s="6">
        <f>IF(K43="", "", I43-K43)</f>
        <v/>
      </c>
      <c r="M43" s="6">
        <f>IF(I43="", "", I43-G43)</f>
        <v/>
      </c>
      <c r="N43" s="21">
        <f>IF(I43="", "", IF(G43&gt;0, I43/G43, 1))</f>
        <v/>
      </c>
      <c r="O43" s="21">
        <f>IF(I43="", "", IF(K43&gt;0, I43/K43, 1))</f>
        <v/>
      </c>
      <c r="P43" s="2">
        <f>IF(I43="", "", IF(AND(N43&gt;=0.95, O43&gt;=0.95), "SALUDABLE", IF(N43&lt;0.9, "ALERTA RETRASO", "ALERTA SOBRECOSTO")))</f>
        <v/>
      </c>
    </row>
    <row r="44" ht="19.95" customHeight="1">
      <c r="A44" s="4" t="n">
        <v>11</v>
      </c>
      <c r="B44" s="31" t="n">
        <v>46245</v>
      </c>
      <c r="C44" s="2" t="inlineStr">
        <is>
          <t>WBS-300</t>
        </is>
      </c>
      <c r="D44" s="3" t="inlineStr">
        <is>
          <t>Red de Agua Potable y Conexiones Domiciliarias</t>
        </is>
      </c>
      <c r="E44" s="6">
        <f>SUM('01_PRESUPUESTO_CRONOGRAMA_BASE'!G10:G11)</f>
        <v/>
      </c>
      <c r="F44" s="6">
        <f>SUMIFS('02_CRONOGRAMA_PV_DIARIO'!E:E, '02_CRONOGRAMA_PV_DIARIO'!A:A, A44, '02_CRONOGRAMA_PV_DIARIO'!C:C, C44)</f>
        <v/>
      </c>
      <c r="G44" s="6">
        <f>SUMIFS(F$2:F44, C$2:C44, C44)</f>
        <v/>
      </c>
      <c r="H44" s="6">
        <f>IF(B44 &gt; MAX('04_LOG_FIELD_ENTRIES'!$B:$B), "", SUMIFS('04_LOG_FIELD_ENTRIES'!$J:$J, '04_LOG_FIELD_ENTRIES'!$B:$B, B44, '04_LOG_FIELD_ENTRIES'!$D:$D, C44, '04_LOG_FIELD_ENTRIES'!$K:$K, "EV_PRODUCCION"))</f>
        <v/>
      </c>
      <c r="I44" s="6">
        <f>IF(B44 &gt; MAX('04_LOG_FIELD_ENTRIES'!$B:$B), "", SUMIFS(H$2:H44, C$2:C44, C44))</f>
        <v/>
      </c>
      <c r="J44" s="6">
        <f>IF(B44 &gt; MAX('04_LOG_FIELD_ENTRIES'!$B:$B), "", SUMIFS('04_LOG_FIELD_ENTRIES'!$J:$J, '04_LOG_FIELD_ENTRIES'!$B:$B, B44, '04_LOG_FIELD_ENTRIES'!$D:$D, C44, '04_LOG_FIELD_ENTRIES'!$K:$K, "AC_*"))</f>
        <v/>
      </c>
      <c r="K44" s="6">
        <f>IF(B44 &gt; MAX('04_LOG_FIELD_ENTRIES'!$B:$B), "", SUMIFS(J$2:J44, C$2:C44, C44))</f>
        <v/>
      </c>
      <c r="L44" s="6">
        <f>IF(K44="", "", I44-K44)</f>
        <v/>
      </c>
      <c r="M44" s="6">
        <f>IF(I44="", "", I44-G44)</f>
        <v/>
      </c>
      <c r="N44" s="21">
        <f>IF(I44="", "", IF(G44&gt;0, I44/G44, 1))</f>
        <v/>
      </c>
      <c r="O44" s="21">
        <f>IF(I44="", "", IF(K44&gt;0, I44/K44, 1))</f>
        <v/>
      </c>
      <c r="P44" s="2">
        <f>IF(I44="", "", IF(AND(N44&gt;=0.95, O44&gt;=0.95), "SALUDABLE", IF(N44&lt;0.9, "ALERTA RETRASO", "ALERTA SOBRECOSTO")))</f>
        <v/>
      </c>
    </row>
    <row r="45" ht="19.95" customHeight="1">
      <c r="A45" s="4" t="n">
        <v>11</v>
      </c>
      <c r="B45" s="31" t="n">
        <v>46245</v>
      </c>
      <c r="C45" s="2" t="inlineStr">
        <is>
          <t>WBS-400</t>
        </is>
      </c>
      <c r="D45" s="3" t="inlineStr">
        <is>
          <t>Pruebas Hidráulicas, Desinfección y Entrega</t>
        </is>
      </c>
      <c r="E45" s="6">
        <f>SUM('01_PRESUPUESTO_CRONOGRAMA_BASE'!G12:G12)</f>
        <v/>
      </c>
      <c r="F45" s="6">
        <f>SUMIFS('02_CRONOGRAMA_PV_DIARIO'!E:E, '02_CRONOGRAMA_PV_DIARIO'!A:A, A45, '02_CRONOGRAMA_PV_DIARIO'!C:C, C45)</f>
        <v/>
      </c>
      <c r="G45" s="6">
        <f>SUMIFS(F$2:F45, C$2:C45, C45)</f>
        <v/>
      </c>
      <c r="H45" s="6">
        <f>IF(B45 &gt; MAX('04_LOG_FIELD_ENTRIES'!$B:$B), "", SUMIFS('04_LOG_FIELD_ENTRIES'!$J:$J, '04_LOG_FIELD_ENTRIES'!$B:$B, B45, '04_LOG_FIELD_ENTRIES'!$D:$D, C45, '04_LOG_FIELD_ENTRIES'!$K:$K, "EV_PRODUCCION"))</f>
        <v/>
      </c>
      <c r="I45" s="6">
        <f>IF(B45 &gt; MAX('04_LOG_FIELD_ENTRIES'!$B:$B), "", SUMIFS(H$2:H45, C$2:C45, C45))</f>
        <v/>
      </c>
      <c r="J45" s="6">
        <f>IF(B45 &gt; MAX('04_LOG_FIELD_ENTRIES'!$B:$B), "", SUMIFS('04_LOG_FIELD_ENTRIES'!$J:$J, '04_LOG_FIELD_ENTRIES'!$B:$B, B45, '04_LOG_FIELD_ENTRIES'!$D:$D, C45, '04_LOG_FIELD_ENTRIES'!$K:$K, "AC_*"))</f>
        <v/>
      </c>
      <c r="K45" s="6">
        <f>IF(B45 &gt; MAX('04_LOG_FIELD_ENTRIES'!$B:$B), "", SUMIFS(J$2:J45, C$2:C45, C45))</f>
        <v/>
      </c>
      <c r="L45" s="6">
        <f>IF(K45="", "", I45-K45)</f>
        <v/>
      </c>
      <c r="M45" s="6">
        <f>IF(I45="", "", I45-G45)</f>
        <v/>
      </c>
      <c r="N45" s="21">
        <f>IF(I45="", "", IF(G45&gt;0, I45/G45, 1))</f>
        <v/>
      </c>
      <c r="O45" s="21">
        <f>IF(I45="", "", IF(K45&gt;0, I45/K45, 1))</f>
        <v/>
      </c>
      <c r="P45" s="2">
        <f>IF(I45="", "", IF(AND(N45&gt;=0.95, O45&gt;=0.95), "SALUDABLE", IF(N45&lt;0.9, "ALERTA RETRASO", "ALERTA SOBRECOSTO")))</f>
        <v/>
      </c>
    </row>
    <row r="46" ht="19.95" customHeight="1">
      <c r="A46" s="4" t="n">
        <v>12</v>
      </c>
      <c r="B46" s="31" t="n">
        <v>46246</v>
      </c>
      <c r="C46" s="2" t="inlineStr">
        <is>
          <t>WBS-100</t>
        </is>
      </c>
      <c r="D46" s="3" t="inlineStr">
        <is>
          <t>Obras Preliminares, Trazo y Movilización</t>
        </is>
      </c>
      <c r="E46" s="6">
        <f>SUM('01_PRESUPUESTO_CRONOGRAMA_BASE'!G2:G3)</f>
        <v/>
      </c>
      <c r="F46" s="6">
        <f>SUMIFS('02_CRONOGRAMA_PV_DIARIO'!E:E, '02_CRONOGRAMA_PV_DIARIO'!A:A, A46, '02_CRONOGRAMA_PV_DIARIO'!C:C, C46)</f>
        <v/>
      </c>
      <c r="G46" s="6">
        <f>SUMIFS(F$2:F46, C$2:C46, C46)</f>
        <v/>
      </c>
      <c r="H46" s="6">
        <f>IF(B46 &gt; MAX('04_LOG_FIELD_ENTRIES'!$B:$B), "", SUMIFS('04_LOG_FIELD_ENTRIES'!$J:$J, '04_LOG_FIELD_ENTRIES'!$B:$B, B46, '04_LOG_FIELD_ENTRIES'!$D:$D, C46, '04_LOG_FIELD_ENTRIES'!$K:$K, "EV_PRODUCCION"))</f>
        <v/>
      </c>
      <c r="I46" s="6">
        <f>IF(B46 &gt; MAX('04_LOG_FIELD_ENTRIES'!$B:$B), "", SUMIFS(H$2:H46, C$2:C46, C46))</f>
        <v/>
      </c>
      <c r="J46" s="6">
        <f>IF(B46 &gt; MAX('04_LOG_FIELD_ENTRIES'!$B:$B), "", SUMIFS('04_LOG_FIELD_ENTRIES'!$J:$J, '04_LOG_FIELD_ENTRIES'!$B:$B, B46, '04_LOG_FIELD_ENTRIES'!$D:$D, C46, '04_LOG_FIELD_ENTRIES'!$K:$K, "AC_*"))</f>
        <v/>
      </c>
      <c r="K46" s="6">
        <f>IF(B46 &gt; MAX('04_LOG_FIELD_ENTRIES'!$B:$B), "", SUMIFS(J$2:J46, C$2:C46, C46))</f>
        <v/>
      </c>
      <c r="L46" s="6">
        <f>IF(K46="", "", I46-K46)</f>
        <v/>
      </c>
      <c r="M46" s="6">
        <f>IF(I46="", "", I46-G46)</f>
        <v/>
      </c>
      <c r="N46" s="21">
        <f>IF(I46="", "", IF(G46&gt;0, I46/G46, 1))</f>
        <v/>
      </c>
      <c r="O46" s="21">
        <f>IF(I46="", "", IF(K46&gt;0, I46/K46, 1))</f>
        <v/>
      </c>
      <c r="P46" s="2">
        <f>IF(I46="", "", IF(AND(N46&gt;=0.95, O46&gt;=0.95), "SALUDABLE", IF(N46&lt;0.9, "ALERTA RETRASO", "ALERTA SOBRECOSTO")))</f>
        <v/>
      </c>
    </row>
    <row r="47" ht="19.95" customHeight="1">
      <c r="A47" s="4" t="n">
        <v>12</v>
      </c>
      <c r="B47" s="31" t="n">
        <v>46246</v>
      </c>
      <c r="C47" s="2" t="inlineStr">
        <is>
          <t>WBS-200</t>
        </is>
      </c>
      <c r="D47" s="3" t="inlineStr">
        <is>
          <t>Red de Alcantarillado, Zanjas y Buzones</t>
        </is>
      </c>
      <c r="E47" s="6">
        <f>SUM('01_PRESUPUESTO_CRONOGRAMA_BASE'!G4:G9)</f>
        <v/>
      </c>
      <c r="F47" s="6">
        <f>SUMIFS('02_CRONOGRAMA_PV_DIARIO'!E:E, '02_CRONOGRAMA_PV_DIARIO'!A:A, A47, '02_CRONOGRAMA_PV_DIARIO'!C:C, C47)</f>
        <v/>
      </c>
      <c r="G47" s="6">
        <f>SUMIFS(F$2:F47, C$2:C47, C47)</f>
        <v/>
      </c>
      <c r="H47" s="6">
        <f>IF(B47 &gt; MAX('04_LOG_FIELD_ENTRIES'!$B:$B), "", SUMIFS('04_LOG_FIELD_ENTRIES'!$J:$J, '04_LOG_FIELD_ENTRIES'!$B:$B, B47, '04_LOG_FIELD_ENTRIES'!$D:$D, C47, '04_LOG_FIELD_ENTRIES'!$K:$K, "EV_PRODUCCION"))</f>
        <v/>
      </c>
      <c r="I47" s="6">
        <f>IF(B47 &gt; MAX('04_LOG_FIELD_ENTRIES'!$B:$B), "", SUMIFS(H$2:H47, C$2:C47, C47))</f>
        <v/>
      </c>
      <c r="J47" s="6">
        <f>IF(B47 &gt; MAX('04_LOG_FIELD_ENTRIES'!$B:$B), "", SUMIFS('04_LOG_FIELD_ENTRIES'!$J:$J, '04_LOG_FIELD_ENTRIES'!$B:$B, B47, '04_LOG_FIELD_ENTRIES'!$D:$D, C47, '04_LOG_FIELD_ENTRIES'!$K:$K, "AC_*"))</f>
        <v/>
      </c>
      <c r="K47" s="6">
        <f>IF(B47 &gt; MAX('04_LOG_FIELD_ENTRIES'!$B:$B), "", SUMIFS(J$2:J47, C$2:C47, C47))</f>
        <v/>
      </c>
      <c r="L47" s="6">
        <f>IF(K47="", "", I47-K47)</f>
        <v/>
      </c>
      <c r="M47" s="6">
        <f>IF(I47="", "", I47-G47)</f>
        <v/>
      </c>
      <c r="N47" s="21">
        <f>IF(I47="", "", IF(G47&gt;0, I47/G47, 1))</f>
        <v/>
      </c>
      <c r="O47" s="21">
        <f>IF(I47="", "", IF(K47&gt;0, I47/K47, 1))</f>
        <v/>
      </c>
      <c r="P47" s="2">
        <f>IF(I47="", "", IF(AND(N47&gt;=0.95, O47&gt;=0.95), "SALUDABLE", IF(N47&lt;0.9, "ALERTA RETRASO", "ALERTA SOBRECOSTO")))</f>
        <v/>
      </c>
    </row>
    <row r="48" ht="19.95" customHeight="1">
      <c r="A48" s="4" t="n">
        <v>12</v>
      </c>
      <c r="B48" s="31" t="n">
        <v>46246</v>
      </c>
      <c r="C48" s="2" t="inlineStr">
        <is>
          <t>WBS-300</t>
        </is>
      </c>
      <c r="D48" s="3" t="inlineStr">
        <is>
          <t>Red de Agua Potable y Conexiones Domiciliarias</t>
        </is>
      </c>
      <c r="E48" s="6">
        <f>SUM('01_PRESUPUESTO_CRONOGRAMA_BASE'!G10:G11)</f>
        <v/>
      </c>
      <c r="F48" s="6">
        <f>SUMIFS('02_CRONOGRAMA_PV_DIARIO'!E:E, '02_CRONOGRAMA_PV_DIARIO'!A:A, A48, '02_CRONOGRAMA_PV_DIARIO'!C:C, C48)</f>
        <v/>
      </c>
      <c r="G48" s="6">
        <f>SUMIFS(F$2:F48, C$2:C48, C48)</f>
        <v/>
      </c>
      <c r="H48" s="6">
        <f>IF(B48 &gt; MAX('04_LOG_FIELD_ENTRIES'!$B:$B), "", SUMIFS('04_LOG_FIELD_ENTRIES'!$J:$J, '04_LOG_FIELD_ENTRIES'!$B:$B, B48, '04_LOG_FIELD_ENTRIES'!$D:$D, C48, '04_LOG_FIELD_ENTRIES'!$K:$K, "EV_PRODUCCION"))</f>
        <v/>
      </c>
      <c r="I48" s="6">
        <f>IF(B48 &gt; MAX('04_LOG_FIELD_ENTRIES'!$B:$B), "", SUMIFS(H$2:H48, C$2:C48, C48))</f>
        <v/>
      </c>
      <c r="J48" s="6">
        <f>IF(B48 &gt; MAX('04_LOG_FIELD_ENTRIES'!$B:$B), "", SUMIFS('04_LOG_FIELD_ENTRIES'!$J:$J, '04_LOG_FIELD_ENTRIES'!$B:$B, B48, '04_LOG_FIELD_ENTRIES'!$D:$D, C48, '04_LOG_FIELD_ENTRIES'!$K:$K, "AC_*"))</f>
        <v/>
      </c>
      <c r="K48" s="6">
        <f>IF(B48 &gt; MAX('04_LOG_FIELD_ENTRIES'!$B:$B), "", SUMIFS(J$2:J48, C$2:C48, C48))</f>
        <v/>
      </c>
      <c r="L48" s="6">
        <f>IF(K48="", "", I48-K48)</f>
        <v/>
      </c>
      <c r="M48" s="6">
        <f>IF(I48="", "", I48-G48)</f>
        <v/>
      </c>
      <c r="N48" s="21">
        <f>IF(I48="", "", IF(G48&gt;0, I48/G48, 1))</f>
        <v/>
      </c>
      <c r="O48" s="21">
        <f>IF(I48="", "", IF(K48&gt;0, I48/K48, 1))</f>
        <v/>
      </c>
      <c r="P48" s="2">
        <f>IF(I48="", "", IF(AND(N48&gt;=0.95, O48&gt;=0.95), "SALUDABLE", IF(N48&lt;0.9, "ALERTA RETRASO", "ALERTA SOBRECOSTO")))</f>
        <v/>
      </c>
    </row>
    <row r="49" ht="19.95" customHeight="1">
      <c r="A49" s="4" t="n">
        <v>12</v>
      </c>
      <c r="B49" s="31" t="n">
        <v>46246</v>
      </c>
      <c r="C49" s="2" t="inlineStr">
        <is>
          <t>WBS-400</t>
        </is>
      </c>
      <c r="D49" s="3" t="inlineStr">
        <is>
          <t>Pruebas Hidráulicas, Desinfección y Entrega</t>
        </is>
      </c>
      <c r="E49" s="6">
        <f>SUM('01_PRESUPUESTO_CRONOGRAMA_BASE'!G12:G12)</f>
        <v/>
      </c>
      <c r="F49" s="6">
        <f>SUMIFS('02_CRONOGRAMA_PV_DIARIO'!E:E, '02_CRONOGRAMA_PV_DIARIO'!A:A, A49, '02_CRONOGRAMA_PV_DIARIO'!C:C, C49)</f>
        <v/>
      </c>
      <c r="G49" s="6">
        <f>SUMIFS(F$2:F49, C$2:C49, C49)</f>
        <v/>
      </c>
      <c r="H49" s="6">
        <f>IF(B49 &gt; MAX('04_LOG_FIELD_ENTRIES'!$B:$B), "", SUMIFS('04_LOG_FIELD_ENTRIES'!$J:$J, '04_LOG_FIELD_ENTRIES'!$B:$B, B49, '04_LOG_FIELD_ENTRIES'!$D:$D, C49, '04_LOG_FIELD_ENTRIES'!$K:$K, "EV_PRODUCCION"))</f>
        <v/>
      </c>
      <c r="I49" s="6">
        <f>IF(B49 &gt; MAX('04_LOG_FIELD_ENTRIES'!$B:$B), "", SUMIFS(H$2:H49, C$2:C49, C49))</f>
        <v/>
      </c>
      <c r="J49" s="6">
        <f>IF(B49 &gt; MAX('04_LOG_FIELD_ENTRIES'!$B:$B), "", SUMIFS('04_LOG_FIELD_ENTRIES'!$J:$J, '04_LOG_FIELD_ENTRIES'!$B:$B, B49, '04_LOG_FIELD_ENTRIES'!$D:$D, C49, '04_LOG_FIELD_ENTRIES'!$K:$K, "AC_*"))</f>
        <v/>
      </c>
      <c r="K49" s="6">
        <f>IF(B49 &gt; MAX('04_LOG_FIELD_ENTRIES'!$B:$B), "", SUMIFS(J$2:J49, C$2:C49, C49))</f>
        <v/>
      </c>
      <c r="L49" s="6">
        <f>IF(K49="", "", I49-K49)</f>
        <v/>
      </c>
      <c r="M49" s="6">
        <f>IF(I49="", "", I49-G49)</f>
        <v/>
      </c>
      <c r="N49" s="21">
        <f>IF(I49="", "", IF(G49&gt;0, I49/G49, 1))</f>
        <v/>
      </c>
      <c r="O49" s="21">
        <f>IF(I49="", "", IF(K49&gt;0, I49/K49, 1))</f>
        <v/>
      </c>
      <c r="P49" s="2">
        <f>IF(I49="", "", IF(AND(N49&gt;=0.95, O49&gt;=0.95), "SALUDABLE", IF(N49&lt;0.9, "ALERTA RETRASO", "ALERTA SOBRECOSTO")))</f>
        <v/>
      </c>
    </row>
    <row r="50" ht="19.95" customHeight="1">
      <c r="A50" s="4" t="n">
        <v>13</v>
      </c>
      <c r="B50" s="31" t="n">
        <v>46247</v>
      </c>
      <c r="C50" s="2" t="inlineStr">
        <is>
          <t>WBS-100</t>
        </is>
      </c>
      <c r="D50" s="3" t="inlineStr">
        <is>
          <t>Obras Preliminares, Trazo y Movilización</t>
        </is>
      </c>
      <c r="E50" s="6">
        <f>SUM('01_PRESUPUESTO_CRONOGRAMA_BASE'!G2:G3)</f>
        <v/>
      </c>
      <c r="F50" s="6">
        <f>SUMIFS('02_CRONOGRAMA_PV_DIARIO'!E:E, '02_CRONOGRAMA_PV_DIARIO'!A:A, A50, '02_CRONOGRAMA_PV_DIARIO'!C:C, C50)</f>
        <v/>
      </c>
      <c r="G50" s="6">
        <f>SUMIFS(F$2:F50, C$2:C50, C50)</f>
        <v/>
      </c>
      <c r="H50" s="6">
        <f>IF(B50 &gt; MAX('04_LOG_FIELD_ENTRIES'!$B:$B), "", SUMIFS('04_LOG_FIELD_ENTRIES'!$J:$J, '04_LOG_FIELD_ENTRIES'!$B:$B, B50, '04_LOG_FIELD_ENTRIES'!$D:$D, C50, '04_LOG_FIELD_ENTRIES'!$K:$K, "EV_PRODUCCION"))</f>
        <v/>
      </c>
      <c r="I50" s="6">
        <f>IF(B50 &gt; MAX('04_LOG_FIELD_ENTRIES'!$B:$B), "", SUMIFS(H$2:H50, C$2:C50, C50))</f>
        <v/>
      </c>
      <c r="J50" s="6">
        <f>IF(B50 &gt; MAX('04_LOG_FIELD_ENTRIES'!$B:$B), "", SUMIFS('04_LOG_FIELD_ENTRIES'!$J:$J, '04_LOG_FIELD_ENTRIES'!$B:$B, B50, '04_LOG_FIELD_ENTRIES'!$D:$D, C50, '04_LOG_FIELD_ENTRIES'!$K:$K, "AC_*"))</f>
        <v/>
      </c>
      <c r="K50" s="6">
        <f>IF(B50 &gt; MAX('04_LOG_FIELD_ENTRIES'!$B:$B), "", SUMIFS(J$2:J50, C$2:C50, C50))</f>
        <v/>
      </c>
      <c r="L50" s="6">
        <f>IF(K50="", "", I50-K50)</f>
        <v/>
      </c>
      <c r="M50" s="6">
        <f>IF(I50="", "", I50-G50)</f>
        <v/>
      </c>
      <c r="N50" s="21">
        <f>IF(I50="", "", IF(G50&gt;0, I50/G50, 1))</f>
        <v/>
      </c>
      <c r="O50" s="21">
        <f>IF(I50="", "", IF(K50&gt;0, I50/K50, 1))</f>
        <v/>
      </c>
      <c r="P50" s="2">
        <f>IF(I50="", "", IF(AND(N50&gt;=0.95, O50&gt;=0.95), "SALUDABLE", IF(N50&lt;0.9, "ALERTA RETRASO", "ALERTA SOBRECOSTO")))</f>
        <v/>
      </c>
    </row>
    <row r="51" ht="19.95" customHeight="1">
      <c r="A51" s="4" t="n">
        <v>13</v>
      </c>
      <c r="B51" s="31" t="n">
        <v>46247</v>
      </c>
      <c r="C51" s="2" t="inlineStr">
        <is>
          <t>WBS-200</t>
        </is>
      </c>
      <c r="D51" s="3" t="inlineStr">
        <is>
          <t>Red de Alcantarillado, Zanjas y Buzones</t>
        </is>
      </c>
      <c r="E51" s="6">
        <f>SUM('01_PRESUPUESTO_CRONOGRAMA_BASE'!G4:G9)</f>
        <v/>
      </c>
      <c r="F51" s="6">
        <f>SUMIFS('02_CRONOGRAMA_PV_DIARIO'!E:E, '02_CRONOGRAMA_PV_DIARIO'!A:A, A51, '02_CRONOGRAMA_PV_DIARIO'!C:C, C51)</f>
        <v/>
      </c>
      <c r="G51" s="6">
        <f>SUMIFS(F$2:F51, C$2:C51, C51)</f>
        <v/>
      </c>
      <c r="H51" s="6">
        <f>IF(B51 &gt; MAX('04_LOG_FIELD_ENTRIES'!$B:$B), "", SUMIFS('04_LOG_FIELD_ENTRIES'!$J:$J, '04_LOG_FIELD_ENTRIES'!$B:$B, B51, '04_LOG_FIELD_ENTRIES'!$D:$D, C51, '04_LOG_FIELD_ENTRIES'!$K:$K, "EV_PRODUCCION"))</f>
        <v/>
      </c>
      <c r="I51" s="6">
        <f>IF(B51 &gt; MAX('04_LOG_FIELD_ENTRIES'!$B:$B), "", SUMIFS(H$2:H51, C$2:C51, C51))</f>
        <v/>
      </c>
      <c r="J51" s="6">
        <f>IF(B51 &gt; MAX('04_LOG_FIELD_ENTRIES'!$B:$B), "", SUMIFS('04_LOG_FIELD_ENTRIES'!$J:$J, '04_LOG_FIELD_ENTRIES'!$B:$B, B51, '04_LOG_FIELD_ENTRIES'!$D:$D, C51, '04_LOG_FIELD_ENTRIES'!$K:$K, "AC_*"))</f>
        <v/>
      </c>
      <c r="K51" s="6">
        <f>IF(B51 &gt; MAX('04_LOG_FIELD_ENTRIES'!$B:$B), "", SUMIFS(J$2:J51, C$2:C51, C51))</f>
        <v/>
      </c>
      <c r="L51" s="6">
        <f>IF(K51="", "", I51-K51)</f>
        <v/>
      </c>
      <c r="M51" s="6">
        <f>IF(I51="", "", I51-G51)</f>
        <v/>
      </c>
      <c r="N51" s="21">
        <f>IF(I51="", "", IF(G51&gt;0, I51/G51, 1))</f>
        <v/>
      </c>
      <c r="O51" s="21">
        <f>IF(I51="", "", IF(K51&gt;0, I51/K51, 1))</f>
        <v/>
      </c>
      <c r="P51" s="2">
        <f>IF(I51="", "", IF(AND(N51&gt;=0.95, O51&gt;=0.95), "SALUDABLE", IF(N51&lt;0.9, "ALERTA RETRASO", "ALERTA SOBRECOSTO")))</f>
        <v/>
      </c>
    </row>
    <row r="52" ht="19.95" customHeight="1">
      <c r="A52" s="4" t="n">
        <v>13</v>
      </c>
      <c r="B52" s="31" t="n">
        <v>46247</v>
      </c>
      <c r="C52" s="2" t="inlineStr">
        <is>
          <t>WBS-300</t>
        </is>
      </c>
      <c r="D52" s="3" t="inlineStr">
        <is>
          <t>Red de Agua Potable y Conexiones Domiciliarias</t>
        </is>
      </c>
      <c r="E52" s="6">
        <f>SUM('01_PRESUPUESTO_CRONOGRAMA_BASE'!G10:G11)</f>
        <v/>
      </c>
      <c r="F52" s="6">
        <f>SUMIFS('02_CRONOGRAMA_PV_DIARIO'!E:E, '02_CRONOGRAMA_PV_DIARIO'!A:A, A52, '02_CRONOGRAMA_PV_DIARIO'!C:C, C52)</f>
        <v/>
      </c>
      <c r="G52" s="6">
        <f>SUMIFS(F$2:F52, C$2:C52, C52)</f>
        <v/>
      </c>
      <c r="H52" s="6">
        <f>IF(B52 &gt; MAX('04_LOG_FIELD_ENTRIES'!$B:$B), "", SUMIFS('04_LOG_FIELD_ENTRIES'!$J:$J, '04_LOG_FIELD_ENTRIES'!$B:$B, B52, '04_LOG_FIELD_ENTRIES'!$D:$D, C52, '04_LOG_FIELD_ENTRIES'!$K:$K, "EV_PRODUCCION"))</f>
        <v/>
      </c>
      <c r="I52" s="6">
        <f>IF(B52 &gt; MAX('04_LOG_FIELD_ENTRIES'!$B:$B), "", SUMIFS(H$2:H52, C$2:C52, C52))</f>
        <v/>
      </c>
      <c r="J52" s="6">
        <f>IF(B52 &gt; MAX('04_LOG_FIELD_ENTRIES'!$B:$B), "", SUMIFS('04_LOG_FIELD_ENTRIES'!$J:$J, '04_LOG_FIELD_ENTRIES'!$B:$B, B52, '04_LOG_FIELD_ENTRIES'!$D:$D, C52, '04_LOG_FIELD_ENTRIES'!$K:$K, "AC_*"))</f>
        <v/>
      </c>
      <c r="K52" s="6">
        <f>IF(B52 &gt; MAX('04_LOG_FIELD_ENTRIES'!$B:$B), "", SUMIFS(J$2:J52, C$2:C52, C52))</f>
        <v/>
      </c>
      <c r="L52" s="6">
        <f>IF(K52="", "", I52-K52)</f>
        <v/>
      </c>
      <c r="M52" s="6">
        <f>IF(I52="", "", I52-G52)</f>
        <v/>
      </c>
      <c r="N52" s="21">
        <f>IF(I52="", "", IF(G52&gt;0, I52/G52, 1))</f>
        <v/>
      </c>
      <c r="O52" s="21">
        <f>IF(I52="", "", IF(K52&gt;0, I52/K52, 1))</f>
        <v/>
      </c>
      <c r="P52" s="2">
        <f>IF(I52="", "", IF(AND(N52&gt;=0.95, O52&gt;=0.95), "SALUDABLE", IF(N52&lt;0.9, "ALERTA RETRASO", "ALERTA SOBRECOSTO")))</f>
        <v/>
      </c>
    </row>
    <row r="53" ht="19.95" customHeight="1">
      <c r="A53" s="4" t="n">
        <v>13</v>
      </c>
      <c r="B53" s="31" t="n">
        <v>46247</v>
      </c>
      <c r="C53" s="2" t="inlineStr">
        <is>
          <t>WBS-400</t>
        </is>
      </c>
      <c r="D53" s="3" t="inlineStr">
        <is>
          <t>Pruebas Hidráulicas, Desinfección y Entrega</t>
        </is>
      </c>
      <c r="E53" s="6">
        <f>SUM('01_PRESUPUESTO_CRONOGRAMA_BASE'!G12:G12)</f>
        <v/>
      </c>
      <c r="F53" s="6">
        <f>SUMIFS('02_CRONOGRAMA_PV_DIARIO'!E:E, '02_CRONOGRAMA_PV_DIARIO'!A:A, A53, '02_CRONOGRAMA_PV_DIARIO'!C:C, C53)</f>
        <v/>
      </c>
      <c r="G53" s="6">
        <f>SUMIFS(F$2:F53, C$2:C53, C53)</f>
        <v/>
      </c>
      <c r="H53" s="6">
        <f>IF(B53 &gt; MAX('04_LOG_FIELD_ENTRIES'!$B:$B), "", SUMIFS('04_LOG_FIELD_ENTRIES'!$J:$J, '04_LOG_FIELD_ENTRIES'!$B:$B, B53, '04_LOG_FIELD_ENTRIES'!$D:$D, C53, '04_LOG_FIELD_ENTRIES'!$K:$K, "EV_PRODUCCION"))</f>
        <v/>
      </c>
      <c r="I53" s="6">
        <f>IF(B53 &gt; MAX('04_LOG_FIELD_ENTRIES'!$B:$B), "", SUMIFS(H$2:H53, C$2:C53, C53))</f>
        <v/>
      </c>
      <c r="J53" s="6">
        <f>IF(B53 &gt; MAX('04_LOG_FIELD_ENTRIES'!$B:$B), "", SUMIFS('04_LOG_FIELD_ENTRIES'!$J:$J, '04_LOG_FIELD_ENTRIES'!$B:$B, B53, '04_LOG_FIELD_ENTRIES'!$D:$D, C53, '04_LOG_FIELD_ENTRIES'!$K:$K, "AC_*"))</f>
        <v/>
      </c>
      <c r="K53" s="6">
        <f>IF(B53 &gt; MAX('04_LOG_FIELD_ENTRIES'!$B:$B), "", SUMIFS(J$2:J53, C$2:C53, C53))</f>
        <v/>
      </c>
      <c r="L53" s="6">
        <f>IF(K53="", "", I53-K53)</f>
        <v/>
      </c>
      <c r="M53" s="6">
        <f>IF(I53="", "", I53-G53)</f>
        <v/>
      </c>
      <c r="N53" s="21">
        <f>IF(I53="", "", IF(G53&gt;0, I53/G53, 1))</f>
        <v/>
      </c>
      <c r="O53" s="21">
        <f>IF(I53="", "", IF(K53&gt;0, I53/K53, 1))</f>
        <v/>
      </c>
      <c r="P53" s="2">
        <f>IF(I53="", "", IF(AND(N53&gt;=0.95, O53&gt;=0.95), "SALUDABLE", IF(N53&lt;0.9, "ALERTA RETRASO", "ALERTA SOBRECOSTO")))</f>
        <v/>
      </c>
    </row>
    <row r="54" ht="19.95" customHeight="1">
      <c r="A54" s="4" t="n">
        <v>14</v>
      </c>
      <c r="B54" s="31" t="n">
        <v>46248</v>
      </c>
      <c r="C54" s="2" t="inlineStr">
        <is>
          <t>WBS-100</t>
        </is>
      </c>
      <c r="D54" s="3" t="inlineStr">
        <is>
          <t>Obras Preliminares, Trazo y Movilización</t>
        </is>
      </c>
      <c r="E54" s="6">
        <f>SUM('01_PRESUPUESTO_CRONOGRAMA_BASE'!G2:G3)</f>
        <v/>
      </c>
      <c r="F54" s="6">
        <f>SUMIFS('02_CRONOGRAMA_PV_DIARIO'!E:E, '02_CRONOGRAMA_PV_DIARIO'!A:A, A54, '02_CRONOGRAMA_PV_DIARIO'!C:C, C54)</f>
        <v/>
      </c>
      <c r="G54" s="6">
        <f>SUMIFS(F$2:F54, C$2:C54, C54)</f>
        <v/>
      </c>
      <c r="H54" s="6">
        <f>IF(B54 &gt; MAX('04_LOG_FIELD_ENTRIES'!$B:$B), "", SUMIFS('04_LOG_FIELD_ENTRIES'!$J:$J, '04_LOG_FIELD_ENTRIES'!$B:$B, B54, '04_LOG_FIELD_ENTRIES'!$D:$D, C54, '04_LOG_FIELD_ENTRIES'!$K:$K, "EV_PRODUCCION"))</f>
        <v/>
      </c>
      <c r="I54" s="6">
        <f>IF(B54 &gt; MAX('04_LOG_FIELD_ENTRIES'!$B:$B), "", SUMIFS(H$2:H54, C$2:C54, C54))</f>
        <v/>
      </c>
      <c r="J54" s="6">
        <f>IF(B54 &gt; MAX('04_LOG_FIELD_ENTRIES'!$B:$B), "", SUMIFS('04_LOG_FIELD_ENTRIES'!$J:$J, '04_LOG_FIELD_ENTRIES'!$B:$B, B54, '04_LOG_FIELD_ENTRIES'!$D:$D, C54, '04_LOG_FIELD_ENTRIES'!$K:$K, "AC_*"))</f>
        <v/>
      </c>
      <c r="K54" s="6">
        <f>IF(B54 &gt; MAX('04_LOG_FIELD_ENTRIES'!$B:$B), "", SUMIFS(J$2:J54, C$2:C54, C54))</f>
        <v/>
      </c>
      <c r="L54" s="6">
        <f>IF(K54="", "", I54-K54)</f>
        <v/>
      </c>
      <c r="M54" s="6">
        <f>IF(I54="", "", I54-G54)</f>
        <v/>
      </c>
      <c r="N54" s="21">
        <f>IF(I54="", "", IF(G54&gt;0, I54/G54, 1))</f>
        <v/>
      </c>
      <c r="O54" s="21">
        <f>IF(I54="", "", IF(K54&gt;0, I54/K54, 1))</f>
        <v/>
      </c>
      <c r="P54" s="2">
        <f>IF(I54="", "", IF(AND(N54&gt;=0.95, O54&gt;=0.95), "SALUDABLE", IF(N54&lt;0.9, "ALERTA RETRASO", "ALERTA SOBRECOSTO")))</f>
        <v/>
      </c>
    </row>
    <row r="55" ht="19.95" customHeight="1">
      <c r="A55" s="4" t="n">
        <v>14</v>
      </c>
      <c r="B55" s="31" t="n">
        <v>46248</v>
      </c>
      <c r="C55" s="2" t="inlineStr">
        <is>
          <t>WBS-200</t>
        </is>
      </c>
      <c r="D55" s="3" t="inlineStr">
        <is>
          <t>Red de Alcantarillado, Zanjas y Buzones</t>
        </is>
      </c>
      <c r="E55" s="6">
        <f>SUM('01_PRESUPUESTO_CRONOGRAMA_BASE'!G4:G9)</f>
        <v/>
      </c>
      <c r="F55" s="6">
        <f>SUMIFS('02_CRONOGRAMA_PV_DIARIO'!E:E, '02_CRONOGRAMA_PV_DIARIO'!A:A, A55, '02_CRONOGRAMA_PV_DIARIO'!C:C, C55)</f>
        <v/>
      </c>
      <c r="G55" s="6">
        <f>SUMIFS(F$2:F55, C$2:C55, C55)</f>
        <v/>
      </c>
      <c r="H55" s="6">
        <f>IF(B55 &gt; MAX('04_LOG_FIELD_ENTRIES'!$B:$B), "", SUMIFS('04_LOG_FIELD_ENTRIES'!$J:$J, '04_LOG_FIELD_ENTRIES'!$B:$B, B55, '04_LOG_FIELD_ENTRIES'!$D:$D, C55, '04_LOG_FIELD_ENTRIES'!$K:$K, "EV_PRODUCCION"))</f>
        <v/>
      </c>
      <c r="I55" s="6">
        <f>IF(B55 &gt; MAX('04_LOG_FIELD_ENTRIES'!$B:$B), "", SUMIFS(H$2:H55, C$2:C55, C55))</f>
        <v/>
      </c>
      <c r="J55" s="6">
        <f>IF(B55 &gt; MAX('04_LOG_FIELD_ENTRIES'!$B:$B), "", SUMIFS('04_LOG_FIELD_ENTRIES'!$J:$J, '04_LOG_FIELD_ENTRIES'!$B:$B, B55, '04_LOG_FIELD_ENTRIES'!$D:$D, C55, '04_LOG_FIELD_ENTRIES'!$K:$K, "AC_*"))</f>
        <v/>
      </c>
      <c r="K55" s="6">
        <f>IF(B55 &gt; MAX('04_LOG_FIELD_ENTRIES'!$B:$B), "", SUMIFS(J$2:J55, C$2:C55, C55))</f>
        <v/>
      </c>
      <c r="L55" s="6">
        <f>IF(K55="", "", I55-K55)</f>
        <v/>
      </c>
      <c r="M55" s="6">
        <f>IF(I55="", "", I55-G55)</f>
        <v/>
      </c>
      <c r="N55" s="21">
        <f>IF(I55="", "", IF(G55&gt;0, I55/G55, 1))</f>
        <v/>
      </c>
      <c r="O55" s="21">
        <f>IF(I55="", "", IF(K55&gt;0, I55/K55, 1))</f>
        <v/>
      </c>
      <c r="P55" s="2">
        <f>IF(I55="", "", IF(AND(N55&gt;=0.95, O55&gt;=0.95), "SALUDABLE", IF(N55&lt;0.9, "ALERTA RETRASO", "ALERTA SOBRECOSTO")))</f>
        <v/>
      </c>
    </row>
    <row r="56" ht="19.95" customHeight="1">
      <c r="A56" s="4" t="n">
        <v>14</v>
      </c>
      <c r="B56" s="31" t="n">
        <v>46248</v>
      </c>
      <c r="C56" s="2" t="inlineStr">
        <is>
          <t>WBS-300</t>
        </is>
      </c>
      <c r="D56" s="3" t="inlineStr">
        <is>
          <t>Red de Agua Potable y Conexiones Domiciliarias</t>
        </is>
      </c>
      <c r="E56" s="6">
        <f>SUM('01_PRESUPUESTO_CRONOGRAMA_BASE'!G10:G11)</f>
        <v/>
      </c>
      <c r="F56" s="6">
        <f>SUMIFS('02_CRONOGRAMA_PV_DIARIO'!E:E, '02_CRONOGRAMA_PV_DIARIO'!A:A, A56, '02_CRONOGRAMA_PV_DIARIO'!C:C, C56)</f>
        <v/>
      </c>
      <c r="G56" s="6">
        <f>SUMIFS(F$2:F56, C$2:C56, C56)</f>
        <v/>
      </c>
      <c r="H56" s="6">
        <f>IF(B56 &gt; MAX('04_LOG_FIELD_ENTRIES'!$B:$B), "", SUMIFS('04_LOG_FIELD_ENTRIES'!$J:$J, '04_LOG_FIELD_ENTRIES'!$B:$B, B56, '04_LOG_FIELD_ENTRIES'!$D:$D, C56, '04_LOG_FIELD_ENTRIES'!$K:$K, "EV_PRODUCCION"))</f>
        <v/>
      </c>
      <c r="I56" s="6">
        <f>IF(B56 &gt; MAX('04_LOG_FIELD_ENTRIES'!$B:$B), "", SUMIFS(H$2:H56, C$2:C56, C56))</f>
        <v/>
      </c>
      <c r="J56" s="6">
        <f>IF(B56 &gt; MAX('04_LOG_FIELD_ENTRIES'!$B:$B), "", SUMIFS('04_LOG_FIELD_ENTRIES'!$J:$J, '04_LOG_FIELD_ENTRIES'!$B:$B, B56, '04_LOG_FIELD_ENTRIES'!$D:$D, C56, '04_LOG_FIELD_ENTRIES'!$K:$K, "AC_*"))</f>
        <v/>
      </c>
      <c r="K56" s="6">
        <f>IF(B56 &gt; MAX('04_LOG_FIELD_ENTRIES'!$B:$B), "", SUMIFS(J$2:J56, C$2:C56, C56))</f>
        <v/>
      </c>
      <c r="L56" s="6">
        <f>IF(K56="", "", I56-K56)</f>
        <v/>
      </c>
      <c r="M56" s="6">
        <f>IF(I56="", "", I56-G56)</f>
        <v/>
      </c>
      <c r="N56" s="21">
        <f>IF(I56="", "", IF(G56&gt;0, I56/G56, 1))</f>
        <v/>
      </c>
      <c r="O56" s="21">
        <f>IF(I56="", "", IF(K56&gt;0, I56/K56, 1))</f>
        <v/>
      </c>
      <c r="P56" s="2">
        <f>IF(I56="", "", IF(AND(N56&gt;=0.95, O56&gt;=0.95), "SALUDABLE", IF(N56&lt;0.9, "ALERTA RETRASO", "ALERTA SOBRECOSTO")))</f>
        <v/>
      </c>
    </row>
    <row r="57" ht="19.95" customHeight="1">
      <c r="A57" s="4" t="n">
        <v>14</v>
      </c>
      <c r="B57" s="31" t="n">
        <v>46248</v>
      </c>
      <c r="C57" s="2" t="inlineStr">
        <is>
          <t>WBS-400</t>
        </is>
      </c>
      <c r="D57" s="3" t="inlineStr">
        <is>
          <t>Pruebas Hidráulicas, Desinfección y Entrega</t>
        </is>
      </c>
      <c r="E57" s="6">
        <f>SUM('01_PRESUPUESTO_CRONOGRAMA_BASE'!G12:G12)</f>
        <v/>
      </c>
      <c r="F57" s="6">
        <f>SUMIFS('02_CRONOGRAMA_PV_DIARIO'!E:E, '02_CRONOGRAMA_PV_DIARIO'!A:A, A57, '02_CRONOGRAMA_PV_DIARIO'!C:C, C57)</f>
        <v/>
      </c>
      <c r="G57" s="6">
        <f>SUMIFS(F$2:F57, C$2:C57, C57)</f>
        <v/>
      </c>
      <c r="H57" s="6">
        <f>IF(B57 &gt; MAX('04_LOG_FIELD_ENTRIES'!$B:$B), "", SUMIFS('04_LOG_FIELD_ENTRIES'!$J:$J, '04_LOG_FIELD_ENTRIES'!$B:$B, B57, '04_LOG_FIELD_ENTRIES'!$D:$D, C57, '04_LOG_FIELD_ENTRIES'!$K:$K, "EV_PRODUCCION"))</f>
        <v/>
      </c>
      <c r="I57" s="6">
        <f>IF(B57 &gt; MAX('04_LOG_FIELD_ENTRIES'!$B:$B), "", SUMIFS(H$2:H57, C$2:C57, C57))</f>
        <v/>
      </c>
      <c r="J57" s="6">
        <f>IF(B57 &gt; MAX('04_LOG_FIELD_ENTRIES'!$B:$B), "", SUMIFS('04_LOG_FIELD_ENTRIES'!$J:$J, '04_LOG_FIELD_ENTRIES'!$B:$B, B57, '04_LOG_FIELD_ENTRIES'!$D:$D, C57, '04_LOG_FIELD_ENTRIES'!$K:$K, "AC_*"))</f>
        <v/>
      </c>
      <c r="K57" s="6">
        <f>IF(B57 &gt; MAX('04_LOG_FIELD_ENTRIES'!$B:$B), "", SUMIFS(J$2:J57, C$2:C57, C57))</f>
        <v/>
      </c>
      <c r="L57" s="6">
        <f>IF(K57="", "", I57-K57)</f>
        <v/>
      </c>
      <c r="M57" s="6">
        <f>IF(I57="", "", I57-G57)</f>
        <v/>
      </c>
      <c r="N57" s="21">
        <f>IF(I57="", "", IF(G57&gt;0, I57/G57, 1))</f>
        <v/>
      </c>
      <c r="O57" s="21">
        <f>IF(I57="", "", IF(K57&gt;0, I57/K57, 1))</f>
        <v/>
      </c>
      <c r="P57" s="2">
        <f>IF(I57="", "", IF(AND(N57&gt;=0.95, O57&gt;=0.95), "SALUDABLE", IF(N57&lt;0.9, "ALERTA RETRASO", "ALERTA SOBRECOSTO")))</f>
        <v/>
      </c>
    </row>
    <row r="58" ht="19.95" customHeight="1">
      <c r="A58" s="4" t="n">
        <v>15</v>
      </c>
      <c r="B58" s="31" t="n">
        <v>46249</v>
      </c>
      <c r="C58" s="2" t="inlineStr">
        <is>
          <t>WBS-100</t>
        </is>
      </c>
      <c r="D58" s="3" t="inlineStr">
        <is>
          <t>Obras Preliminares, Trazo y Movilización</t>
        </is>
      </c>
      <c r="E58" s="6">
        <f>SUM('01_PRESUPUESTO_CRONOGRAMA_BASE'!G2:G3)</f>
        <v/>
      </c>
      <c r="F58" s="6">
        <f>SUMIFS('02_CRONOGRAMA_PV_DIARIO'!E:E, '02_CRONOGRAMA_PV_DIARIO'!A:A, A58, '02_CRONOGRAMA_PV_DIARIO'!C:C, C58)</f>
        <v/>
      </c>
      <c r="G58" s="6">
        <f>SUMIFS(F$2:F58, C$2:C58, C58)</f>
        <v/>
      </c>
      <c r="H58" s="6">
        <f>IF(B58 &gt; MAX('04_LOG_FIELD_ENTRIES'!$B:$B), "", SUMIFS('04_LOG_FIELD_ENTRIES'!$J:$J, '04_LOG_FIELD_ENTRIES'!$B:$B, B58, '04_LOG_FIELD_ENTRIES'!$D:$D, C58, '04_LOG_FIELD_ENTRIES'!$K:$K, "EV_PRODUCCION"))</f>
        <v/>
      </c>
      <c r="I58" s="6">
        <f>IF(B58 &gt; MAX('04_LOG_FIELD_ENTRIES'!$B:$B), "", SUMIFS(H$2:H58, C$2:C58, C58))</f>
        <v/>
      </c>
      <c r="J58" s="6">
        <f>IF(B58 &gt; MAX('04_LOG_FIELD_ENTRIES'!$B:$B), "", SUMIFS('04_LOG_FIELD_ENTRIES'!$J:$J, '04_LOG_FIELD_ENTRIES'!$B:$B, B58, '04_LOG_FIELD_ENTRIES'!$D:$D, C58, '04_LOG_FIELD_ENTRIES'!$K:$K, "AC_*"))</f>
        <v/>
      </c>
      <c r="K58" s="6">
        <f>IF(B58 &gt; MAX('04_LOG_FIELD_ENTRIES'!$B:$B), "", SUMIFS(J$2:J58, C$2:C58, C58))</f>
        <v/>
      </c>
      <c r="L58" s="6">
        <f>IF(K58="", "", I58-K58)</f>
        <v/>
      </c>
      <c r="M58" s="6">
        <f>IF(I58="", "", I58-G58)</f>
        <v/>
      </c>
      <c r="N58" s="21">
        <f>IF(I58="", "", IF(G58&gt;0, I58/G58, 1))</f>
        <v/>
      </c>
      <c r="O58" s="21">
        <f>IF(I58="", "", IF(K58&gt;0, I58/K58, 1))</f>
        <v/>
      </c>
      <c r="P58" s="2">
        <f>IF(I58="", "", IF(AND(N58&gt;=0.95, O58&gt;=0.95), "SALUDABLE", IF(N58&lt;0.9, "ALERTA RETRASO", "ALERTA SOBRECOSTO")))</f>
        <v/>
      </c>
    </row>
    <row r="59" ht="19.95" customHeight="1">
      <c r="A59" s="4" t="n">
        <v>15</v>
      </c>
      <c r="B59" s="31" t="n">
        <v>46249</v>
      </c>
      <c r="C59" s="2" t="inlineStr">
        <is>
          <t>WBS-200</t>
        </is>
      </c>
      <c r="D59" s="3" t="inlineStr">
        <is>
          <t>Red de Alcantarillado, Zanjas y Buzones</t>
        </is>
      </c>
      <c r="E59" s="6">
        <f>SUM('01_PRESUPUESTO_CRONOGRAMA_BASE'!G4:G9)</f>
        <v/>
      </c>
      <c r="F59" s="6">
        <f>SUMIFS('02_CRONOGRAMA_PV_DIARIO'!E:E, '02_CRONOGRAMA_PV_DIARIO'!A:A, A59, '02_CRONOGRAMA_PV_DIARIO'!C:C, C59)</f>
        <v/>
      </c>
      <c r="G59" s="6">
        <f>SUMIFS(F$2:F59, C$2:C59, C59)</f>
        <v/>
      </c>
      <c r="H59" s="6">
        <f>IF(B59 &gt; MAX('04_LOG_FIELD_ENTRIES'!$B:$B), "", SUMIFS('04_LOG_FIELD_ENTRIES'!$J:$J, '04_LOG_FIELD_ENTRIES'!$B:$B, B59, '04_LOG_FIELD_ENTRIES'!$D:$D, C59, '04_LOG_FIELD_ENTRIES'!$K:$K, "EV_PRODUCCION"))</f>
        <v/>
      </c>
      <c r="I59" s="6">
        <f>IF(B59 &gt; MAX('04_LOG_FIELD_ENTRIES'!$B:$B), "", SUMIFS(H$2:H59, C$2:C59, C59))</f>
        <v/>
      </c>
      <c r="J59" s="6">
        <f>IF(B59 &gt; MAX('04_LOG_FIELD_ENTRIES'!$B:$B), "", SUMIFS('04_LOG_FIELD_ENTRIES'!$J:$J, '04_LOG_FIELD_ENTRIES'!$B:$B, B59, '04_LOG_FIELD_ENTRIES'!$D:$D, C59, '04_LOG_FIELD_ENTRIES'!$K:$K, "AC_*"))</f>
        <v/>
      </c>
      <c r="K59" s="6">
        <f>IF(B59 &gt; MAX('04_LOG_FIELD_ENTRIES'!$B:$B), "", SUMIFS(J$2:J59, C$2:C59, C59))</f>
        <v/>
      </c>
      <c r="L59" s="6">
        <f>IF(K59="", "", I59-K59)</f>
        <v/>
      </c>
      <c r="M59" s="6">
        <f>IF(I59="", "", I59-G59)</f>
        <v/>
      </c>
      <c r="N59" s="21">
        <f>IF(I59="", "", IF(G59&gt;0, I59/G59, 1))</f>
        <v/>
      </c>
      <c r="O59" s="21">
        <f>IF(I59="", "", IF(K59&gt;0, I59/K59, 1))</f>
        <v/>
      </c>
      <c r="P59" s="2">
        <f>IF(I59="", "", IF(AND(N59&gt;=0.95, O59&gt;=0.95), "SALUDABLE", IF(N59&lt;0.9, "ALERTA RETRASO", "ALERTA SOBRECOSTO")))</f>
        <v/>
      </c>
    </row>
    <row r="60" ht="19.95" customHeight="1">
      <c r="A60" s="4" t="n">
        <v>15</v>
      </c>
      <c r="B60" s="31" t="n">
        <v>46249</v>
      </c>
      <c r="C60" s="2" t="inlineStr">
        <is>
          <t>WBS-300</t>
        </is>
      </c>
      <c r="D60" s="3" t="inlineStr">
        <is>
          <t>Red de Agua Potable y Conexiones Domiciliarias</t>
        </is>
      </c>
      <c r="E60" s="6">
        <f>SUM('01_PRESUPUESTO_CRONOGRAMA_BASE'!G10:G11)</f>
        <v/>
      </c>
      <c r="F60" s="6">
        <f>SUMIFS('02_CRONOGRAMA_PV_DIARIO'!E:E, '02_CRONOGRAMA_PV_DIARIO'!A:A, A60, '02_CRONOGRAMA_PV_DIARIO'!C:C, C60)</f>
        <v/>
      </c>
      <c r="G60" s="6">
        <f>SUMIFS(F$2:F60, C$2:C60, C60)</f>
        <v/>
      </c>
      <c r="H60" s="6">
        <f>IF(B60 &gt; MAX('04_LOG_FIELD_ENTRIES'!$B:$B), "", SUMIFS('04_LOG_FIELD_ENTRIES'!$J:$J, '04_LOG_FIELD_ENTRIES'!$B:$B, B60, '04_LOG_FIELD_ENTRIES'!$D:$D, C60, '04_LOG_FIELD_ENTRIES'!$K:$K, "EV_PRODUCCION"))</f>
        <v/>
      </c>
      <c r="I60" s="6">
        <f>IF(B60 &gt; MAX('04_LOG_FIELD_ENTRIES'!$B:$B), "", SUMIFS(H$2:H60, C$2:C60, C60))</f>
        <v/>
      </c>
      <c r="J60" s="6">
        <f>IF(B60 &gt; MAX('04_LOG_FIELD_ENTRIES'!$B:$B), "", SUMIFS('04_LOG_FIELD_ENTRIES'!$J:$J, '04_LOG_FIELD_ENTRIES'!$B:$B, B60, '04_LOG_FIELD_ENTRIES'!$D:$D, C60, '04_LOG_FIELD_ENTRIES'!$K:$K, "AC_*"))</f>
        <v/>
      </c>
      <c r="K60" s="6">
        <f>IF(B60 &gt; MAX('04_LOG_FIELD_ENTRIES'!$B:$B), "", SUMIFS(J$2:J60, C$2:C60, C60))</f>
        <v/>
      </c>
      <c r="L60" s="6">
        <f>IF(K60="", "", I60-K60)</f>
        <v/>
      </c>
      <c r="M60" s="6">
        <f>IF(I60="", "", I60-G60)</f>
        <v/>
      </c>
      <c r="N60" s="21">
        <f>IF(I60="", "", IF(G60&gt;0, I60/G60, 1))</f>
        <v/>
      </c>
      <c r="O60" s="21">
        <f>IF(I60="", "", IF(K60&gt;0, I60/K60, 1))</f>
        <v/>
      </c>
      <c r="P60" s="2">
        <f>IF(I60="", "", IF(AND(N60&gt;=0.95, O60&gt;=0.95), "SALUDABLE", IF(N60&lt;0.9, "ALERTA RETRASO", "ALERTA SOBRECOSTO")))</f>
        <v/>
      </c>
    </row>
    <row r="61" ht="19.95" customHeight="1">
      <c r="A61" s="4" t="n">
        <v>15</v>
      </c>
      <c r="B61" s="31" t="n">
        <v>46249</v>
      </c>
      <c r="C61" s="2" t="inlineStr">
        <is>
          <t>WBS-400</t>
        </is>
      </c>
      <c r="D61" s="3" t="inlineStr">
        <is>
          <t>Pruebas Hidráulicas, Desinfección y Entrega</t>
        </is>
      </c>
      <c r="E61" s="6">
        <f>SUM('01_PRESUPUESTO_CRONOGRAMA_BASE'!G12:G12)</f>
        <v/>
      </c>
      <c r="F61" s="6">
        <f>SUMIFS('02_CRONOGRAMA_PV_DIARIO'!E:E, '02_CRONOGRAMA_PV_DIARIO'!A:A, A61, '02_CRONOGRAMA_PV_DIARIO'!C:C, C61)</f>
        <v/>
      </c>
      <c r="G61" s="6">
        <f>SUMIFS(F$2:F61, C$2:C61, C61)</f>
        <v/>
      </c>
      <c r="H61" s="6">
        <f>IF(B61 &gt; MAX('04_LOG_FIELD_ENTRIES'!$B:$B), "", SUMIFS('04_LOG_FIELD_ENTRIES'!$J:$J, '04_LOG_FIELD_ENTRIES'!$B:$B, B61, '04_LOG_FIELD_ENTRIES'!$D:$D, C61, '04_LOG_FIELD_ENTRIES'!$K:$K, "EV_PRODUCCION"))</f>
        <v/>
      </c>
      <c r="I61" s="6">
        <f>IF(B61 &gt; MAX('04_LOG_FIELD_ENTRIES'!$B:$B), "", SUMIFS(H$2:H61, C$2:C61, C61))</f>
        <v/>
      </c>
      <c r="J61" s="6">
        <f>IF(B61 &gt; MAX('04_LOG_FIELD_ENTRIES'!$B:$B), "", SUMIFS('04_LOG_FIELD_ENTRIES'!$J:$J, '04_LOG_FIELD_ENTRIES'!$B:$B, B61, '04_LOG_FIELD_ENTRIES'!$D:$D, C61, '04_LOG_FIELD_ENTRIES'!$K:$K, "AC_*"))</f>
        <v/>
      </c>
      <c r="K61" s="6">
        <f>IF(B61 &gt; MAX('04_LOG_FIELD_ENTRIES'!$B:$B), "", SUMIFS(J$2:J61, C$2:C61, C61))</f>
        <v/>
      </c>
      <c r="L61" s="6">
        <f>IF(K61="", "", I61-K61)</f>
        <v/>
      </c>
      <c r="M61" s="6">
        <f>IF(I61="", "", I61-G61)</f>
        <v/>
      </c>
      <c r="N61" s="21">
        <f>IF(I61="", "", IF(G61&gt;0, I61/G61, 1))</f>
        <v/>
      </c>
      <c r="O61" s="21">
        <f>IF(I61="", "", IF(K61&gt;0, I61/K61, 1))</f>
        <v/>
      </c>
      <c r="P61" s="2">
        <f>IF(I61="", "", IF(AND(N61&gt;=0.95, O61&gt;=0.95), "SALUDABLE", IF(N61&lt;0.9, "ALERTA RETRASO", "ALERTA SOBRECOSTO")))</f>
        <v/>
      </c>
    </row>
    <row r="62" ht="19.95" customHeight="1">
      <c r="A62" s="4" t="n">
        <v>16</v>
      </c>
      <c r="B62" s="31" t="n">
        <v>46250</v>
      </c>
      <c r="C62" s="2" t="inlineStr">
        <is>
          <t>WBS-100</t>
        </is>
      </c>
      <c r="D62" s="3" t="inlineStr">
        <is>
          <t>Obras Preliminares, Trazo y Movilización</t>
        </is>
      </c>
      <c r="E62" s="6">
        <f>SUM('01_PRESUPUESTO_CRONOGRAMA_BASE'!G2:G3)</f>
        <v/>
      </c>
      <c r="F62" s="6">
        <f>SUMIFS('02_CRONOGRAMA_PV_DIARIO'!E:E, '02_CRONOGRAMA_PV_DIARIO'!A:A, A62, '02_CRONOGRAMA_PV_DIARIO'!C:C, C62)</f>
        <v/>
      </c>
      <c r="G62" s="6">
        <f>SUMIFS(F$2:F62, C$2:C62, C62)</f>
        <v/>
      </c>
      <c r="H62" s="6">
        <f>IF(B62 &gt; MAX('04_LOG_FIELD_ENTRIES'!$B:$B), "", SUMIFS('04_LOG_FIELD_ENTRIES'!$J:$J, '04_LOG_FIELD_ENTRIES'!$B:$B, B62, '04_LOG_FIELD_ENTRIES'!$D:$D, C62, '04_LOG_FIELD_ENTRIES'!$K:$K, "EV_PRODUCCION"))</f>
        <v/>
      </c>
      <c r="I62" s="6">
        <f>IF(B62 &gt; MAX('04_LOG_FIELD_ENTRIES'!$B:$B), "", SUMIFS(H$2:H62, C$2:C62, C62))</f>
        <v/>
      </c>
      <c r="J62" s="6">
        <f>IF(B62 &gt; MAX('04_LOG_FIELD_ENTRIES'!$B:$B), "", SUMIFS('04_LOG_FIELD_ENTRIES'!$J:$J, '04_LOG_FIELD_ENTRIES'!$B:$B, B62, '04_LOG_FIELD_ENTRIES'!$D:$D, C62, '04_LOG_FIELD_ENTRIES'!$K:$K, "AC_*"))</f>
        <v/>
      </c>
      <c r="K62" s="6">
        <f>IF(B62 &gt; MAX('04_LOG_FIELD_ENTRIES'!$B:$B), "", SUMIFS(J$2:J62, C$2:C62, C62))</f>
        <v/>
      </c>
      <c r="L62" s="6">
        <f>IF(K62="", "", I62-K62)</f>
        <v/>
      </c>
      <c r="M62" s="6">
        <f>IF(I62="", "", I62-G62)</f>
        <v/>
      </c>
      <c r="N62" s="21">
        <f>IF(I62="", "", IF(G62&gt;0, I62/G62, 1))</f>
        <v/>
      </c>
      <c r="O62" s="21">
        <f>IF(I62="", "", IF(K62&gt;0, I62/K62, 1))</f>
        <v/>
      </c>
      <c r="P62" s="2">
        <f>IF(I62="", "", IF(AND(N62&gt;=0.95, O62&gt;=0.95), "SALUDABLE", IF(N62&lt;0.9, "ALERTA RETRASO", "ALERTA SOBRECOSTO")))</f>
        <v/>
      </c>
    </row>
    <row r="63" ht="19.95" customHeight="1">
      <c r="A63" s="4" t="n">
        <v>16</v>
      </c>
      <c r="B63" s="31" t="n">
        <v>46250</v>
      </c>
      <c r="C63" s="2" t="inlineStr">
        <is>
          <t>WBS-200</t>
        </is>
      </c>
      <c r="D63" s="3" t="inlineStr">
        <is>
          <t>Red de Alcantarillado, Zanjas y Buzones</t>
        </is>
      </c>
      <c r="E63" s="6">
        <f>SUM('01_PRESUPUESTO_CRONOGRAMA_BASE'!G4:G9)</f>
        <v/>
      </c>
      <c r="F63" s="6">
        <f>SUMIFS('02_CRONOGRAMA_PV_DIARIO'!E:E, '02_CRONOGRAMA_PV_DIARIO'!A:A, A63, '02_CRONOGRAMA_PV_DIARIO'!C:C, C63)</f>
        <v/>
      </c>
      <c r="G63" s="6">
        <f>SUMIFS(F$2:F63, C$2:C63, C63)</f>
        <v/>
      </c>
      <c r="H63" s="6">
        <f>IF(B63 &gt; MAX('04_LOG_FIELD_ENTRIES'!$B:$B), "", SUMIFS('04_LOG_FIELD_ENTRIES'!$J:$J, '04_LOG_FIELD_ENTRIES'!$B:$B, B63, '04_LOG_FIELD_ENTRIES'!$D:$D, C63, '04_LOG_FIELD_ENTRIES'!$K:$K, "EV_PRODUCCION"))</f>
        <v/>
      </c>
      <c r="I63" s="6">
        <f>IF(B63 &gt; MAX('04_LOG_FIELD_ENTRIES'!$B:$B), "", SUMIFS(H$2:H63, C$2:C63, C63))</f>
        <v/>
      </c>
      <c r="J63" s="6">
        <f>IF(B63 &gt; MAX('04_LOG_FIELD_ENTRIES'!$B:$B), "", SUMIFS('04_LOG_FIELD_ENTRIES'!$J:$J, '04_LOG_FIELD_ENTRIES'!$B:$B, B63, '04_LOG_FIELD_ENTRIES'!$D:$D, C63, '04_LOG_FIELD_ENTRIES'!$K:$K, "AC_*"))</f>
        <v/>
      </c>
      <c r="K63" s="6">
        <f>IF(B63 &gt; MAX('04_LOG_FIELD_ENTRIES'!$B:$B), "", SUMIFS(J$2:J63, C$2:C63, C63))</f>
        <v/>
      </c>
      <c r="L63" s="6">
        <f>IF(K63="", "", I63-K63)</f>
        <v/>
      </c>
      <c r="M63" s="6">
        <f>IF(I63="", "", I63-G63)</f>
        <v/>
      </c>
      <c r="N63" s="21">
        <f>IF(I63="", "", IF(G63&gt;0, I63/G63, 1))</f>
        <v/>
      </c>
      <c r="O63" s="21">
        <f>IF(I63="", "", IF(K63&gt;0, I63/K63, 1))</f>
        <v/>
      </c>
      <c r="P63" s="2">
        <f>IF(I63="", "", IF(AND(N63&gt;=0.95, O63&gt;=0.95), "SALUDABLE", IF(N63&lt;0.9, "ALERTA RETRASO", "ALERTA SOBRECOSTO")))</f>
        <v/>
      </c>
    </row>
    <row r="64" ht="19.95" customHeight="1">
      <c r="A64" s="4" t="n">
        <v>16</v>
      </c>
      <c r="B64" s="31" t="n">
        <v>46250</v>
      </c>
      <c r="C64" s="2" t="inlineStr">
        <is>
          <t>WBS-300</t>
        </is>
      </c>
      <c r="D64" s="3" t="inlineStr">
        <is>
          <t>Red de Agua Potable y Conexiones Domiciliarias</t>
        </is>
      </c>
      <c r="E64" s="6">
        <f>SUM('01_PRESUPUESTO_CRONOGRAMA_BASE'!G10:G11)</f>
        <v/>
      </c>
      <c r="F64" s="6">
        <f>SUMIFS('02_CRONOGRAMA_PV_DIARIO'!E:E, '02_CRONOGRAMA_PV_DIARIO'!A:A, A64, '02_CRONOGRAMA_PV_DIARIO'!C:C, C64)</f>
        <v/>
      </c>
      <c r="G64" s="6">
        <f>SUMIFS(F$2:F64, C$2:C64, C64)</f>
        <v/>
      </c>
      <c r="H64" s="6">
        <f>IF(B64 &gt; MAX('04_LOG_FIELD_ENTRIES'!$B:$B), "", SUMIFS('04_LOG_FIELD_ENTRIES'!$J:$J, '04_LOG_FIELD_ENTRIES'!$B:$B, B64, '04_LOG_FIELD_ENTRIES'!$D:$D, C64, '04_LOG_FIELD_ENTRIES'!$K:$K, "EV_PRODUCCION"))</f>
        <v/>
      </c>
      <c r="I64" s="6">
        <f>IF(B64 &gt; MAX('04_LOG_FIELD_ENTRIES'!$B:$B), "", SUMIFS(H$2:H64, C$2:C64, C64))</f>
        <v/>
      </c>
      <c r="J64" s="6">
        <f>IF(B64 &gt; MAX('04_LOG_FIELD_ENTRIES'!$B:$B), "", SUMIFS('04_LOG_FIELD_ENTRIES'!$J:$J, '04_LOG_FIELD_ENTRIES'!$B:$B, B64, '04_LOG_FIELD_ENTRIES'!$D:$D, C64, '04_LOG_FIELD_ENTRIES'!$K:$K, "AC_*"))</f>
        <v/>
      </c>
      <c r="K64" s="6">
        <f>IF(B64 &gt; MAX('04_LOG_FIELD_ENTRIES'!$B:$B), "", SUMIFS(J$2:J64, C$2:C64, C64))</f>
        <v/>
      </c>
      <c r="L64" s="6">
        <f>IF(K64="", "", I64-K64)</f>
        <v/>
      </c>
      <c r="M64" s="6">
        <f>IF(I64="", "", I64-G64)</f>
        <v/>
      </c>
      <c r="N64" s="21">
        <f>IF(I64="", "", IF(G64&gt;0, I64/G64, 1))</f>
        <v/>
      </c>
      <c r="O64" s="21">
        <f>IF(I64="", "", IF(K64&gt;0, I64/K64, 1))</f>
        <v/>
      </c>
      <c r="P64" s="2">
        <f>IF(I64="", "", IF(AND(N64&gt;=0.95, O64&gt;=0.95), "SALUDABLE", IF(N64&lt;0.9, "ALERTA RETRASO", "ALERTA SOBRECOSTO")))</f>
        <v/>
      </c>
    </row>
    <row r="65" ht="19.95" customHeight="1">
      <c r="A65" s="4" t="n">
        <v>16</v>
      </c>
      <c r="B65" s="31" t="n">
        <v>46250</v>
      </c>
      <c r="C65" s="2" t="inlineStr">
        <is>
          <t>WBS-400</t>
        </is>
      </c>
      <c r="D65" s="3" t="inlineStr">
        <is>
          <t>Pruebas Hidráulicas, Desinfección y Entrega</t>
        </is>
      </c>
      <c r="E65" s="6">
        <f>SUM('01_PRESUPUESTO_CRONOGRAMA_BASE'!G12:G12)</f>
        <v/>
      </c>
      <c r="F65" s="6">
        <f>SUMIFS('02_CRONOGRAMA_PV_DIARIO'!E:E, '02_CRONOGRAMA_PV_DIARIO'!A:A, A65, '02_CRONOGRAMA_PV_DIARIO'!C:C, C65)</f>
        <v/>
      </c>
      <c r="G65" s="6">
        <f>SUMIFS(F$2:F65, C$2:C65, C65)</f>
        <v/>
      </c>
      <c r="H65" s="6">
        <f>IF(B65 &gt; MAX('04_LOG_FIELD_ENTRIES'!$B:$B), "", SUMIFS('04_LOG_FIELD_ENTRIES'!$J:$J, '04_LOG_FIELD_ENTRIES'!$B:$B, B65, '04_LOG_FIELD_ENTRIES'!$D:$D, C65, '04_LOG_FIELD_ENTRIES'!$K:$K, "EV_PRODUCCION"))</f>
        <v/>
      </c>
      <c r="I65" s="6">
        <f>IF(B65 &gt; MAX('04_LOG_FIELD_ENTRIES'!$B:$B), "", SUMIFS(H$2:H65, C$2:C65, C65))</f>
        <v/>
      </c>
      <c r="J65" s="6">
        <f>IF(B65 &gt; MAX('04_LOG_FIELD_ENTRIES'!$B:$B), "", SUMIFS('04_LOG_FIELD_ENTRIES'!$J:$J, '04_LOG_FIELD_ENTRIES'!$B:$B, B65, '04_LOG_FIELD_ENTRIES'!$D:$D, C65, '04_LOG_FIELD_ENTRIES'!$K:$K, "AC_*"))</f>
        <v/>
      </c>
      <c r="K65" s="6">
        <f>IF(B65 &gt; MAX('04_LOG_FIELD_ENTRIES'!$B:$B), "", SUMIFS(J$2:J65, C$2:C65, C65))</f>
        <v/>
      </c>
      <c r="L65" s="6">
        <f>IF(K65="", "", I65-K65)</f>
        <v/>
      </c>
      <c r="M65" s="6">
        <f>IF(I65="", "", I65-G65)</f>
        <v/>
      </c>
      <c r="N65" s="21">
        <f>IF(I65="", "", IF(G65&gt;0, I65/G65, 1))</f>
        <v/>
      </c>
      <c r="O65" s="21">
        <f>IF(I65="", "", IF(K65&gt;0, I65/K65, 1))</f>
        <v/>
      </c>
      <c r="P65" s="2">
        <f>IF(I65="", "", IF(AND(N65&gt;=0.95, O65&gt;=0.95), "SALUDABLE", IF(N65&lt;0.9, "ALERTA RETRASO", "ALERTA SOBRECOSTO")))</f>
        <v/>
      </c>
    </row>
    <row r="66" ht="19.95" customHeight="1">
      <c r="A66" s="4" t="n">
        <v>17</v>
      </c>
      <c r="B66" s="31" t="n">
        <v>46251</v>
      </c>
      <c r="C66" s="2" t="inlineStr">
        <is>
          <t>WBS-100</t>
        </is>
      </c>
      <c r="D66" s="3" t="inlineStr">
        <is>
          <t>Obras Preliminares, Trazo y Movilización</t>
        </is>
      </c>
      <c r="E66" s="6">
        <f>SUM('01_PRESUPUESTO_CRONOGRAMA_BASE'!G2:G3)</f>
        <v/>
      </c>
      <c r="F66" s="6">
        <f>SUMIFS('02_CRONOGRAMA_PV_DIARIO'!E:E, '02_CRONOGRAMA_PV_DIARIO'!A:A, A66, '02_CRONOGRAMA_PV_DIARIO'!C:C, C66)</f>
        <v/>
      </c>
      <c r="G66" s="6">
        <f>SUMIFS(F$2:F66, C$2:C66, C66)</f>
        <v/>
      </c>
      <c r="H66" s="6">
        <f>IF(B66 &gt; MAX('04_LOG_FIELD_ENTRIES'!$B:$B), "", SUMIFS('04_LOG_FIELD_ENTRIES'!$J:$J, '04_LOG_FIELD_ENTRIES'!$B:$B, B66, '04_LOG_FIELD_ENTRIES'!$D:$D, C66, '04_LOG_FIELD_ENTRIES'!$K:$K, "EV_PRODUCCION"))</f>
        <v/>
      </c>
      <c r="I66" s="6">
        <f>IF(B66 &gt; MAX('04_LOG_FIELD_ENTRIES'!$B:$B), "", SUMIFS(H$2:H66, C$2:C66, C66))</f>
        <v/>
      </c>
      <c r="J66" s="6">
        <f>IF(B66 &gt; MAX('04_LOG_FIELD_ENTRIES'!$B:$B), "", SUMIFS('04_LOG_FIELD_ENTRIES'!$J:$J, '04_LOG_FIELD_ENTRIES'!$B:$B, B66, '04_LOG_FIELD_ENTRIES'!$D:$D, C66, '04_LOG_FIELD_ENTRIES'!$K:$K, "AC_*"))</f>
        <v/>
      </c>
      <c r="K66" s="6">
        <f>IF(B66 &gt; MAX('04_LOG_FIELD_ENTRIES'!$B:$B), "", SUMIFS(J$2:J66, C$2:C66, C66))</f>
        <v/>
      </c>
      <c r="L66" s="6">
        <f>IF(K66="", "", I66-K66)</f>
        <v/>
      </c>
      <c r="M66" s="6">
        <f>IF(I66="", "", I66-G66)</f>
        <v/>
      </c>
      <c r="N66" s="21">
        <f>IF(I66="", "", IF(G66&gt;0, I66/G66, 1))</f>
        <v/>
      </c>
      <c r="O66" s="21">
        <f>IF(I66="", "", IF(K66&gt;0, I66/K66, 1))</f>
        <v/>
      </c>
      <c r="P66" s="2">
        <f>IF(I66="", "", IF(AND(N66&gt;=0.95, O66&gt;=0.95), "SALUDABLE", IF(N66&lt;0.9, "ALERTA RETRASO", "ALERTA SOBRECOSTO")))</f>
        <v/>
      </c>
    </row>
    <row r="67" ht="19.95" customHeight="1">
      <c r="A67" s="4" t="n">
        <v>17</v>
      </c>
      <c r="B67" s="31" t="n">
        <v>46251</v>
      </c>
      <c r="C67" s="2" t="inlineStr">
        <is>
          <t>WBS-200</t>
        </is>
      </c>
      <c r="D67" s="3" t="inlineStr">
        <is>
          <t>Red de Alcantarillado, Zanjas y Buzones</t>
        </is>
      </c>
      <c r="E67" s="6">
        <f>SUM('01_PRESUPUESTO_CRONOGRAMA_BASE'!G4:G9)</f>
        <v/>
      </c>
      <c r="F67" s="6">
        <f>SUMIFS('02_CRONOGRAMA_PV_DIARIO'!E:E, '02_CRONOGRAMA_PV_DIARIO'!A:A, A67, '02_CRONOGRAMA_PV_DIARIO'!C:C, C67)</f>
        <v/>
      </c>
      <c r="G67" s="6">
        <f>SUMIFS(F$2:F67, C$2:C67, C67)</f>
        <v/>
      </c>
      <c r="H67" s="6">
        <f>IF(B67 &gt; MAX('04_LOG_FIELD_ENTRIES'!$B:$B), "", SUMIFS('04_LOG_FIELD_ENTRIES'!$J:$J, '04_LOG_FIELD_ENTRIES'!$B:$B, B67, '04_LOG_FIELD_ENTRIES'!$D:$D, C67, '04_LOG_FIELD_ENTRIES'!$K:$K, "EV_PRODUCCION"))</f>
        <v/>
      </c>
      <c r="I67" s="6">
        <f>IF(B67 &gt; MAX('04_LOG_FIELD_ENTRIES'!$B:$B), "", SUMIFS(H$2:H67, C$2:C67, C67))</f>
        <v/>
      </c>
      <c r="J67" s="6">
        <f>IF(B67 &gt; MAX('04_LOG_FIELD_ENTRIES'!$B:$B), "", SUMIFS('04_LOG_FIELD_ENTRIES'!$J:$J, '04_LOG_FIELD_ENTRIES'!$B:$B, B67, '04_LOG_FIELD_ENTRIES'!$D:$D, C67, '04_LOG_FIELD_ENTRIES'!$K:$K, "AC_*"))</f>
        <v/>
      </c>
      <c r="K67" s="6">
        <f>IF(B67 &gt; MAX('04_LOG_FIELD_ENTRIES'!$B:$B), "", SUMIFS(J$2:J67, C$2:C67, C67))</f>
        <v/>
      </c>
      <c r="L67" s="6">
        <f>IF(K67="", "", I67-K67)</f>
        <v/>
      </c>
      <c r="M67" s="6">
        <f>IF(I67="", "", I67-G67)</f>
        <v/>
      </c>
      <c r="N67" s="21">
        <f>IF(I67="", "", IF(G67&gt;0, I67/G67, 1))</f>
        <v/>
      </c>
      <c r="O67" s="21">
        <f>IF(I67="", "", IF(K67&gt;0, I67/K67, 1))</f>
        <v/>
      </c>
      <c r="P67" s="2">
        <f>IF(I67="", "", IF(AND(N67&gt;=0.95, O67&gt;=0.95), "SALUDABLE", IF(N67&lt;0.9, "ALERTA RETRASO", "ALERTA SOBRECOSTO")))</f>
        <v/>
      </c>
    </row>
    <row r="68" ht="19.95" customHeight="1">
      <c r="A68" s="4" t="n">
        <v>17</v>
      </c>
      <c r="B68" s="31" t="n">
        <v>46251</v>
      </c>
      <c r="C68" s="2" t="inlineStr">
        <is>
          <t>WBS-300</t>
        </is>
      </c>
      <c r="D68" s="3" t="inlineStr">
        <is>
          <t>Red de Agua Potable y Conexiones Domiciliarias</t>
        </is>
      </c>
      <c r="E68" s="6">
        <f>SUM('01_PRESUPUESTO_CRONOGRAMA_BASE'!G10:G11)</f>
        <v/>
      </c>
      <c r="F68" s="6">
        <f>SUMIFS('02_CRONOGRAMA_PV_DIARIO'!E:E, '02_CRONOGRAMA_PV_DIARIO'!A:A, A68, '02_CRONOGRAMA_PV_DIARIO'!C:C, C68)</f>
        <v/>
      </c>
      <c r="G68" s="6">
        <f>SUMIFS(F$2:F68, C$2:C68, C68)</f>
        <v/>
      </c>
      <c r="H68" s="6">
        <f>IF(B68 &gt; MAX('04_LOG_FIELD_ENTRIES'!$B:$B), "", SUMIFS('04_LOG_FIELD_ENTRIES'!$J:$J, '04_LOG_FIELD_ENTRIES'!$B:$B, B68, '04_LOG_FIELD_ENTRIES'!$D:$D, C68, '04_LOG_FIELD_ENTRIES'!$K:$K, "EV_PRODUCCION"))</f>
        <v/>
      </c>
      <c r="I68" s="6">
        <f>IF(B68 &gt; MAX('04_LOG_FIELD_ENTRIES'!$B:$B), "", SUMIFS(H$2:H68, C$2:C68, C68))</f>
        <v/>
      </c>
      <c r="J68" s="6">
        <f>IF(B68 &gt; MAX('04_LOG_FIELD_ENTRIES'!$B:$B), "", SUMIFS('04_LOG_FIELD_ENTRIES'!$J:$J, '04_LOG_FIELD_ENTRIES'!$B:$B, B68, '04_LOG_FIELD_ENTRIES'!$D:$D, C68, '04_LOG_FIELD_ENTRIES'!$K:$K, "AC_*"))</f>
        <v/>
      </c>
      <c r="K68" s="6">
        <f>IF(B68 &gt; MAX('04_LOG_FIELD_ENTRIES'!$B:$B), "", SUMIFS(J$2:J68, C$2:C68, C68))</f>
        <v/>
      </c>
      <c r="L68" s="6">
        <f>IF(K68="", "", I68-K68)</f>
        <v/>
      </c>
      <c r="M68" s="6">
        <f>IF(I68="", "", I68-G68)</f>
        <v/>
      </c>
      <c r="N68" s="21">
        <f>IF(I68="", "", IF(G68&gt;0, I68/G68, 1))</f>
        <v/>
      </c>
      <c r="O68" s="21">
        <f>IF(I68="", "", IF(K68&gt;0, I68/K68, 1))</f>
        <v/>
      </c>
      <c r="P68" s="2">
        <f>IF(I68="", "", IF(AND(N68&gt;=0.95, O68&gt;=0.95), "SALUDABLE", IF(N68&lt;0.9, "ALERTA RETRASO", "ALERTA SOBRECOSTO")))</f>
        <v/>
      </c>
    </row>
    <row r="69" ht="19.95" customHeight="1">
      <c r="A69" s="4" t="n">
        <v>17</v>
      </c>
      <c r="B69" s="31" t="n">
        <v>46251</v>
      </c>
      <c r="C69" s="2" t="inlineStr">
        <is>
          <t>WBS-400</t>
        </is>
      </c>
      <c r="D69" s="3" t="inlineStr">
        <is>
          <t>Pruebas Hidráulicas, Desinfección y Entrega</t>
        </is>
      </c>
      <c r="E69" s="6">
        <f>SUM('01_PRESUPUESTO_CRONOGRAMA_BASE'!G12:G12)</f>
        <v/>
      </c>
      <c r="F69" s="6">
        <f>SUMIFS('02_CRONOGRAMA_PV_DIARIO'!E:E, '02_CRONOGRAMA_PV_DIARIO'!A:A, A69, '02_CRONOGRAMA_PV_DIARIO'!C:C, C69)</f>
        <v/>
      </c>
      <c r="G69" s="6">
        <f>SUMIFS(F$2:F69, C$2:C69, C69)</f>
        <v/>
      </c>
      <c r="H69" s="6">
        <f>IF(B69 &gt; MAX('04_LOG_FIELD_ENTRIES'!$B:$B), "", SUMIFS('04_LOG_FIELD_ENTRIES'!$J:$J, '04_LOG_FIELD_ENTRIES'!$B:$B, B69, '04_LOG_FIELD_ENTRIES'!$D:$D, C69, '04_LOG_FIELD_ENTRIES'!$K:$K, "EV_PRODUCCION"))</f>
        <v/>
      </c>
      <c r="I69" s="6">
        <f>IF(B69 &gt; MAX('04_LOG_FIELD_ENTRIES'!$B:$B), "", SUMIFS(H$2:H69, C$2:C69, C69))</f>
        <v/>
      </c>
      <c r="J69" s="6">
        <f>IF(B69 &gt; MAX('04_LOG_FIELD_ENTRIES'!$B:$B), "", SUMIFS('04_LOG_FIELD_ENTRIES'!$J:$J, '04_LOG_FIELD_ENTRIES'!$B:$B, B69, '04_LOG_FIELD_ENTRIES'!$D:$D, C69, '04_LOG_FIELD_ENTRIES'!$K:$K, "AC_*"))</f>
        <v/>
      </c>
      <c r="K69" s="6">
        <f>IF(B69 &gt; MAX('04_LOG_FIELD_ENTRIES'!$B:$B), "", SUMIFS(J$2:J69, C$2:C69, C69))</f>
        <v/>
      </c>
      <c r="L69" s="6">
        <f>IF(K69="", "", I69-K69)</f>
        <v/>
      </c>
      <c r="M69" s="6">
        <f>IF(I69="", "", I69-G69)</f>
        <v/>
      </c>
      <c r="N69" s="21">
        <f>IF(I69="", "", IF(G69&gt;0, I69/G69, 1))</f>
        <v/>
      </c>
      <c r="O69" s="21">
        <f>IF(I69="", "", IF(K69&gt;0, I69/K69, 1))</f>
        <v/>
      </c>
      <c r="P69" s="2">
        <f>IF(I69="", "", IF(AND(N69&gt;=0.95, O69&gt;=0.95), "SALUDABLE", IF(N69&lt;0.9, "ALERTA RETRASO", "ALERTA SOBRECOSTO")))</f>
        <v/>
      </c>
    </row>
    <row r="70" ht="19.95" customHeight="1">
      <c r="A70" s="4" t="n">
        <v>18</v>
      </c>
      <c r="B70" s="31" t="n">
        <v>46252</v>
      </c>
      <c r="C70" s="2" t="inlineStr">
        <is>
          <t>WBS-100</t>
        </is>
      </c>
      <c r="D70" s="3" t="inlineStr">
        <is>
          <t>Obras Preliminares, Trazo y Movilización</t>
        </is>
      </c>
      <c r="E70" s="6">
        <f>SUM('01_PRESUPUESTO_CRONOGRAMA_BASE'!G2:G3)</f>
        <v/>
      </c>
      <c r="F70" s="6">
        <f>SUMIFS('02_CRONOGRAMA_PV_DIARIO'!E:E, '02_CRONOGRAMA_PV_DIARIO'!A:A, A70, '02_CRONOGRAMA_PV_DIARIO'!C:C, C70)</f>
        <v/>
      </c>
      <c r="G70" s="6">
        <f>SUMIFS(F$2:F70, C$2:C70, C70)</f>
        <v/>
      </c>
      <c r="H70" s="6">
        <f>IF(B70 &gt; MAX('04_LOG_FIELD_ENTRIES'!$B:$B), "", SUMIFS('04_LOG_FIELD_ENTRIES'!$J:$J, '04_LOG_FIELD_ENTRIES'!$B:$B, B70, '04_LOG_FIELD_ENTRIES'!$D:$D, C70, '04_LOG_FIELD_ENTRIES'!$K:$K, "EV_PRODUCCION"))</f>
        <v/>
      </c>
      <c r="I70" s="6">
        <f>IF(B70 &gt; MAX('04_LOG_FIELD_ENTRIES'!$B:$B), "", SUMIFS(H$2:H70, C$2:C70, C70))</f>
        <v/>
      </c>
      <c r="J70" s="6">
        <f>IF(B70 &gt; MAX('04_LOG_FIELD_ENTRIES'!$B:$B), "", SUMIFS('04_LOG_FIELD_ENTRIES'!$J:$J, '04_LOG_FIELD_ENTRIES'!$B:$B, B70, '04_LOG_FIELD_ENTRIES'!$D:$D, C70, '04_LOG_FIELD_ENTRIES'!$K:$K, "AC_*"))</f>
        <v/>
      </c>
      <c r="K70" s="6">
        <f>IF(B70 &gt; MAX('04_LOG_FIELD_ENTRIES'!$B:$B), "", SUMIFS(J$2:J70, C$2:C70, C70))</f>
        <v/>
      </c>
      <c r="L70" s="6">
        <f>IF(K70="", "", I70-K70)</f>
        <v/>
      </c>
      <c r="M70" s="6">
        <f>IF(I70="", "", I70-G70)</f>
        <v/>
      </c>
      <c r="N70" s="21">
        <f>IF(I70="", "", IF(G70&gt;0, I70/G70, 1))</f>
        <v/>
      </c>
      <c r="O70" s="21">
        <f>IF(I70="", "", IF(K70&gt;0, I70/K70, 1))</f>
        <v/>
      </c>
      <c r="P70" s="2">
        <f>IF(I70="", "", IF(AND(N70&gt;=0.95, O70&gt;=0.95), "SALUDABLE", IF(N70&lt;0.9, "ALERTA RETRASO", "ALERTA SOBRECOSTO")))</f>
        <v/>
      </c>
    </row>
    <row r="71" ht="19.95" customHeight="1">
      <c r="A71" s="4" t="n">
        <v>18</v>
      </c>
      <c r="B71" s="31" t="n">
        <v>46252</v>
      </c>
      <c r="C71" s="2" t="inlineStr">
        <is>
          <t>WBS-200</t>
        </is>
      </c>
      <c r="D71" s="3" t="inlineStr">
        <is>
          <t>Red de Alcantarillado, Zanjas y Buzones</t>
        </is>
      </c>
      <c r="E71" s="6">
        <f>SUM('01_PRESUPUESTO_CRONOGRAMA_BASE'!G4:G9)</f>
        <v/>
      </c>
      <c r="F71" s="6">
        <f>SUMIFS('02_CRONOGRAMA_PV_DIARIO'!E:E, '02_CRONOGRAMA_PV_DIARIO'!A:A, A71, '02_CRONOGRAMA_PV_DIARIO'!C:C, C71)</f>
        <v/>
      </c>
      <c r="G71" s="6">
        <f>SUMIFS(F$2:F71, C$2:C71, C71)</f>
        <v/>
      </c>
      <c r="H71" s="6">
        <f>IF(B71 &gt; MAX('04_LOG_FIELD_ENTRIES'!$B:$B), "", SUMIFS('04_LOG_FIELD_ENTRIES'!$J:$J, '04_LOG_FIELD_ENTRIES'!$B:$B, B71, '04_LOG_FIELD_ENTRIES'!$D:$D, C71, '04_LOG_FIELD_ENTRIES'!$K:$K, "EV_PRODUCCION"))</f>
        <v/>
      </c>
      <c r="I71" s="6">
        <f>IF(B71 &gt; MAX('04_LOG_FIELD_ENTRIES'!$B:$B), "", SUMIFS(H$2:H71, C$2:C71, C71))</f>
        <v/>
      </c>
      <c r="J71" s="6">
        <f>IF(B71 &gt; MAX('04_LOG_FIELD_ENTRIES'!$B:$B), "", SUMIFS('04_LOG_FIELD_ENTRIES'!$J:$J, '04_LOG_FIELD_ENTRIES'!$B:$B, B71, '04_LOG_FIELD_ENTRIES'!$D:$D, C71, '04_LOG_FIELD_ENTRIES'!$K:$K, "AC_*"))</f>
        <v/>
      </c>
      <c r="K71" s="6">
        <f>IF(B71 &gt; MAX('04_LOG_FIELD_ENTRIES'!$B:$B), "", SUMIFS(J$2:J71, C$2:C71, C71))</f>
        <v/>
      </c>
      <c r="L71" s="6">
        <f>IF(K71="", "", I71-K71)</f>
        <v/>
      </c>
      <c r="M71" s="6">
        <f>IF(I71="", "", I71-G71)</f>
        <v/>
      </c>
      <c r="N71" s="21">
        <f>IF(I71="", "", IF(G71&gt;0, I71/G71, 1))</f>
        <v/>
      </c>
      <c r="O71" s="21">
        <f>IF(I71="", "", IF(K71&gt;0, I71/K71, 1))</f>
        <v/>
      </c>
      <c r="P71" s="2">
        <f>IF(I71="", "", IF(AND(N71&gt;=0.95, O71&gt;=0.95), "SALUDABLE", IF(N71&lt;0.9, "ALERTA RETRASO", "ALERTA SOBRECOSTO")))</f>
        <v/>
      </c>
    </row>
    <row r="72" ht="19.95" customHeight="1">
      <c r="A72" s="4" t="n">
        <v>18</v>
      </c>
      <c r="B72" s="31" t="n">
        <v>46252</v>
      </c>
      <c r="C72" s="2" t="inlineStr">
        <is>
          <t>WBS-300</t>
        </is>
      </c>
      <c r="D72" s="3" t="inlineStr">
        <is>
          <t>Red de Agua Potable y Conexiones Domiciliarias</t>
        </is>
      </c>
      <c r="E72" s="6">
        <f>SUM('01_PRESUPUESTO_CRONOGRAMA_BASE'!G10:G11)</f>
        <v/>
      </c>
      <c r="F72" s="6">
        <f>SUMIFS('02_CRONOGRAMA_PV_DIARIO'!E:E, '02_CRONOGRAMA_PV_DIARIO'!A:A, A72, '02_CRONOGRAMA_PV_DIARIO'!C:C, C72)</f>
        <v/>
      </c>
      <c r="G72" s="6">
        <f>SUMIFS(F$2:F72, C$2:C72, C72)</f>
        <v/>
      </c>
      <c r="H72" s="6">
        <f>IF(B72 &gt; MAX('04_LOG_FIELD_ENTRIES'!$B:$B), "", SUMIFS('04_LOG_FIELD_ENTRIES'!$J:$J, '04_LOG_FIELD_ENTRIES'!$B:$B, B72, '04_LOG_FIELD_ENTRIES'!$D:$D, C72, '04_LOG_FIELD_ENTRIES'!$K:$K, "EV_PRODUCCION"))</f>
        <v/>
      </c>
      <c r="I72" s="6">
        <f>IF(B72 &gt; MAX('04_LOG_FIELD_ENTRIES'!$B:$B), "", SUMIFS(H$2:H72, C$2:C72, C72))</f>
        <v/>
      </c>
      <c r="J72" s="6">
        <f>IF(B72 &gt; MAX('04_LOG_FIELD_ENTRIES'!$B:$B), "", SUMIFS('04_LOG_FIELD_ENTRIES'!$J:$J, '04_LOG_FIELD_ENTRIES'!$B:$B, B72, '04_LOG_FIELD_ENTRIES'!$D:$D, C72, '04_LOG_FIELD_ENTRIES'!$K:$K, "AC_*"))</f>
        <v/>
      </c>
      <c r="K72" s="6">
        <f>IF(B72 &gt; MAX('04_LOG_FIELD_ENTRIES'!$B:$B), "", SUMIFS(J$2:J72, C$2:C72, C72))</f>
        <v/>
      </c>
      <c r="L72" s="6">
        <f>IF(K72="", "", I72-K72)</f>
        <v/>
      </c>
      <c r="M72" s="6">
        <f>IF(I72="", "", I72-G72)</f>
        <v/>
      </c>
      <c r="N72" s="21">
        <f>IF(I72="", "", IF(G72&gt;0, I72/G72, 1))</f>
        <v/>
      </c>
      <c r="O72" s="21">
        <f>IF(I72="", "", IF(K72&gt;0, I72/K72, 1))</f>
        <v/>
      </c>
      <c r="P72" s="2">
        <f>IF(I72="", "", IF(AND(N72&gt;=0.95, O72&gt;=0.95), "SALUDABLE", IF(N72&lt;0.9, "ALERTA RETRASO", "ALERTA SOBRECOSTO")))</f>
        <v/>
      </c>
    </row>
    <row r="73" ht="19.95" customHeight="1">
      <c r="A73" s="4" t="n">
        <v>18</v>
      </c>
      <c r="B73" s="31" t="n">
        <v>46252</v>
      </c>
      <c r="C73" s="2" t="inlineStr">
        <is>
          <t>WBS-400</t>
        </is>
      </c>
      <c r="D73" s="3" t="inlineStr">
        <is>
          <t>Pruebas Hidráulicas, Desinfección y Entrega</t>
        </is>
      </c>
      <c r="E73" s="6">
        <f>SUM('01_PRESUPUESTO_CRONOGRAMA_BASE'!G12:G12)</f>
        <v/>
      </c>
      <c r="F73" s="6">
        <f>SUMIFS('02_CRONOGRAMA_PV_DIARIO'!E:E, '02_CRONOGRAMA_PV_DIARIO'!A:A, A73, '02_CRONOGRAMA_PV_DIARIO'!C:C, C73)</f>
        <v/>
      </c>
      <c r="G73" s="6">
        <f>SUMIFS(F$2:F73, C$2:C73, C73)</f>
        <v/>
      </c>
      <c r="H73" s="6">
        <f>IF(B73 &gt; MAX('04_LOG_FIELD_ENTRIES'!$B:$B), "", SUMIFS('04_LOG_FIELD_ENTRIES'!$J:$J, '04_LOG_FIELD_ENTRIES'!$B:$B, B73, '04_LOG_FIELD_ENTRIES'!$D:$D, C73, '04_LOG_FIELD_ENTRIES'!$K:$K, "EV_PRODUCCION"))</f>
        <v/>
      </c>
      <c r="I73" s="6">
        <f>IF(B73 &gt; MAX('04_LOG_FIELD_ENTRIES'!$B:$B), "", SUMIFS(H$2:H73, C$2:C73, C73))</f>
        <v/>
      </c>
      <c r="J73" s="6">
        <f>IF(B73 &gt; MAX('04_LOG_FIELD_ENTRIES'!$B:$B), "", SUMIFS('04_LOG_FIELD_ENTRIES'!$J:$J, '04_LOG_FIELD_ENTRIES'!$B:$B, B73, '04_LOG_FIELD_ENTRIES'!$D:$D, C73, '04_LOG_FIELD_ENTRIES'!$K:$K, "AC_*"))</f>
        <v/>
      </c>
      <c r="K73" s="6">
        <f>IF(B73 &gt; MAX('04_LOG_FIELD_ENTRIES'!$B:$B), "", SUMIFS(J$2:J73, C$2:C73, C73))</f>
        <v/>
      </c>
      <c r="L73" s="6">
        <f>IF(K73="", "", I73-K73)</f>
        <v/>
      </c>
      <c r="M73" s="6">
        <f>IF(I73="", "", I73-G73)</f>
        <v/>
      </c>
      <c r="N73" s="21">
        <f>IF(I73="", "", IF(G73&gt;0, I73/G73, 1))</f>
        <v/>
      </c>
      <c r="O73" s="21">
        <f>IF(I73="", "", IF(K73&gt;0, I73/K73, 1))</f>
        <v/>
      </c>
      <c r="P73" s="2">
        <f>IF(I73="", "", IF(AND(N73&gt;=0.95, O73&gt;=0.95), "SALUDABLE", IF(N73&lt;0.9, "ALERTA RETRASO", "ALERTA SOBRECOSTO")))</f>
        <v/>
      </c>
    </row>
    <row r="74" ht="19.95" customHeight="1">
      <c r="A74" s="4" t="n">
        <v>19</v>
      </c>
      <c r="B74" s="31" t="n">
        <v>46253</v>
      </c>
      <c r="C74" s="2" t="inlineStr">
        <is>
          <t>WBS-100</t>
        </is>
      </c>
      <c r="D74" s="3" t="inlineStr">
        <is>
          <t>Obras Preliminares, Trazo y Movilización</t>
        </is>
      </c>
      <c r="E74" s="6">
        <f>SUM('01_PRESUPUESTO_CRONOGRAMA_BASE'!G2:G3)</f>
        <v/>
      </c>
      <c r="F74" s="6">
        <f>SUMIFS('02_CRONOGRAMA_PV_DIARIO'!E:E, '02_CRONOGRAMA_PV_DIARIO'!A:A, A74, '02_CRONOGRAMA_PV_DIARIO'!C:C, C74)</f>
        <v/>
      </c>
      <c r="G74" s="6">
        <f>SUMIFS(F$2:F74, C$2:C74, C74)</f>
        <v/>
      </c>
      <c r="H74" s="6">
        <f>IF(B74 &gt; MAX('04_LOG_FIELD_ENTRIES'!$B:$B), "", SUMIFS('04_LOG_FIELD_ENTRIES'!$J:$J, '04_LOG_FIELD_ENTRIES'!$B:$B, B74, '04_LOG_FIELD_ENTRIES'!$D:$D, C74, '04_LOG_FIELD_ENTRIES'!$K:$K, "EV_PRODUCCION"))</f>
        <v/>
      </c>
      <c r="I74" s="6">
        <f>IF(B74 &gt; MAX('04_LOG_FIELD_ENTRIES'!$B:$B), "", SUMIFS(H$2:H74, C$2:C74, C74))</f>
        <v/>
      </c>
      <c r="J74" s="6">
        <f>IF(B74 &gt; MAX('04_LOG_FIELD_ENTRIES'!$B:$B), "", SUMIFS('04_LOG_FIELD_ENTRIES'!$J:$J, '04_LOG_FIELD_ENTRIES'!$B:$B, B74, '04_LOG_FIELD_ENTRIES'!$D:$D, C74, '04_LOG_FIELD_ENTRIES'!$K:$K, "AC_*"))</f>
        <v/>
      </c>
      <c r="K74" s="6">
        <f>IF(B74 &gt; MAX('04_LOG_FIELD_ENTRIES'!$B:$B), "", SUMIFS(J$2:J74, C$2:C74, C74))</f>
        <v/>
      </c>
      <c r="L74" s="6">
        <f>IF(K74="", "", I74-K74)</f>
        <v/>
      </c>
      <c r="M74" s="6">
        <f>IF(I74="", "", I74-G74)</f>
        <v/>
      </c>
      <c r="N74" s="21">
        <f>IF(I74="", "", IF(G74&gt;0, I74/G74, 1))</f>
        <v/>
      </c>
      <c r="O74" s="21">
        <f>IF(I74="", "", IF(K74&gt;0, I74/K74, 1))</f>
        <v/>
      </c>
      <c r="P74" s="2">
        <f>IF(I74="", "", IF(AND(N74&gt;=0.95, O74&gt;=0.95), "SALUDABLE", IF(N74&lt;0.9, "ALERTA RETRASO", "ALERTA SOBRECOSTO")))</f>
        <v/>
      </c>
    </row>
    <row r="75" ht="19.95" customHeight="1">
      <c r="A75" s="4" t="n">
        <v>19</v>
      </c>
      <c r="B75" s="31" t="n">
        <v>46253</v>
      </c>
      <c r="C75" s="2" t="inlineStr">
        <is>
          <t>WBS-200</t>
        </is>
      </c>
      <c r="D75" s="3" t="inlineStr">
        <is>
          <t>Red de Alcantarillado, Zanjas y Buzones</t>
        </is>
      </c>
      <c r="E75" s="6">
        <f>SUM('01_PRESUPUESTO_CRONOGRAMA_BASE'!G4:G9)</f>
        <v/>
      </c>
      <c r="F75" s="6">
        <f>SUMIFS('02_CRONOGRAMA_PV_DIARIO'!E:E, '02_CRONOGRAMA_PV_DIARIO'!A:A, A75, '02_CRONOGRAMA_PV_DIARIO'!C:C, C75)</f>
        <v/>
      </c>
      <c r="G75" s="6">
        <f>SUMIFS(F$2:F75, C$2:C75, C75)</f>
        <v/>
      </c>
      <c r="H75" s="6">
        <f>IF(B75 &gt; MAX('04_LOG_FIELD_ENTRIES'!$B:$B), "", SUMIFS('04_LOG_FIELD_ENTRIES'!$J:$J, '04_LOG_FIELD_ENTRIES'!$B:$B, B75, '04_LOG_FIELD_ENTRIES'!$D:$D, C75, '04_LOG_FIELD_ENTRIES'!$K:$K, "EV_PRODUCCION"))</f>
        <v/>
      </c>
      <c r="I75" s="6">
        <f>IF(B75 &gt; MAX('04_LOG_FIELD_ENTRIES'!$B:$B), "", SUMIFS(H$2:H75, C$2:C75, C75))</f>
        <v/>
      </c>
      <c r="J75" s="6">
        <f>IF(B75 &gt; MAX('04_LOG_FIELD_ENTRIES'!$B:$B), "", SUMIFS('04_LOG_FIELD_ENTRIES'!$J:$J, '04_LOG_FIELD_ENTRIES'!$B:$B, B75, '04_LOG_FIELD_ENTRIES'!$D:$D, C75, '04_LOG_FIELD_ENTRIES'!$K:$K, "AC_*"))</f>
        <v/>
      </c>
      <c r="K75" s="6">
        <f>IF(B75 &gt; MAX('04_LOG_FIELD_ENTRIES'!$B:$B), "", SUMIFS(J$2:J75, C$2:C75, C75))</f>
        <v/>
      </c>
      <c r="L75" s="6">
        <f>IF(K75="", "", I75-K75)</f>
        <v/>
      </c>
      <c r="M75" s="6">
        <f>IF(I75="", "", I75-G75)</f>
        <v/>
      </c>
      <c r="N75" s="21">
        <f>IF(I75="", "", IF(G75&gt;0, I75/G75, 1))</f>
        <v/>
      </c>
      <c r="O75" s="21">
        <f>IF(I75="", "", IF(K75&gt;0, I75/K75, 1))</f>
        <v/>
      </c>
      <c r="P75" s="2">
        <f>IF(I75="", "", IF(AND(N75&gt;=0.95, O75&gt;=0.95), "SALUDABLE", IF(N75&lt;0.9, "ALERTA RETRASO", "ALERTA SOBRECOSTO")))</f>
        <v/>
      </c>
    </row>
    <row r="76" ht="19.95" customHeight="1">
      <c r="A76" s="4" t="n">
        <v>19</v>
      </c>
      <c r="B76" s="31" t="n">
        <v>46253</v>
      </c>
      <c r="C76" s="2" t="inlineStr">
        <is>
          <t>WBS-300</t>
        </is>
      </c>
      <c r="D76" s="3" t="inlineStr">
        <is>
          <t>Red de Agua Potable y Conexiones Domiciliarias</t>
        </is>
      </c>
      <c r="E76" s="6">
        <f>SUM('01_PRESUPUESTO_CRONOGRAMA_BASE'!G10:G11)</f>
        <v/>
      </c>
      <c r="F76" s="6">
        <f>SUMIFS('02_CRONOGRAMA_PV_DIARIO'!E:E, '02_CRONOGRAMA_PV_DIARIO'!A:A, A76, '02_CRONOGRAMA_PV_DIARIO'!C:C, C76)</f>
        <v/>
      </c>
      <c r="G76" s="6">
        <f>SUMIFS(F$2:F76, C$2:C76, C76)</f>
        <v/>
      </c>
      <c r="H76" s="6">
        <f>IF(B76 &gt; MAX('04_LOG_FIELD_ENTRIES'!$B:$B), "", SUMIFS('04_LOG_FIELD_ENTRIES'!$J:$J, '04_LOG_FIELD_ENTRIES'!$B:$B, B76, '04_LOG_FIELD_ENTRIES'!$D:$D, C76, '04_LOG_FIELD_ENTRIES'!$K:$K, "EV_PRODUCCION"))</f>
        <v/>
      </c>
      <c r="I76" s="6">
        <f>IF(B76 &gt; MAX('04_LOG_FIELD_ENTRIES'!$B:$B), "", SUMIFS(H$2:H76, C$2:C76, C76))</f>
        <v/>
      </c>
      <c r="J76" s="6">
        <f>IF(B76 &gt; MAX('04_LOG_FIELD_ENTRIES'!$B:$B), "", SUMIFS('04_LOG_FIELD_ENTRIES'!$J:$J, '04_LOG_FIELD_ENTRIES'!$B:$B, B76, '04_LOG_FIELD_ENTRIES'!$D:$D, C76, '04_LOG_FIELD_ENTRIES'!$K:$K, "AC_*"))</f>
        <v/>
      </c>
      <c r="K76" s="6">
        <f>IF(B76 &gt; MAX('04_LOG_FIELD_ENTRIES'!$B:$B), "", SUMIFS(J$2:J76, C$2:C76, C76))</f>
        <v/>
      </c>
      <c r="L76" s="6">
        <f>IF(K76="", "", I76-K76)</f>
        <v/>
      </c>
      <c r="M76" s="6">
        <f>IF(I76="", "", I76-G76)</f>
        <v/>
      </c>
      <c r="N76" s="21">
        <f>IF(I76="", "", IF(G76&gt;0, I76/G76, 1))</f>
        <v/>
      </c>
      <c r="O76" s="21">
        <f>IF(I76="", "", IF(K76&gt;0, I76/K76, 1))</f>
        <v/>
      </c>
      <c r="P76" s="2">
        <f>IF(I76="", "", IF(AND(N76&gt;=0.95, O76&gt;=0.95), "SALUDABLE", IF(N76&lt;0.9, "ALERTA RETRASO", "ALERTA SOBRECOSTO")))</f>
        <v/>
      </c>
    </row>
    <row r="77" ht="19.95" customHeight="1">
      <c r="A77" s="4" t="n">
        <v>19</v>
      </c>
      <c r="B77" s="31" t="n">
        <v>46253</v>
      </c>
      <c r="C77" s="2" t="inlineStr">
        <is>
          <t>WBS-400</t>
        </is>
      </c>
      <c r="D77" s="3" t="inlineStr">
        <is>
          <t>Pruebas Hidráulicas, Desinfección y Entrega</t>
        </is>
      </c>
      <c r="E77" s="6">
        <f>SUM('01_PRESUPUESTO_CRONOGRAMA_BASE'!G12:G12)</f>
        <v/>
      </c>
      <c r="F77" s="6">
        <f>SUMIFS('02_CRONOGRAMA_PV_DIARIO'!E:E, '02_CRONOGRAMA_PV_DIARIO'!A:A, A77, '02_CRONOGRAMA_PV_DIARIO'!C:C, C77)</f>
        <v/>
      </c>
      <c r="G77" s="6">
        <f>SUMIFS(F$2:F77, C$2:C77, C77)</f>
        <v/>
      </c>
      <c r="H77" s="6">
        <f>IF(B77 &gt; MAX('04_LOG_FIELD_ENTRIES'!$B:$B), "", SUMIFS('04_LOG_FIELD_ENTRIES'!$J:$J, '04_LOG_FIELD_ENTRIES'!$B:$B, B77, '04_LOG_FIELD_ENTRIES'!$D:$D, C77, '04_LOG_FIELD_ENTRIES'!$K:$K, "EV_PRODUCCION"))</f>
        <v/>
      </c>
      <c r="I77" s="6">
        <f>IF(B77 &gt; MAX('04_LOG_FIELD_ENTRIES'!$B:$B), "", SUMIFS(H$2:H77, C$2:C77, C77))</f>
        <v/>
      </c>
      <c r="J77" s="6">
        <f>IF(B77 &gt; MAX('04_LOG_FIELD_ENTRIES'!$B:$B), "", SUMIFS('04_LOG_FIELD_ENTRIES'!$J:$J, '04_LOG_FIELD_ENTRIES'!$B:$B, B77, '04_LOG_FIELD_ENTRIES'!$D:$D, C77, '04_LOG_FIELD_ENTRIES'!$K:$K, "AC_*"))</f>
        <v/>
      </c>
      <c r="K77" s="6">
        <f>IF(B77 &gt; MAX('04_LOG_FIELD_ENTRIES'!$B:$B), "", SUMIFS(J$2:J77, C$2:C77, C77))</f>
        <v/>
      </c>
      <c r="L77" s="6">
        <f>IF(K77="", "", I77-K77)</f>
        <v/>
      </c>
      <c r="M77" s="6">
        <f>IF(I77="", "", I77-G77)</f>
        <v/>
      </c>
      <c r="N77" s="21">
        <f>IF(I77="", "", IF(G77&gt;0, I77/G77, 1))</f>
        <v/>
      </c>
      <c r="O77" s="21">
        <f>IF(I77="", "", IF(K77&gt;0, I77/K77, 1))</f>
        <v/>
      </c>
      <c r="P77" s="2">
        <f>IF(I77="", "", IF(AND(N77&gt;=0.95, O77&gt;=0.95), "SALUDABLE", IF(N77&lt;0.9, "ALERTA RETRASO", "ALERTA SOBRECOSTO")))</f>
        <v/>
      </c>
    </row>
    <row r="78" ht="19.95" customHeight="1">
      <c r="A78" s="4" t="n">
        <v>20</v>
      </c>
      <c r="B78" s="31" t="n">
        <v>46254</v>
      </c>
      <c r="C78" s="2" t="inlineStr">
        <is>
          <t>WBS-100</t>
        </is>
      </c>
      <c r="D78" s="3" t="inlineStr">
        <is>
          <t>Obras Preliminares, Trazo y Movilización</t>
        </is>
      </c>
      <c r="E78" s="6">
        <f>SUM('01_PRESUPUESTO_CRONOGRAMA_BASE'!G2:G3)</f>
        <v/>
      </c>
      <c r="F78" s="6">
        <f>SUMIFS('02_CRONOGRAMA_PV_DIARIO'!E:E, '02_CRONOGRAMA_PV_DIARIO'!A:A, A78, '02_CRONOGRAMA_PV_DIARIO'!C:C, C78)</f>
        <v/>
      </c>
      <c r="G78" s="6">
        <f>SUMIFS(F$2:F78, C$2:C78, C78)</f>
        <v/>
      </c>
      <c r="H78" s="6">
        <f>IF(B78 &gt; MAX('04_LOG_FIELD_ENTRIES'!$B:$B), "", SUMIFS('04_LOG_FIELD_ENTRIES'!$J:$J, '04_LOG_FIELD_ENTRIES'!$B:$B, B78, '04_LOG_FIELD_ENTRIES'!$D:$D, C78, '04_LOG_FIELD_ENTRIES'!$K:$K, "EV_PRODUCCION"))</f>
        <v/>
      </c>
      <c r="I78" s="6">
        <f>IF(B78 &gt; MAX('04_LOG_FIELD_ENTRIES'!$B:$B), "", SUMIFS(H$2:H78, C$2:C78, C78))</f>
        <v/>
      </c>
      <c r="J78" s="6">
        <f>IF(B78 &gt; MAX('04_LOG_FIELD_ENTRIES'!$B:$B), "", SUMIFS('04_LOG_FIELD_ENTRIES'!$J:$J, '04_LOG_FIELD_ENTRIES'!$B:$B, B78, '04_LOG_FIELD_ENTRIES'!$D:$D, C78, '04_LOG_FIELD_ENTRIES'!$K:$K, "AC_*"))</f>
        <v/>
      </c>
      <c r="K78" s="6">
        <f>IF(B78 &gt; MAX('04_LOG_FIELD_ENTRIES'!$B:$B), "", SUMIFS(J$2:J78, C$2:C78, C78))</f>
        <v/>
      </c>
      <c r="L78" s="6">
        <f>IF(K78="", "", I78-K78)</f>
        <v/>
      </c>
      <c r="M78" s="6">
        <f>IF(I78="", "", I78-G78)</f>
        <v/>
      </c>
      <c r="N78" s="21">
        <f>IF(I78="", "", IF(G78&gt;0, I78/G78, 1))</f>
        <v/>
      </c>
      <c r="O78" s="21">
        <f>IF(I78="", "", IF(K78&gt;0, I78/K78, 1))</f>
        <v/>
      </c>
      <c r="P78" s="2">
        <f>IF(I78="", "", IF(AND(N78&gt;=0.95, O78&gt;=0.95), "SALUDABLE", IF(N78&lt;0.9, "ALERTA RETRASO", "ALERTA SOBRECOSTO")))</f>
        <v/>
      </c>
    </row>
    <row r="79" ht="19.95" customHeight="1">
      <c r="A79" s="4" t="n">
        <v>20</v>
      </c>
      <c r="B79" s="31" t="n">
        <v>46254</v>
      </c>
      <c r="C79" s="2" t="inlineStr">
        <is>
          <t>WBS-200</t>
        </is>
      </c>
      <c r="D79" s="3" t="inlineStr">
        <is>
          <t>Red de Alcantarillado, Zanjas y Buzones</t>
        </is>
      </c>
      <c r="E79" s="6">
        <f>SUM('01_PRESUPUESTO_CRONOGRAMA_BASE'!G4:G9)</f>
        <v/>
      </c>
      <c r="F79" s="6">
        <f>SUMIFS('02_CRONOGRAMA_PV_DIARIO'!E:E, '02_CRONOGRAMA_PV_DIARIO'!A:A, A79, '02_CRONOGRAMA_PV_DIARIO'!C:C, C79)</f>
        <v/>
      </c>
      <c r="G79" s="6">
        <f>SUMIFS(F$2:F79, C$2:C79, C79)</f>
        <v/>
      </c>
      <c r="H79" s="6">
        <f>IF(B79 &gt; MAX('04_LOG_FIELD_ENTRIES'!$B:$B), "", SUMIFS('04_LOG_FIELD_ENTRIES'!$J:$J, '04_LOG_FIELD_ENTRIES'!$B:$B, B79, '04_LOG_FIELD_ENTRIES'!$D:$D, C79, '04_LOG_FIELD_ENTRIES'!$K:$K, "EV_PRODUCCION"))</f>
        <v/>
      </c>
      <c r="I79" s="6">
        <f>IF(B79 &gt; MAX('04_LOG_FIELD_ENTRIES'!$B:$B), "", SUMIFS(H$2:H79, C$2:C79, C79))</f>
        <v/>
      </c>
      <c r="J79" s="6">
        <f>IF(B79 &gt; MAX('04_LOG_FIELD_ENTRIES'!$B:$B), "", SUMIFS('04_LOG_FIELD_ENTRIES'!$J:$J, '04_LOG_FIELD_ENTRIES'!$B:$B, B79, '04_LOG_FIELD_ENTRIES'!$D:$D, C79, '04_LOG_FIELD_ENTRIES'!$K:$K, "AC_*"))</f>
        <v/>
      </c>
      <c r="K79" s="6">
        <f>IF(B79 &gt; MAX('04_LOG_FIELD_ENTRIES'!$B:$B), "", SUMIFS(J$2:J79, C$2:C79, C79))</f>
        <v/>
      </c>
      <c r="L79" s="6">
        <f>IF(K79="", "", I79-K79)</f>
        <v/>
      </c>
      <c r="M79" s="6">
        <f>IF(I79="", "", I79-G79)</f>
        <v/>
      </c>
      <c r="N79" s="21">
        <f>IF(I79="", "", IF(G79&gt;0, I79/G79, 1))</f>
        <v/>
      </c>
      <c r="O79" s="21">
        <f>IF(I79="", "", IF(K79&gt;0, I79/K79, 1))</f>
        <v/>
      </c>
      <c r="P79" s="2">
        <f>IF(I79="", "", IF(AND(N79&gt;=0.95, O79&gt;=0.95), "SALUDABLE", IF(N79&lt;0.9, "ALERTA RETRASO", "ALERTA SOBRECOSTO")))</f>
        <v/>
      </c>
    </row>
    <row r="80" ht="19.95" customHeight="1">
      <c r="A80" s="4" t="n">
        <v>20</v>
      </c>
      <c r="B80" s="31" t="n">
        <v>46254</v>
      </c>
      <c r="C80" s="2" t="inlineStr">
        <is>
          <t>WBS-300</t>
        </is>
      </c>
      <c r="D80" s="3" t="inlineStr">
        <is>
          <t>Red de Agua Potable y Conexiones Domiciliarias</t>
        </is>
      </c>
      <c r="E80" s="6">
        <f>SUM('01_PRESUPUESTO_CRONOGRAMA_BASE'!G10:G11)</f>
        <v/>
      </c>
      <c r="F80" s="6">
        <f>SUMIFS('02_CRONOGRAMA_PV_DIARIO'!E:E, '02_CRONOGRAMA_PV_DIARIO'!A:A, A80, '02_CRONOGRAMA_PV_DIARIO'!C:C, C80)</f>
        <v/>
      </c>
      <c r="G80" s="6">
        <f>SUMIFS(F$2:F80, C$2:C80, C80)</f>
        <v/>
      </c>
      <c r="H80" s="6">
        <f>IF(B80 &gt; MAX('04_LOG_FIELD_ENTRIES'!$B:$B), "", SUMIFS('04_LOG_FIELD_ENTRIES'!$J:$J, '04_LOG_FIELD_ENTRIES'!$B:$B, B80, '04_LOG_FIELD_ENTRIES'!$D:$D, C80, '04_LOG_FIELD_ENTRIES'!$K:$K, "EV_PRODUCCION"))</f>
        <v/>
      </c>
      <c r="I80" s="6">
        <f>IF(B80 &gt; MAX('04_LOG_FIELD_ENTRIES'!$B:$B), "", SUMIFS(H$2:H80, C$2:C80, C80))</f>
        <v/>
      </c>
      <c r="J80" s="6">
        <f>IF(B80 &gt; MAX('04_LOG_FIELD_ENTRIES'!$B:$B), "", SUMIFS('04_LOG_FIELD_ENTRIES'!$J:$J, '04_LOG_FIELD_ENTRIES'!$B:$B, B80, '04_LOG_FIELD_ENTRIES'!$D:$D, C80, '04_LOG_FIELD_ENTRIES'!$K:$K, "AC_*"))</f>
        <v/>
      </c>
      <c r="K80" s="6">
        <f>IF(B80 &gt; MAX('04_LOG_FIELD_ENTRIES'!$B:$B), "", SUMIFS(J$2:J80, C$2:C80, C80))</f>
        <v/>
      </c>
      <c r="L80" s="6">
        <f>IF(K80="", "", I80-K80)</f>
        <v/>
      </c>
      <c r="M80" s="6">
        <f>IF(I80="", "", I80-G80)</f>
        <v/>
      </c>
      <c r="N80" s="21">
        <f>IF(I80="", "", IF(G80&gt;0, I80/G80, 1))</f>
        <v/>
      </c>
      <c r="O80" s="21">
        <f>IF(I80="", "", IF(K80&gt;0, I80/K80, 1))</f>
        <v/>
      </c>
      <c r="P80" s="2">
        <f>IF(I80="", "", IF(AND(N80&gt;=0.95, O80&gt;=0.95), "SALUDABLE", IF(N80&lt;0.9, "ALERTA RETRASO", "ALERTA SOBRECOSTO")))</f>
        <v/>
      </c>
    </row>
    <row r="81" ht="19.95" customHeight="1">
      <c r="A81" s="4" t="n">
        <v>20</v>
      </c>
      <c r="B81" s="31" t="n">
        <v>46254</v>
      </c>
      <c r="C81" s="2" t="inlineStr">
        <is>
          <t>WBS-400</t>
        </is>
      </c>
      <c r="D81" s="3" t="inlineStr">
        <is>
          <t>Pruebas Hidráulicas, Desinfección y Entrega</t>
        </is>
      </c>
      <c r="E81" s="6">
        <f>SUM('01_PRESUPUESTO_CRONOGRAMA_BASE'!G12:G12)</f>
        <v/>
      </c>
      <c r="F81" s="6">
        <f>SUMIFS('02_CRONOGRAMA_PV_DIARIO'!E:E, '02_CRONOGRAMA_PV_DIARIO'!A:A, A81, '02_CRONOGRAMA_PV_DIARIO'!C:C, C81)</f>
        <v/>
      </c>
      <c r="G81" s="6">
        <f>SUMIFS(F$2:F81, C$2:C81, C81)</f>
        <v/>
      </c>
      <c r="H81" s="6">
        <f>IF(B81 &gt; MAX('04_LOG_FIELD_ENTRIES'!$B:$B), "", SUMIFS('04_LOG_FIELD_ENTRIES'!$J:$J, '04_LOG_FIELD_ENTRIES'!$B:$B, B81, '04_LOG_FIELD_ENTRIES'!$D:$D, C81, '04_LOG_FIELD_ENTRIES'!$K:$K, "EV_PRODUCCION"))</f>
        <v/>
      </c>
      <c r="I81" s="6">
        <f>IF(B81 &gt; MAX('04_LOG_FIELD_ENTRIES'!$B:$B), "", SUMIFS(H$2:H81, C$2:C81, C81))</f>
        <v/>
      </c>
      <c r="J81" s="6">
        <f>IF(B81 &gt; MAX('04_LOG_FIELD_ENTRIES'!$B:$B), "", SUMIFS('04_LOG_FIELD_ENTRIES'!$J:$J, '04_LOG_FIELD_ENTRIES'!$B:$B, B81, '04_LOG_FIELD_ENTRIES'!$D:$D, C81, '04_LOG_FIELD_ENTRIES'!$K:$K, "AC_*"))</f>
        <v/>
      </c>
      <c r="K81" s="6">
        <f>IF(B81 &gt; MAX('04_LOG_FIELD_ENTRIES'!$B:$B), "", SUMIFS(J$2:J81, C$2:C81, C81))</f>
        <v/>
      </c>
      <c r="L81" s="6">
        <f>IF(K81="", "", I81-K81)</f>
        <v/>
      </c>
      <c r="M81" s="6">
        <f>IF(I81="", "", I81-G81)</f>
        <v/>
      </c>
      <c r="N81" s="21">
        <f>IF(I81="", "", IF(G81&gt;0, I81/G81, 1))</f>
        <v/>
      </c>
      <c r="O81" s="21">
        <f>IF(I81="", "", IF(K81&gt;0, I81/K81, 1))</f>
        <v/>
      </c>
      <c r="P81" s="2">
        <f>IF(I81="", "", IF(AND(N81&gt;=0.95, O81&gt;=0.95), "SALUDABLE", IF(N81&lt;0.9, "ALERTA RETRASO", "ALERTA SOBRECOSTO")))</f>
        <v/>
      </c>
    </row>
    <row r="82" ht="19.95" customHeight="1">
      <c r="A82" s="4" t="n">
        <v>21</v>
      </c>
      <c r="B82" s="31" t="n">
        <v>46255</v>
      </c>
      <c r="C82" s="2" t="inlineStr">
        <is>
          <t>WBS-100</t>
        </is>
      </c>
      <c r="D82" s="3" t="inlineStr">
        <is>
          <t>Obras Preliminares, Trazo y Movilización</t>
        </is>
      </c>
      <c r="E82" s="6">
        <f>SUM('01_PRESUPUESTO_CRONOGRAMA_BASE'!G2:G3)</f>
        <v/>
      </c>
      <c r="F82" s="6">
        <f>SUMIFS('02_CRONOGRAMA_PV_DIARIO'!E:E, '02_CRONOGRAMA_PV_DIARIO'!A:A, A82, '02_CRONOGRAMA_PV_DIARIO'!C:C, C82)</f>
        <v/>
      </c>
      <c r="G82" s="6">
        <f>SUMIFS(F$2:F82, C$2:C82, C82)</f>
        <v/>
      </c>
      <c r="H82" s="6">
        <f>IF(B82 &gt; MAX('04_LOG_FIELD_ENTRIES'!$B:$B), "", SUMIFS('04_LOG_FIELD_ENTRIES'!$J:$J, '04_LOG_FIELD_ENTRIES'!$B:$B, B82, '04_LOG_FIELD_ENTRIES'!$D:$D, C82, '04_LOG_FIELD_ENTRIES'!$K:$K, "EV_PRODUCCION"))</f>
        <v/>
      </c>
      <c r="I82" s="6">
        <f>IF(B82 &gt; MAX('04_LOG_FIELD_ENTRIES'!$B:$B), "", SUMIFS(H$2:H82, C$2:C82, C82))</f>
        <v/>
      </c>
      <c r="J82" s="6">
        <f>IF(B82 &gt; MAX('04_LOG_FIELD_ENTRIES'!$B:$B), "", SUMIFS('04_LOG_FIELD_ENTRIES'!$J:$J, '04_LOG_FIELD_ENTRIES'!$B:$B, B82, '04_LOG_FIELD_ENTRIES'!$D:$D, C82, '04_LOG_FIELD_ENTRIES'!$K:$K, "AC_*"))</f>
        <v/>
      </c>
      <c r="K82" s="6">
        <f>IF(B82 &gt; MAX('04_LOG_FIELD_ENTRIES'!$B:$B), "", SUMIFS(J$2:J82, C$2:C82, C82))</f>
        <v/>
      </c>
      <c r="L82" s="6">
        <f>IF(K82="", "", I82-K82)</f>
        <v/>
      </c>
      <c r="M82" s="6">
        <f>IF(I82="", "", I82-G82)</f>
        <v/>
      </c>
      <c r="N82" s="21">
        <f>IF(I82="", "", IF(G82&gt;0, I82/G82, 1))</f>
        <v/>
      </c>
      <c r="O82" s="21">
        <f>IF(I82="", "", IF(K82&gt;0, I82/K82, 1))</f>
        <v/>
      </c>
      <c r="P82" s="2">
        <f>IF(I82="", "", IF(AND(N82&gt;=0.95, O82&gt;=0.95), "SALUDABLE", IF(N82&lt;0.9, "ALERTA RETRASO", "ALERTA SOBRECOSTO")))</f>
        <v/>
      </c>
    </row>
    <row r="83" ht="19.95" customHeight="1">
      <c r="A83" s="4" t="n">
        <v>21</v>
      </c>
      <c r="B83" s="31" t="n">
        <v>46255</v>
      </c>
      <c r="C83" s="2" t="inlineStr">
        <is>
          <t>WBS-200</t>
        </is>
      </c>
      <c r="D83" s="3" t="inlineStr">
        <is>
          <t>Red de Alcantarillado, Zanjas y Buzones</t>
        </is>
      </c>
      <c r="E83" s="6">
        <f>SUM('01_PRESUPUESTO_CRONOGRAMA_BASE'!G4:G9)</f>
        <v/>
      </c>
      <c r="F83" s="6">
        <f>SUMIFS('02_CRONOGRAMA_PV_DIARIO'!E:E, '02_CRONOGRAMA_PV_DIARIO'!A:A, A83, '02_CRONOGRAMA_PV_DIARIO'!C:C, C83)</f>
        <v/>
      </c>
      <c r="G83" s="6">
        <f>SUMIFS(F$2:F83, C$2:C83, C83)</f>
        <v/>
      </c>
      <c r="H83" s="6">
        <f>IF(B83 &gt; MAX('04_LOG_FIELD_ENTRIES'!$B:$B), "", SUMIFS('04_LOG_FIELD_ENTRIES'!$J:$J, '04_LOG_FIELD_ENTRIES'!$B:$B, B83, '04_LOG_FIELD_ENTRIES'!$D:$D, C83, '04_LOG_FIELD_ENTRIES'!$K:$K, "EV_PRODUCCION"))</f>
        <v/>
      </c>
      <c r="I83" s="6">
        <f>IF(B83 &gt; MAX('04_LOG_FIELD_ENTRIES'!$B:$B), "", SUMIFS(H$2:H83, C$2:C83, C83))</f>
        <v/>
      </c>
      <c r="J83" s="6">
        <f>IF(B83 &gt; MAX('04_LOG_FIELD_ENTRIES'!$B:$B), "", SUMIFS('04_LOG_FIELD_ENTRIES'!$J:$J, '04_LOG_FIELD_ENTRIES'!$B:$B, B83, '04_LOG_FIELD_ENTRIES'!$D:$D, C83, '04_LOG_FIELD_ENTRIES'!$K:$K, "AC_*"))</f>
        <v/>
      </c>
      <c r="K83" s="6">
        <f>IF(B83 &gt; MAX('04_LOG_FIELD_ENTRIES'!$B:$B), "", SUMIFS(J$2:J83, C$2:C83, C83))</f>
        <v/>
      </c>
      <c r="L83" s="6">
        <f>IF(K83="", "", I83-K83)</f>
        <v/>
      </c>
      <c r="M83" s="6">
        <f>IF(I83="", "", I83-G83)</f>
        <v/>
      </c>
      <c r="N83" s="21">
        <f>IF(I83="", "", IF(G83&gt;0, I83/G83, 1))</f>
        <v/>
      </c>
      <c r="O83" s="21">
        <f>IF(I83="", "", IF(K83&gt;0, I83/K83, 1))</f>
        <v/>
      </c>
      <c r="P83" s="2">
        <f>IF(I83="", "", IF(AND(N83&gt;=0.95, O83&gt;=0.95), "SALUDABLE", IF(N83&lt;0.9, "ALERTA RETRASO", "ALERTA SOBRECOSTO")))</f>
        <v/>
      </c>
    </row>
    <row r="84" ht="19.95" customHeight="1">
      <c r="A84" s="4" t="n">
        <v>21</v>
      </c>
      <c r="B84" s="31" t="n">
        <v>46255</v>
      </c>
      <c r="C84" s="2" t="inlineStr">
        <is>
          <t>WBS-300</t>
        </is>
      </c>
      <c r="D84" s="3" t="inlineStr">
        <is>
          <t>Red de Agua Potable y Conexiones Domiciliarias</t>
        </is>
      </c>
      <c r="E84" s="6">
        <f>SUM('01_PRESUPUESTO_CRONOGRAMA_BASE'!G10:G11)</f>
        <v/>
      </c>
      <c r="F84" s="6">
        <f>SUMIFS('02_CRONOGRAMA_PV_DIARIO'!E:E, '02_CRONOGRAMA_PV_DIARIO'!A:A, A84, '02_CRONOGRAMA_PV_DIARIO'!C:C, C84)</f>
        <v/>
      </c>
      <c r="G84" s="6">
        <f>SUMIFS(F$2:F84, C$2:C84, C84)</f>
        <v/>
      </c>
      <c r="H84" s="6">
        <f>IF(B84 &gt; MAX('04_LOG_FIELD_ENTRIES'!$B:$B), "", SUMIFS('04_LOG_FIELD_ENTRIES'!$J:$J, '04_LOG_FIELD_ENTRIES'!$B:$B, B84, '04_LOG_FIELD_ENTRIES'!$D:$D, C84, '04_LOG_FIELD_ENTRIES'!$K:$K, "EV_PRODUCCION"))</f>
        <v/>
      </c>
      <c r="I84" s="6">
        <f>IF(B84 &gt; MAX('04_LOG_FIELD_ENTRIES'!$B:$B), "", SUMIFS(H$2:H84, C$2:C84, C84))</f>
        <v/>
      </c>
      <c r="J84" s="6">
        <f>IF(B84 &gt; MAX('04_LOG_FIELD_ENTRIES'!$B:$B), "", SUMIFS('04_LOG_FIELD_ENTRIES'!$J:$J, '04_LOG_FIELD_ENTRIES'!$B:$B, B84, '04_LOG_FIELD_ENTRIES'!$D:$D, C84, '04_LOG_FIELD_ENTRIES'!$K:$K, "AC_*"))</f>
        <v/>
      </c>
      <c r="K84" s="6">
        <f>IF(B84 &gt; MAX('04_LOG_FIELD_ENTRIES'!$B:$B), "", SUMIFS(J$2:J84, C$2:C84, C84))</f>
        <v/>
      </c>
      <c r="L84" s="6">
        <f>IF(K84="", "", I84-K84)</f>
        <v/>
      </c>
      <c r="M84" s="6">
        <f>IF(I84="", "", I84-G84)</f>
        <v/>
      </c>
      <c r="N84" s="21">
        <f>IF(I84="", "", IF(G84&gt;0, I84/G84, 1))</f>
        <v/>
      </c>
      <c r="O84" s="21">
        <f>IF(I84="", "", IF(K84&gt;0, I84/K84, 1))</f>
        <v/>
      </c>
      <c r="P84" s="2">
        <f>IF(I84="", "", IF(AND(N84&gt;=0.95, O84&gt;=0.95), "SALUDABLE", IF(N84&lt;0.9, "ALERTA RETRASO", "ALERTA SOBRECOSTO")))</f>
        <v/>
      </c>
    </row>
    <row r="85" ht="19.95" customHeight="1">
      <c r="A85" s="4" t="n">
        <v>21</v>
      </c>
      <c r="B85" s="31" t="n">
        <v>46255</v>
      </c>
      <c r="C85" s="2" t="inlineStr">
        <is>
          <t>WBS-400</t>
        </is>
      </c>
      <c r="D85" s="3" t="inlineStr">
        <is>
          <t>Pruebas Hidráulicas, Desinfección y Entrega</t>
        </is>
      </c>
      <c r="E85" s="6">
        <f>SUM('01_PRESUPUESTO_CRONOGRAMA_BASE'!G12:G12)</f>
        <v/>
      </c>
      <c r="F85" s="6">
        <f>SUMIFS('02_CRONOGRAMA_PV_DIARIO'!E:E, '02_CRONOGRAMA_PV_DIARIO'!A:A, A85, '02_CRONOGRAMA_PV_DIARIO'!C:C, C85)</f>
        <v/>
      </c>
      <c r="G85" s="6">
        <f>SUMIFS(F$2:F85, C$2:C85, C85)</f>
        <v/>
      </c>
      <c r="H85" s="6">
        <f>IF(B85 &gt; MAX('04_LOG_FIELD_ENTRIES'!$B:$B), "", SUMIFS('04_LOG_FIELD_ENTRIES'!$J:$J, '04_LOG_FIELD_ENTRIES'!$B:$B, B85, '04_LOG_FIELD_ENTRIES'!$D:$D, C85, '04_LOG_FIELD_ENTRIES'!$K:$K, "EV_PRODUCCION"))</f>
        <v/>
      </c>
      <c r="I85" s="6">
        <f>IF(B85 &gt; MAX('04_LOG_FIELD_ENTRIES'!$B:$B), "", SUMIFS(H$2:H85, C$2:C85, C85))</f>
        <v/>
      </c>
      <c r="J85" s="6">
        <f>IF(B85 &gt; MAX('04_LOG_FIELD_ENTRIES'!$B:$B), "", SUMIFS('04_LOG_FIELD_ENTRIES'!$J:$J, '04_LOG_FIELD_ENTRIES'!$B:$B, B85, '04_LOG_FIELD_ENTRIES'!$D:$D, C85, '04_LOG_FIELD_ENTRIES'!$K:$K, "AC_*"))</f>
        <v/>
      </c>
      <c r="K85" s="6">
        <f>IF(B85 &gt; MAX('04_LOG_FIELD_ENTRIES'!$B:$B), "", SUMIFS(J$2:J85, C$2:C85, C85))</f>
        <v/>
      </c>
      <c r="L85" s="6">
        <f>IF(K85="", "", I85-K85)</f>
        <v/>
      </c>
      <c r="M85" s="6">
        <f>IF(I85="", "", I85-G85)</f>
        <v/>
      </c>
      <c r="N85" s="21">
        <f>IF(I85="", "", IF(G85&gt;0, I85/G85, 1))</f>
        <v/>
      </c>
      <c r="O85" s="21">
        <f>IF(I85="", "", IF(K85&gt;0, I85/K85, 1))</f>
        <v/>
      </c>
      <c r="P85" s="2">
        <f>IF(I85="", "", IF(AND(N85&gt;=0.95, O85&gt;=0.95), "SALUDABLE", IF(N85&lt;0.9, "ALERTA RETRASO", "ALERTA SOBRECOSTO")))</f>
        <v/>
      </c>
    </row>
    <row r="86" ht="19.95" customHeight="1">
      <c r="A86" s="4" t="n">
        <v>22</v>
      </c>
      <c r="B86" s="31" t="n">
        <v>46256</v>
      </c>
      <c r="C86" s="2" t="inlineStr">
        <is>
          <t>WBS-100</t>
        </is>
      </c>
      <c r="D86" s="3" t="inlineStr">
        <is>
          <t>Obras Preliminares, Trazo y Movilización</t>
        </is>
      </c>
      <c r="E86" s="6">
        <f>SUM('01_PRESUPUESTO_CRONOGRAMA_BASE'!G2:G3)</f>
        <v/>
      </c>
      <c r="F86" s="6">
        <f>SUMIFS('02_CRONOGRAMA_PV_DIARIO'!E:E, '02_CRONOGRAMA_PV_DIARIO'!A:A, A86, '02_CRONOGRAMA_PV_DIARIO'!C:C, C86)</f>
        <v/>
      </c>
      <c r="G86" s="6">
        <f>SUMIFS(F$2:F86, C$2:C86, C86)</f>
        <v/>
      </c>
      <c r="H86" s="6">
        <f>IF(B86 &gt; MAX('04_LOG_FIELD_ENTRIES'!$B:$B), "", SUMIFS('04_LOG_FIELD_ENTRIES'!$J:$J, '04_LOG_FIELD_ENTRIES'!$B:$B, B86, '04_LOG_FIELD_ENTRIES'!$D:$D, C86, '04_LOG_FIELD_ENTRIES'!$K:$K, "EV_PRODUCCION"))</f>
        <v/>
      </c>
      <c r="I86" s="6">
        <f>IF(B86 &gt; MAX('04_LOG_FIELD_ENTRIES'!$B:$B), "", SUMIFS(H$2:H86, C$2:C86, C86))</f>
        <v/>
      </c>
      <c r="J86" s="6">
        <f>IF(B86 &gt; MAX('04_LOG_FIELD_ENTRIES'!$B:$B), "", SUMIFS('04_LOG_FIELD_ENTRIES'!$J:$J, '04_LOG_FIELD_ENTRIES'!$B:$B, B86, '04_LOG_FIELD_ENTRIES'!$D:$D, C86, '04_LOG_FIELD_ENTRIES'!$K:$K, "AC_*"))</f>
        <v/>
      </c>
      <c r="K86" s="6">
        <f>IF(B86 &gt; MAX('04_LOG_FIELD_ENTRIES'!$B:$B), "", SUMIFS(J$2:J86, C$2:C86, C86))</f>
        <v/>
      </c>
      <c r="L86" s="6">
        <f>IF(K86="", "", I86-K86)</f>
        <v/>
      </c>
      <c r="M86" s="6">
        <f>IF(I86="", "", I86-G86)</f>
        <v/>
      </c>
      <c r="N86" s="21">
        <f>IF(I86="", "", IF(G86&gt;0, I86/G86, 1))</f>
        <v/>
      </c>
      <c r="O86" s="21">
        <f>IF(I86="", "", IF(K86&gt;0, I86/K86, 1))</f>
        <v/>
      </c>
      <c r="P86" s="2">
        <f>IF(I86="", "", IF(AND(N86&gt;=0.95, O86&gt;=0.95), "SALUDABLE", IF(N86&lt;0.9, "ALERTA RETRASO", "ALERTA SOBRECOSTO")))</f>
        <v/>
      </c>
    </row>
    <row r="87" ht="19.95" customHeight="1">
      <c r="A87" s="4" t="n">
        <v>22</v>
      </c>
      <c r="B87" s="31" t="n">
        <v>46256</v>
      </c>
      <c r="C87" s="2" t="inlineStr">
        <is>
          <t>WBS-200</t>
        </is>
      </c>
      <c r="D87" s="3" t="inlineStr">
        <is>
          <t>Red de Alcantarillado, Zanjas y Buzones</t>
        </is>
      </c>
      <c r="E87" s="6">
        <f>SUM('01_PRESUPUESTO_CRONOGRAMA_BASE'!G4:G9)</f>
        <v/>
      </c>
      <c r="F87" s="6">
        <f>SUMIFS('02_CRONOGRAMA_PV_DIARIO'!E:E, '02_CRONOGRAMA_PV_DIARIO'!A:A, A87, '02_CRONOGRAMA_PV_DIARIO'!C:C, C87)</f>
        <v/>
      </c>
      <c r="G87" s="6">
        <f>SUMIFS(F$2:F87, C$2:C87, C87)</f>
        <v/>
      </c>
      <c r="H87" s="6">
        <f>IF(B87 &gt; MAX('04_LOG_FIELD_ENTRIES'!$B:$B), "", SUMIFS('04_LOG_FIELD_ENTRIES'!$J:$J, '04_LOG_FIELD_ENTRIES'!$B:$B, B87, '04_LOG_FIELD_ENTRIES'!$D:$D, C87, '04_LOG_FIELD_ENTRIES'!$K:$K, "EV_PRODUCCION"))</f>
        <v/>
      </c>
      <c r="I87" s="6">
        <f>IF(B87 &gt; MAX('04_LOG_FIELD_ENTRIES'!$B:$B), "", SUMIFS(H$2:H87, C$2:C87, C87))</f>
        <v/>
      </c>
      <c r="J87" s="6">
        <f>IF(B87 &gt; MAX('04_LOG_FIELD_ENTRIES'!$B:$B), "", SUMIFS('04_LOG_FIELD_ENTRIES'!$J:$J, '04_LOG_FIELD_ENTRIES'!$B:$B, B87, '04_LOG_FIELD_ENTRIES'!$D:$D, C87, '04_LOG_FIELD_ENTRIES'!$K:$K, "AC_*"))</f>
        <v/>
      </c>
      <c r="K87" s="6">
        <f>IF(B87 &gt; MAX('04_LOG_FIELD_ENTRIES'!$B:$B), "", SUMIFS(J$2:J87, C$2:C87, C87))</f>
        <v/>
      </c>
      <c r="L87" s="6">
        <f>IF(K87="", "", I87-K87)</f>
        <v/>
      </c>
      <c r="M87" s="6">
        <f>IF(I87="", "", I87-G87)</f>
        <v/>
      </c>
      <c r="N87" s="21">
        <f>IF(I87="", "", IF(G87&gt;0, I87/G87, 1))</f>
        <v/>
      </c>
      <c r="O87" s="21">
        <f>IF(I87="", "", IF(K87&gt;0, I87/K87, 1))</f>
        <v/>
      </c>
      <c r="P87" s="2">
        <f>IF(I87="", "", IF(AND(N87&gt;=0.95, O87&gt;=0.95), "SALUDABLE", IF(N87&lt;0.9, "ALERTA RETRASO", "ALERTA SOBRECOSTO")))</f>
        <v/>
      </c>
    </row>
    <row r="88" ht="19.95" customHeight="1">
      <c r="A88" s="4" t="n">
        <v>22</v>
      </c>
      <c r="B88" s="31" t="n">
        <v>46256</v>
      </c>
      <c r="C88" s="2" t="inlineStr">
        <is>
          <t>WBS-300</t>
        </is>
      </c>
      <c r="D88" s="3" t="inlineStr">
        <is>
          <t>Red de Agua Potable y Conexiones Domiciliarias</t>
        </is>
      </c>
      <c r="E88" s="6">
        <f>SUM('01_PRESUPUESTO_CRONOGRAMA_BASE'!G10:G11)</f>
        <v/>
      </c>
      <c r="F88" s="6">
        <f>SUMIFS('02_CRONOGRAMA_PV_DIARIO'!E:E, '02_CRONOGRAMA_PV_DIARIO'!A:A, A88, '02_CRONOGRAMA_PV_DIARIO'!C:C, C88)</f>
        <v/>
      </c>
      <c r="G88" s="6">
        <f>SUMIFS(F$2:F88, C$2:C88, C88)</f>
        <v/>
      </c>
      <c r="H88" s="6">
        <f>IF(B88 &gt; MAX('04_LOG_FIELD_ENTRIES'!$B:$B), "", SUMIFS('04_LOG_FIELD_ENTRIES'!$J:$J, '04_LOG_FIELD_ENTRIES'!$B:$B, B88, '04_LOG_FIELD_ENTRIES'!$D:$D, C88, '04_LOG_FIELD_ENTRIES'!$K:$K, "EV_PRODUCCION"))</f>
        <v/>
      </c>
      <c r="I88" s="6">
        <f>IF(B88 &gt; MAX('04_LOG_FIELD_ENTRIES'!$B:$B), "", SUMIFS(H$2:H88, C$2:C88, C88))</f>
        <v/>
      </c>
      <c r="J88" s="6">
        <f>IF(B88 &gt; MAX('04_LOG_FIELD_ENTRIES'!$B:$B), "", SUMIFS('04_LOG_FIELD_ENTRIES'!$J:$J, '04_LOG_FIELD_ENTRIES'!$B:$B, B88, '04_LOG_FIELD_ENTRIES'!$D:$D, C88, '04_LOG_FIELD_ENTRIES'!$K:$K, "AC_*"))</f>
        <v/>
      </c>
      <c r="K88" s="6">
        <f>IF(B88 &gt; MAX('04_LOG_FIELD_ENTRIES'!$B:$B), "", SUMIFS(J$2:J88, C$2:C88, C88))</f>
        <v/>
      </c>
      <c r="L88" s="6">
        <f>IF(K88="", "", I88-K88)</f>
        <v/>
      </c>
      <c r="M88" s="6">
        <f>IF(I88="", "", I88-G88)</f>
        <v/>
      </c>
      <c r="N88" s="21">
        <f>IF(I88="", "", IF(G88&gt;0, I88/G88, 1))</f>
        <v/>
      </c>
      <c r="O88" s="21">
        <f>IF(I88="", "", IF(K88&gt;0, I88/K88, 1))</f>
        <v/>
      </c>
      <c r="P88" s="2">
        <f>IF(I88="", "", IF(AND(N88&gt;=0.95, O88&gt;=0.95), "SALUDABLE", IF(N88&lt;0.9, "ALERTA RETRASO", "ALERTA SOBRECOSTO")))</f>
        <v/>
      </c>
    </row>
    <row r="89" ht="19.95" customHeight="1">
      <c r="A89" s="4" t="n">
        <v>22</v>
      </c>
      <c r="B89" s="31" t="n">
        <v>46256</v>
      </c>
      <c r="C89" s="2" t="inlineStr">
        <is>
          <t>WBS-400</t>
        </is>
      </c>
      <c r="D89" s="3" t="inlineStr">
        <is>
          <t>Pruebas Hidráulicas, Desinfección y Entrega</t>
        </is>
      </c>
      <c r="E89" s="6">
        <f>SUM('01_PRESUPUESTO_CRONOGRAMA_BASE'!G12:G12)</f>
        <v/>
      </c>
      <c r="F89" s="6">
        <f>SUMIFS('02_CRONOGRAMA_PV_DIARIO'!E:E, '02_CRONOGRAMA_PV_DIARIO'!A:A, A89, '02_CRONOGRAMA_PV_DIARIO'!C:C, C89)</f>
        <v/>
      </c>
      <c r="G89" s="6">
        <f>SUMIFS(F$2:F89, C$2:C89, C89)</f>
        <v/>
      </c>
      <c r="H89" s="6">
        <f>IF(B89 &gt; MAX('04_LOG_FIELD_ENTRIES'!$B:$B), "", SUMIFS('04_LOG_FIELD_ENTRIES'!$J:$J, '04_LOG_FIELD_ENTRIES'!$B:$B, B89, '04_LOG_FIELD_ENTRIES'!$D:$D, C89, '04_LOG_FIELD_ENTRIES'!$K:$K, "EV_PRODUCCION"))</f>
        <v/>
      </c>
      <c r="I89" s="6">
        <f>IF(B89 &gt; MAX('04_LOG_FIELD_ENTRIES'!$B:$B), "", SUMIFS(H$2:H89, C$2:C89, C89))</f>
        <v/>
      </c>
      <c r="J89" s="6">
        <f>IF(B89 &gt; MAX('04_LOG_FIELD_ENTRIES'!$B:$B), "", SUMIFS('04_LOG_FIELD_ENTRIES'!$J:$J, '04_LOG_FIELD_ENTRIES'!$B:$B, B89, '04_LOG_FIELD_ENTRIES'!$D:$D, C89, '04_LOG_FIELD_ENTRIES'!$K:$K, "AC_*"))</f>
        <v/>
      </c>
      <c r="K89" s="6">
        <f>IF(B89 &gt; MAX('04_LOG_FIELD_ENTRIES'!$B:$B), "", SUMIFS(J$2:J89, C$2:C89, C89))</f>
        <v/>
      </c>
      <c r="L89" s="6">
        <f>IF(K89="", "", I89-K89)</f>
        <v/>
      </c>
      <c r="M89" s="6">
        <f>IF(I89="", "", I89-G89)</f>
        <v/>
      </c>
      <c r="N89" s="21">
        <f>IF(I89="", "", IF(G89&gt;0, I89/G89, 1))</f>
        <v/>
      </c>
      <c r="O89" s="21">
        <f>IF(I89="", "", IF(K89&gt;0, I89/K89, 1))</f>
        <v/>
      </c>
      <c r="P89" s="2">
        <f>IF(I89="", "", IF(AND(N89&gt;=0.95, O89&gt;=0.95), "SALUDABLE", IF(N89&lt;0.9, "ALERTA RETRASO", "ALERTA SOBRECOSTO")))</f>
        <v/>
      </c>
    </row>
    <row r="90" ht="19.95" customHeight="1">
      <c r="A90" s="4" t="n">
        <v>23</v>
      </c>
      <c r="B90" s="31" t="n">
        <v>46257</v>
      </c>
      <c r="C90" s="2" t="inlineStr">
        <is>
          <t>WBS-100</t>
        </is>
      </c>
      <c r="D90" s="3" t="inlineStr">
        <is>
          <t>Obras Preliminares, Trazo y Movilización</t>
        </is>
      </c>
      <c r="E90" s="6">
        <f>SUM('01_PRESUPUESTO_CRONOGRAMA_BASE'!G2:G3)</f>
        <v/>
      </c>
      <c r="F90" s="6">
        <f>SUMIFS('02_CRONOGRAMA_PV_DIARIO'!E:E, '02_CRONOGRAMA_PV_DIARIO'!A:A, A90, '02_CRONOGRAMA_PV_DIARIO'!C:C, C90)</f>
        <v/>
      </c>
      <c r="G90" s="6">
        <f>SUMIFS(F$2:F90, C$2:C90, C90)</f>
        <v/>
      </c>
      <c r="H90" s="6">
        <f>IF(B90 &gt; MAX('04_LOG_FIELD_ENTRIES'!$B:$B), "", SUMIFS('04_LOG_FIELD_ENTRIES'!$J:$J, '04_LOG_FIELD_ENTRIES'!$B:$B, B90, '04_LOG_FIELD_ENTRIES'!$D:$D, C90, '04_LOG_FIELD_ENTRIES'!$K:$K, "EV_PRODUCCION"))</f>
        <v/>
      </c>
      <c r="I90" s="6">
        <f>IF(B90 &gt; MAX('04_LOG_FIELD_ENTRIES'!$B:$B), "", SUMIFS(H$2:H90, C$2:C90, C90))</f>
        <v/>
      </c>
      <c r="J90" s="6">
        <f>IF(B90 &gt; MAX('04_LOG_FIELD_ENTRIES'!$B:$B), "", SUMIFS('04_LOG_FIELD_ENTRIES'!$J:$J, '04_LOG_FIELD_ENTRIES'!$B:$B, B90, '04_LOG_FIELD_ENTRIES'!$D:$D, C90, '04_LOG_FIELD_ENTRIES'!$K:$K, "AC_*"))</f>
        <v/>
      </c>
      <c r="K90" s="6">
        <f>IF(B90 &gt; MAX('04_LOG_FIELD_ENTRIES'!$B:$B), "", SUMIFS(J$2:J90, C$2:C90, C90))</f>
        <v/>
      </c>
      <c r="L90" s="6">
        <f>IF(K90="", "", I90-K90)</f>
        <v/>
      </c>
      <c r="M90" s="6">
        <f>IF(I90="", "", I90-G90)</f>
        <v/>
      </c>
      <c r="N90" s="21">
        <f>IF(I90="", "", IF(G90&gt;0, I90/G90, 1))</f>
        <v/>
      </c>
      <c r="O90" s="21">
        <f>IF(I90="", "", IF(K90&gt;0, I90/K90, 1))</f>
        <v/>
      </c>
      <c r="P90" s="2">
        <f>IF(I90="", "", IF(AND(N90&gt;=0.95, O90&gt;=0.95), "SALUDABLE", IF(N90&lt;0.9, "ALERTA RETRASO", "ALERTA SOBRECOSTO")))</f>
        <v/>
      </c>
    </row>
    <row r="91" ht="19.95" customHeight="1">
      <c r="A91" s="4" t="n">
        <v>23</v>
      </c>
      <c r="B91" s="31" t="n">
        <v>46257</v>
      </c>
      <c r="C91" s="2" t="inlineStr">
        <is>
          <t>WBS-200</t>
        </is>
      </c>
      <c r="D91" s="3" t="inlineStr">
        <is>
          <t>Red de Alcantarillado, Zanjas y Buzones</t>
        </is>
      </c>
      <c r="E91" s="6">
        <f>SUM('01_PRESUPUESTO_CRONOGRAMA_BASE'!G4:G9)</f>
        <v/>
      </c>
      <c r="F91" s="6">
        <f>SUMIFS('02_CRONOGRAMA_PV_DIARIO'!E:E, '02_CRONOGRAMA_PV_DIARIO'!A:A, A91, '02_CRONOGRAMA_PV_DIARIO'!C:C, C91)</f>
        <v/>
      </c>
      <c r="G91" s="6">
        <f>SUMIFS(F$2:F91, C$2:C91, C91)</f>
        <v/>
      </c>
      <c r="H91" s="6">
        <f>IF(B91 &gt; MAX('04_LOG_FIELD_ENTRIES'!$B:$B), "", SUMIFS('04_LOG_FIELD_ENTRIES'!$J:$J, '04_LOG_FIELD_ENTRIES'!$B:$B, B91, '04_LOG_FIELD_ENTRIES'!$D:$D, C91, '04_LOG_FIELD_ENTRIES'!$K:$K, "EV_PRODUCCION"))</f>
        <v/>
      </c>
      <c r="I91" s="6">
        <f>IF(B91 &gt; MAX('04_LOG_FIELD_ENTRIES'!$B:$B), "", SUMIFS(H$2:H91, C$2:C91, C91))</f>
        <v/>
      </c>
      <c r="J91" s="6">
        <f>IF(B91 &gt; MAX('04_LOG_FIELD_ENTRIES'!$B:$B), "", SUMIFS('04_LOG_FIELD_ENTRIES'!$J:$J, '04_LOG_FIELD_ENTRIES'!$B:$B, B91, '04_LOG_FIELD_ENTRIES'!$D:$D, C91, '04_LOG_FIELD_ENTRIES'!$K:$K, "AC_*"))</f>
        <v/>
      </c>
      <c r="K91" s="6">
        <f>IF(B91 &gt; MAX('04_LOG_FIELD_ENTRIES'!$B:$B), "", SUMIFS(J$2:J91, C$2:C91, C91))</f>
        <v/>
      </c>
      <c r="L91" s="6">
        <f>IF(K91="", "", I91-K91)</f>
        <v/>
      </c>
      <c r="M91" s="6">
        <f>IF(I91="", "", I91-G91)</f>
        <v/>
      </c>
      <c r="N91" s="21">
        <f>IF(I91="", "", IF(G91&gt;0, I91/G91, 1))</f>
        <v/>
      </c>
      <c r="O91" s="21">
        <f>IF(I91="", "", IF(K91&gt;0, I91/K91, 1))</f>
        <v/>
      </c>
      <c r="P91" s="2">
        <f>IF(I91="", "", IF(AND(N91&gt;=0.95, O91&gt;=0.95), "SALUDABLE", IF(N91&lt;0.9, "ALERTA RETRASO", "ALERTA SOBRECOSTO")))</f>
        <v/>
      </c>
    </row>
    <row r="92" ht="19.95" customHeight="1">
      <c r="A92" s="4" t="n">
        <v>23</v>
      </c>
      <c r="B92" s="31" t="n">
        <v>46257</v>
      </c>
      <c r="C92" s="2" t="inlineStr">
        <is>
          <t>WBS-300</t>
        </is>
      </c>
      <c r="D92" s="3" t="inlineStr">
        <is>
          <t>Red de Agua Potable y Conexiones Domiciliarias</t>
        </is>
      </c>
      <c r="E92" s="6">
        <f>SUM('01_PRESUPUESTO_CRONOGRAMA_BASE'!G10:G11)</f>
        <v/>
      </c>
      <c r="F92" s="6">
        <f>SUMIFS('02_CRONOGRAMA_PV_DIARIO'!E:E, '02_CRONOGRAMA_PV_DIARIO'!A:A, A92, '02_CRONOGRAMA_PV_DIARIO'!C:C, C92)</f>
        <v/>
      </c>
      <c r="G92" s="6">
        <f>SUMIFS(F$2:F92, C$2:C92, C92)</f>
        <v/>
      </c>
      <c r="H92" s="6">
        <f>IF(B92 &gt; MAX('04_LOG_FIELD_ENTRIES'!$B:$B), "", SUMIFS('04_LOG_FIELD_ENTRIES'!$J:$J, '04_LOG_FIELD_ENTRIES'!$B:$B, B92, '04_LOG_FIELD_ENTRIES'!$D:$D, C92, '04_LOG_FIELD_ENTRIES'!$K:$K, "EV_PRODUCCION"))</f>
        <v/>
      </c>
      <c r="I92" s="6">
        <f>IF(B92 &gt; MAX('04_LOG_FIELD_ENTRIES'!$B:$B), "", SUMIFS(H$2:H92, C$2:C92, C92))</f>
        <v/>
      </c>
      <c r="J92" s="6">
        <f>IF(B92 &gt; MAX('04_LOG_FIELD_ENTRIES'!$B:$B), "", SUMIFS('04_LOG_FIELD_ENTRIES'!$J:$J, '04_LOG_FIELD_ENTRIES'!$B:$B, B92, '04_LOG_FIELD_ENTRIES'!$D:$D, C92, '04_LOG_FIELD_ENTRIES'!$K:$K, "AC_*"))</f>
        <v/>
      </c>
      <c r="K92" s="6">
        <f>IF(B92 &gt; MAX('04_LOG_FIELD_ENTRIES'!$B:$B), "", SUMIFS(J$2:J92, C$2:C92, C92))</f>
        <v/>
      </c>
      <c r="L92" s="6">
        <f>IF(K92="", "", I92-K92)</f>
        <v/>
      </c>
      <c r="M92" s="6">
        <f>IF(I92="", "", I92-G92)</f>
        <v/>
      </c>
      <c r="N92" s="21">
        <f>IF(I92="", "", IF(G92&gt;0, I92/G92, 1))</f>
        <v/>
      </c>
      <c r="O92" s="21">
        <f>IF(I92="", "", IF(K92&gt;0, I92/K92, 1))</f>
        <v/>
      </c>
      <c r="P92" s="2">
        <f>IF(I92="", "", IF(AND(N92&gt;=0.95, O92&gt;=0.95), "SALUDABLE", IF(N92&lt;0.9, "ALERTA RETRASO", "ALERTA SOBRECOSTO")))</f>
        <v/>
      </c>
    </row>
    <row r="93" ht="19.95" customHeight="1">
      <c r="A93" s="4" t="n">
        <v>23</v>
      </c>
      <c r="B93" s="31" t="n">
        <v>46257</v>
      </c>
      <c r="C93" s="2" t="inlineStr">
        <is>
          <t>WBS-400</t>
        </is>
      </c>
      <c r="D93" s="3" t="inlineStr">
        <is>
          <t>Pruebas Hidráulicas, Desinfección y Entrega</t>
        </is>
      </c>
      <c r="E93" s="6">
        <f>SUM('01_PRESUPUESTO_CRONOGRAMA_BASE'!G12:G12)</f>
        <v/>
      </c>
      <c r="F93" s="6">
        <f>SUMIFS('02_CRONOGRAMA_PV_DIARIO'!E:E, '02_CRONOGRAMA_PV_DIARIO'!A:A, A93, '02_CRONOGRAMA_PV_DIARIO'!C:C, C93)</f>
        <v/>
      </c>
      <c r="G93" s="6">
        <f>SUMIFS(F$2:F93, C$2:C93, C93)</f>
        <v/>
      </c>
      <c r="H93" s="6">
        <f>IF(B93 &gt; MAX('04_LOG_FIELD_ENTRIES'!$B:$B), "", SUMIFS('04_LOG_FIELD_ENTRIES'!$J:$J, '04_LOG_FIELD_ENTRIES'!$B:$B, B93, '04_LOG_FIELD_ENTRIES'!$D:$D, C93, '04_LOG_FIELD_ENTRIES'!$K:$K, "EV_PRODUCCION"))</f>
        <v/>
      </c>
      <c r="I93" s="6">
        <f>IF(B93 &gt; MAX('04_LOG_FIELD_ENTRIES'!$B:$B), "", SUMIFS(H$2:H93, C$2:C93, C93))</f>
        <v/>
      </c>
      <c r="J93" s="6">
        <f>IF(B93 &gt; MAX('04_LOG_FIELD_ENTRIES'!$B:$B), "", SUMIFS('04_LOG_FIELD_ENTRIES'!$J:$J, '04_LOG_FIELD_ENTRIES'!$B:$B, B93, '04_LOG_FIELD_ENTRIES'!$D:$D, C93, '04_LOG_FIELD_ENTRIES'!$K:$K, "AC_*"))</f>
        <v/>
      </c>
      <c r="K93" s="6">
        <f>IF(B93 &gt; MAX('04_LOG_FIELD_ENTRIES'!$B:$B), "", SUMIFS(J$2:J93, C$2:C93, C93))</f>
        <v/>
      </c>
      <c r="L93" s="6">
        <f>IF(K93="", "", I93-K93)</f>
        <v/>
      </c>
      <c r="M93" s="6">
        <f>IF(I93="", "", I93-G93)</f>
        <v/>
      </c>
      <c r="N93" s="21">
        <f>IF(I93="", "", IF(G93&gt;0, I93/G93, 1))</f>
        <v/>
      </c>
      <c r="O93" s="21">
        <f>IF(I93="", "", IF(K93&gt;0, I93/K93, 1))</f>
        <v/>
      </c>
      <c r="P93" s="2">
        <f>IF(I93="", "", IF(AND(N93&gt;=0.95, O93&gt;=0.95), "SALUDABLE", IF(N93&lt;0.9, "ALERTA RETRASO", "ALERTA SOBRECOSTO")))</f>
        <v/>
      </c>
    </row>
    <row r="94" ht="19.95" customHeight="1">
      <c r="A94" s="4" t="n">
        <v>24</v>
      </c>
      <c r="B94" s="31" t="n">
        <v>46258</v>
      </c>
      <c r="C94" s="2" t="inlineStr">
        <is>
          <t>WBS-100</t>
        </is>
      </c>
      <c r="D94" s="3" t="inlineStr">
        <is>
          <t>Obras Preliminares, Trazo y Movilización</t>
        </is>
      </c>
      <c r="E94" s="6">
        <f>SUM('01_PRESUPUESTO_CRONOGRAMA_BASE'!G2:G3)</f>
        <v/>
      </c>
      <c r="F94" s="6">
        <f>SUMIFS('02_CRONOGRAMA_PV_DIARIO'!E:E, '02_CRONOGRAMA_PV_DIARIO'!A:A, A94, '02_CRONOGRAMA_PV_DIARIO'!C:C, C94)</f>
        <v/>
      </c>
      <c r="G94" s="6">
        <f>SUMIFS(F$2:F94, C$2:C94, C94)</f>
        <v/>
      </c>
      <c r="H94" s="6">
        <f>IF(B94 &gt; MAX('04_LOG_FIELD_ENTRIES'!$B:$B), "", SUMIFS('04_LOG_FIELD_ENTRIES'!$J:$J, '04_LOG_FIELD_ENTRIES'!$B:$B, B94, '04_LOG_FIELD_ENTRIES'!$D:$D, C94, '04_LOG_FIELD_ENTRIES'!$K:$K, "EV_PRODUCCION"))</f>
        <v/>
      </c>
      <c r="I94" s="6">
        <f>IF(B94 &gt; MAX('04_LOG_FIELD_ENTRIES'!$B:$B), "", SUMIFS(H$2:H94, C$2:C94, C94))</f>
        <v/>
      </c>
      <c r="J94" s="6">
        <f>IF(B94 &gt; MAX('04_LOG_FIELD_ENTRIES'!$B:$B), "", SUMIFS('04_LOG_FIELD_ENTRIES'!$J:$J, '04_LOG_FIELD_ENTRIES'!$B:$B, B94, '04_LOG_FIELD_ENTRIES'!$D:$D, C94, '04_LOG_FIELD_ENTRIES'!$K:$K, "AC_*"))</f>
        <v/>
      </c>
      <c r="K94" s="6">
        <f>IF(B94 &gt; MAX('04_LOG_FIELD_ENTRIES'!$B:$B), "", SUMIFS(J$2:J94, C$2:C94, C94))</f>
        <v/>
      </c>
      <c r="L94" s="6">
        <f>IF(K94="", "", I94-K94)</f>
        <v/>
      </c>
      <c r="M94" s="6">
        <f>IF(I94="", "", I94-G94)</f>
        <v/>
      </c>
      <c r="N94" s="21">
        <f>IF(I94="", "", IF(G94&gt;0, I94/G94, 1))</f>
        <v/>
      </c>
      <c r="O94" s="21">
        <f>IF(I94="", "", IF(K94&gt;0, I94/K94, 1))</f>
        <v/>
      </c>
      <c r="P94" s="2">
        <f>IF(I94="", "", IF(AND(N94&gt;=0.95, O94&gt;=0.95), "SALUDABLE", IF(N94&lt;0.9, "ALERTA RETRASO", "ALERTA SOBRECOSTO")))</f>
        <v/>
      </c>
    </row>
    <row r="95" ht="19.95" customHeight="1">
      <c r="A95" s="4" t="n">
        <v>24</v>
      </c>
      <c r="B95" s="31" t="n">
        <v>46258</v>
      </c>
      <c r="C95" s="2" t="inlineStr">
        <is>
          <t>WBS-200</t>
        </is>
      </c>
      <c r="D95" s="3" t="inlineStr">
        <is>
          <t>Red de Alcantarillado, Zanjas y Buzones</t>
        </is>
      </c>
      <c r="E95" s="6">
        <f>SUM('01_PRESUPUESTO_CRONOGRAMA_BASE'!G4:G9)</f>
        <v/>
      </c>
      <c r="F95" s="6">
        <f>SUMIFS('02_CRONOGRAMA_PV_DIARIO'!E:E, '02_CRONOGRAMA_PV_DIARIO'!A:A, A95, '02_CRONOGRAMA_PV_DIARIO'!C:C, C95)</f>
        <v/>
      </c>
      <c r="G95" s="6">
        <f>SUMIFS(F$2:F95, C$2:C95, C95)</f>
        <v/>
      </c>
      <c r="H95" s="6">
        <f>IF(B95 &gt; MAX('04_LOG_FIELD_ENTRIES'!$B:$B), "", SUMIFS('04_LOG_FIELD_ENTRIES'!$J:$J, '04_LOG_FIELD_ENTRIES'!$B:$B, B95, '04_LOG_FIELD_ENTRIES'!$D:$D, C95, '04_LOG_FIELD_ENTRIES'!$K:$K, "EV_PRODUCCION"))</f>
        <v/>
      </c>
      <c r="I95" s="6">
        <f>IF(B95 &gt; MAX('04_LOG_FIELD_ENTRIES'!$B:$B), "", SUMIFS(H$2:H95, C$2:C95, C95))</f>
        <v/>
      </c>
      <c r="J95" s="6">
        <f>IF(B95 &gt; MAX('04_LOG_FIELD_ENTRIES'!$B:$B), "", SUMIFS('04_LOG_FIELD_ENTRIES'!$J:$J, '04_LOG_FIELD_ENTRIES'!$B:$B, B95, '04_LOG_FIELD_ENTRIES'!$D:$D, C95, '04_LOG_FIELD_ENTRIES'!$K:$K, "AC_*"))</f>
        <v/>
      </c>
      <c r="K95" s="6">
        <f>IF(B95 &gt; MAX('04_LOG_FIELD_ENTRIES'!$B:$B), "", SUMIFS(J$2:J95, C$2:C95, C95))</f>
        <v/>
      </c>
      <c r="L95" s="6">
        <f>IF(K95="", "", I95-K95)</f>
        <v/>
      </c>
      <c r="M95" s="6">
        <f>IF(I95="", "", I95-G95)</f>
        <v/>
      </c>
      <c r="N95" s="21">
        <f>IF(I95="", "", IF(G95&gt;0, I95/G95, 1))</f>
        <v/>
      </c>
      <c r="O95" s="21">
        <f>IF(I95="", "", IF(K95&gt;0, I95/K95, 1))</f>
        <v/>
      </c>
      <c r="P95" s="2">
        <f>IF(I95="", "", IF(AND(N95&gt;=0.95, O95&gt;=0.95), "SALUDABLE", IF(N95&lt;0.9, "ALERTA RETRASO", "ALERTA SOBRECOSTO")))</f>
        <v/>
      </c>
    </row>
    <row r="96" ht="19.95" customHeight="1">
      <c r="A96" s="4" t="n">
        <v>24</v>
      </c>
      <c r="B96" s="31" t="n">
        <v>46258</v>
      </c>
      <c r="C96" s="2" t="inlineStr">
        <is>
          <t>WBS-300</t>
        </is>
      </c>
      <c r="D96" s="3" t="inlineStr">
        <is>
          <t>Red de Agua Potable y Conexiones Domiciliarias</t>
        </is>
      </c>
      <c r="E96" s="6">
        <f>SUM('01_PRESUPUESTO_CRONOGRAMA_BASE'!G10:G11)</f>
        <v/>
      </c>
      <c r="F96" s="6">
        <f>SUMIFS('02_CRONOGRAMA_PV_DIARIO'!E:E, '02_CRONOGRAMA_PV_DIARIO'!A:A, A96, '02_CRONOGRAMA_PV_DIARIO'!C:C, C96)</f>
        <v/>
      </c>
      <c r="G96" s="6">
        <f>SUMIFS(F$2:F96, C$2:C96, C96)</f>
        <v/>
      </c>
      <c r="H96" s="6">
        <f>IF(B96 &gt; MAX('04_LOG_FIELD_ENTRIES'!$B:$B), "", SUMIFS('04_LOG_FIELD_ENTRIES'!$J:$J, '04_LOG_FIELD_ENTRIES'!$B:$B, B96, '04_LOG_FIELD_ENTRIES'!$D:$D, C96, '04_LOG_FIELD_ENTRIES'!$K:$K, "EV_PRODUCCION"))</f>
        <v/>
      </c>
      <c r="I96" s="6">
        <f>IF(B96 &gt; MAX('04_LOG_FIELD_ENTRIES'!$B:$B), "", SUMIFS(H$2:H96, C$2:C96, C96))</f>
        <v/>
      </c>
      <c r="J96" s="6">
        <f>IF(B96 &gt; MAX('04_LOG_FIELD_ENTRIES'!$B:$B), "", SUMIFS('04_LOG_FIELD_ENTRIES'!$J:$J, '04_LOG_FIELD_ENTRIES'!$B:$B, B96, '04_LOG_FIELD_ENTRIES'!$D:$D, C96, '04_LOG_FIELD_ENTRIES'!$K:$K, "AC_*"))</f>
        <v/>
      </c>
      <c r="K96" s="6">
        <f>IF(B96 &gt; MAX('04_LOG_FIELD_ENTRIES'!$B:$B), "", SUMIFS(J$2:J96, C$2:C96, C96))</f>
        <v/>
      </c>
      <c r="L96" s="6">
        <f>IF(K96="", "", I96-K96)</f>
        <v/>
      </c>
      <c r="M96" s="6">
        <f>IF(I96="", "", I96-G96)</f>
        <v/>
      </c>
      <c r="N96" s="21">
        <f>IF(I96="", "", IF(G96&gt;0, I96/G96, 1))</f>
        <v/>
      </c>
      <c r="O96" s="21">
        <f>IF(I96="", "", IF(K96&gt;0, I96/K96, 1))</f>
        <v/>
      </c>
      <c r="P96" s="2">
        <f>IF(I96="", "", IF(AND(N96&gt;=0.95, O96&gt;=0.95), "SALUDABLE", IF(N96&lt;0.9, "ALERTA RETRASO", "ALERTA SOBRECOSTO")))</f>
        <v/>
      </c>
    </row>
    <row r="97" ht="19.95" customHeight="1">
      <c r="A97" s="4" t="n">
        <v>24</v>
      </c>
      <c r="B97" s="31" t="n">
        <v>46258</v>
      </c>
      <c r="C97" s="2" t="inlineStr">
        <is>
          <t>WBS-400</t>
        </is>
      </c>
      <c r="D97" s="3" t="inlineStr">
        <is>
          <t>Pruebas Hidráulicas, Desinfección y Entrega</t>
        </is>
      </c>
      <c r="E97" s="6">
        <f>SUM('01_PRESUPUESTO_CRONOGRAMA_BASE'!G12:G12)</f>
        <v/>
      </c>
      <c r="F97" s="6">
        <f>SUMIFS('02_CRONOGRAMA_PV_DIARIO'!E:E, '02_CRONOGRAMA_PV_DIARIO'!A:A, A97, '02_CRONOGRAMA_PV_DIARIO'!C:C, C97)</f>
        <v/>
      </c>
      <c r="G97" s="6">
        <f>SUMIFS(F$2:F97, C$2:C97, C97)</f>
        <v/>
      </c>
      <c r="H97" s="6">
        <f>IF(B97 &gt; MAX('04_LOG_FIELD_ENTRIES'!$B:$B), "", SUMIFS('04_LOG_FIELD_ENTRIES'!$J:$J, '04_LOG_FIELD_ENTRIES'!$B:$B, B97, '04_LOG_FIELD_ENTRIES'!$D:$D, C97, '04_LOG_FIELD_ENTRIES'!$K:$K, "EV_PRODUCCION"))</f>
        <v/>
      </c>
      <c r="I97" s="6">
        <f>IF(B97 &gt; MAX('04_LOG_FIELD_ENTRIES'!$B:$B), "", SUMIFS(H$2:H97, C$2:C97, C97))</f>
        <v/>
      </c>
      <c r="J97" s="6">
        <f>IF(B97 &gt; MAX('04_LOG_FIELD_ENTRIES'!$B:$B), "", SUMIFS('04_LOG_FIELD_ENTRIES'!$J:$J, '04_LOG_FIELD_ENTRIES'!$B:$B, B97, '04_LOG_FIELD_ENTRIES'!$D:$D, C97, '04_LOG_FIELD_ENTRIES'!$K:$K, "AC_*"))</f>
        <v/>
      </c>
      <c r="K97" s="6">
        <f>IF(B97 &gt; MAX('04_LOG_FIELD_ENTRIES'!$B:$B), "", SUMIFS(J$2:J97, C$2:C97, C97))</f>
        <v/>
      </c>
      <c r="L97" s="6">
        <f>IF(K97="", "", I97-K97)</f>
        <v/>
      </c>
      <c r="M97" s="6">
        <f>IF(I97="", "", I97-G97)</f>
        <v/>
      </c>
      <c r="N97" s="21">
        <f>IF(I97="", "", IF(G97&gt;0, I97/G97, 1))</f>
        <v/>
      </c>
      <c r="O97" s="21">
        <f>IF(I97="", "", IF(K97&gt;0, I97/K97, 1))</f>
        <v/>
      </c>
      <c r="P97" s="2">
        <f>IF(I97="", "", IF(AND(N97&gt;=0.95, O97&gt;=0.95), "SALUDABLE", IF(N97&lt;0.9, "ALERTA RETRASO", "ALERTA SOBRECOSTO")))</f>
        <v/>
      </c>
    </row>
    <row r="98" ht="19.95" customHeight="1">
      <c r="A98" s="4" t="n">
        <v>25</v>
      </c>
      <c r="B98" s="31" t="n">
        <v>46259</v>
      </c>
      <c r="C98" s="2" t="inlineStr">
        <is>
          <t>WBS-100</t>
        </is>
      </c>
      <c r="D98" s="3" t="inlineStr">
        <is>
          <t>Obras Preliminares, Trazo y Movilización</t>
        </is>
      </c>
      <c r="E98" s="6">
        <f>SUM('01_PRESUPUESTO_CRONOGRAMA_BASE'!G2:G3)</f>
        <v/>
      </c>
      <c r="F98" s="6">
        <f>SUMIFS('02_CRONOGRAMA_PV_DIARIO'!E:E, '02_CRONOGRAMA_PV_DIARIO'!A:A, A98, '02_CRONOGRAMA_PV_DIARIO'!C:C, C98)</f>
        <v/>
      </c>
      <c r="G98" s="6">
        <f>SUMIFS(F$2:F98, C$2:C98, C98)</f>
        <v/>
      </c>
      <c r="H98" s="6">
        <f>IF(B98 &gt; MAX('04_LOG_FIELD_ENTRIES'!$B:$B), "", SUMIFS('04_LOG_FIELD_ENTRIES'!$J:$J, '04_LOG_FIELD_ENTRIES'!$B:$B, B98, '04_LOG_FIELD_ENTRIES'!$D:$D, C98, '04_LOG_FIELD_ENTRIES'!$K:$K, "EV_PRODUCCION"))</f>
        <v/>
      </c>
      <c r="I98" s="6">
        <f>IF(B98 &gt; MAX('04_LOG_FIELD_ENTRIES'!$B:$B), "", SUMIFS(H$2:H98, C$2:C98, C98))</f>
        <v/>
      </c>
      <c r="J98" s="6">
        <f>IF(B98 &gt; MAX('04_LOG_FIELD_ENTRIES'!$B:$B), "", SUMIFS('04_LOG_FIELD_ENTRIES'!$J:$J, '04_LOG_FIELD_ENTRIES'!$B:$B, B98, '04_LOG_FIELD_ENTRIES'!$D:$D, C98, '04_LOG_FIELD_ENTRIES'!$K:$K, "AC_*"))</f>
        <v/>
      </c>
      <c r="K98" s="6">
        <f>IF(B98 &gt; MAX('04_LOG_FIELD_ENTRIES'!$B:$B), "", SUMIFS(J$2:J98, C$2:C98, C98))</f>
        <v/>
      </c>
      <c r="L98" s="6">
        <f>IF(K98="", "", I98-K98)</f>
        <v/>
      </c>
      <c r="M98" s="6">
        <f>IF(I98="", "", I98-G98)</f>
        <v/>
      </c>
      <c r="N98" s="21">
        <f>IF(I98="", "", IF(G98&gt;0, I98/G98, 1))</f>
        <v/>
      </c>
      <c r="O98" s="21">
        <f>IF(I98="", "", IF(K98&gt;0, I98/K98, 1))</f>
        <v/>
      </c>
      <c r="P98" s="2">
        <f>IF(I98="", "", IF(AND(N98&gt;=0.95, O98&gt;=0.95), "SALUDABLE", IF(N98&lt;0.9, "ALERTA RETRASO", "ALERTA SOBRECOSTO")))</f>
        <v/>
      </c>
    </row>
    <row r="99" ht="19.95" customHeight="1">
      <c r="A99" s="4" t="n">
        <v>25</v>
      </c>
      <c r="B99" s="31" t="n">
        <v>46259</v>
      </c>
      <c r="C99" s="2" t="inlineStr">
        <is>
          <t>WBS-200</t>
        </is>
      </c>
      <c r="D99" s="3" t="inlineStr">
        <is>
          <t>Red de Alcantarillado, Zanjas y Buzones</t>
        </is>
      </c>
      <c r="E99" s="6">
        <f>SUM('01_PRESUPUESTO_CRONOGRAMA_BASE'!G4:G9)</f>
        <v/>
      </c>
      <c r="F99" s="6">
        <f>SUMIFS('02_CRONOGRAMA_PV_DIARIO'!E:E, '02_CRONOGRAMA_PV_DIARIO'!A:A, A99, '02_CRONOGRAMA_PV_DIARIO'!C:C, C99)</f>
        <v/>
      </c>
      <c r="G99" s="6">
        <f>SUMIFS(F$2:F99, C$2:C99, C99)</f>
        <v/>
      </c>
      <c r="H99" s="6">
        <f>IF(B99 &gt; MAX('04_LOG_FIELD_ENTRIES'!$B:$B), "", SUMIFS('04_LOG_FIELD_ENTRIES'!$J:$J, '04_LOG_FIELD_ENTRIES'!$B:$B, B99, '04_LOG_FIELD_ENTRIES'!$D:$D, C99, '04_LOG_FIELD_ENTRIES'!$K:$K, "EV_PRODUCCION"))</f>
        <v/>
      </c>
      <c r="I99" s="6">
        <f>IF(B99 &gt; MAX('04_LOG_FIELD_ENTRIES'!$B:$B), "", SUMIFS(H$2:H99, C$2:C99, C99))</f>
        <v/>
      </c>
      <c r="J99" s="6">
        <f>IF(B99 &gt; MAX('04_LOG_FIELD_ENTRIES'!$B:$B), "", SUMIFS('04_LOG_FIELD_ENTRIES'!$J:$J, '04_LOG_FIELD_ENTRIES'!$B:$B, B99, '04_LOG_FIELD_ENTRIES'!$D:$D, C99, '04_LOG_FIELD_ENTRIES'!$K:$K, "AC_*"))</f>
        <v/>
      </c>
      <c r="K99" s="6">
        <f>IF(B99 &gt; MAX('04_LOG_FIELD_ENTRIES'!$B:$B), "", SUMIFS(J$2:J99, C$2:C99, C99))</f>
        <v/>
      </c>
      <c r="L99" s="6">
        <f>IF(K99="", "", I99-K99)</f>
        <v/>
      </c>
      <c r="M99" s="6">
        <f>IF(I99="", "", I99-G99)</f>
        <v/>
      </c>
      <c r="N99" s="21">
        <f>IF(I99="", "", IF(G99&gt;0, I99/G99, 1))</f>
        <v/>
      </c>
      <c r="O99" s="21">
        <f>IF(I99="", "", IF(K99&gt;0, I99/K99, 1))</f>
        <v/>
      </c>
      <c r="P99" s="2">
        <f>IF(I99="", "", IF(AND(N99&gt;=0.95, O99&gt;=0.95), "SALUDABLE", IF(N99&lt;0.9, "ALERTA RETRASO", "ALERTA SOBRECOSTO")))</f>
        <v/>
      </c>
    </row>
    <row r="100" ht="19.95" customHeight="1">
      <c r="A100" s="4" t="n">
        <v>25</v>
      </c>
      <c r="B100" s="31" t="n">
        <v>46259</v>
      </c>
      <c r="C100" s="2" t="inlineStr">
        <is>
          <t>WBS-300</t>
        </is>
      </c>
      <c r="D100" s="3" t="inlineStr">
        <is>
          <t>Red de Agua Potable y Conexiones Domiciliarias</t>
        </is>
      </c>
      <c r="E100" s="6">
        <f>SUM('01_PRESUPUESTO_CRONOGRAMA_BASE'!G10:G11)</f>
        <v/>
      </c>
      <c r="F100" s="6">
        <f>SUMIFS('02_CRONOGRAMA_PV_DIARIO'!E:E, '02_CRONOGRAMA_PV_DIARIO'!A:A, A100, '02_CRONOGRAMA_PV_DIARIO'!C:C, C100)</f>
        <v/>
      </c>
      <c r="G100" s="6">
        <f>SUMIFS(F$2:F100, C$2:C100, C100)</f>
        <v/>
      </c>
      <c r="H100" s="6">
        <f>IF(B100 &gt; MAX('04_LOG_FIELD_ENTRIES'!$B:$B), "", SUMIFS('04_LOG_FIELD_ENTRIES'!$J:$J, '04_LOG_FIELD_ENTRIES'!$B:$B, B100, '04_LOG_FIELD_ENTRIES'!$D:$D, C100, '04_LOG_FIELD_ENTRIES'!$K:$K, "EV_PRODUCCION"))</f>
        <v/>
      </c>
      <c r="I100" s="6">
        <f>IF(B100 &gt; MAX('04_LOG_FIELD_ENTRIES'!$B:$B), "", SUMIFS(H$2:H100, C$2:C100, C100))</f>
        <v/>
      </c>
      <c r="J100" s="6">
        <f>IF(B100 &gt; MAX('04_LOG_FIELD_ENTRIES'!$B:$B), "", SUMIFS('04_LOG_FIELD_ENTRIES'!$J:$J, '04_LOG_FIELD_ENTRIES'!$B:$B, B100, '04_LOG_FIELD_ENTRIES'!$D:$D, C100, '04_LOG_FIELD_ENTRIES'!$K:$K, "AC_*"))</f>
        <v/>
      </c>
      <c r="K100" s="6">
        <f>IF(B100 &gt; MAX('04_LOG_FIELD_ENTRIES'!$B:$B), "", SUMIFS(J$2:J100, C$2:C100, C100))</f>
        <v/>
      </c>
      <c r="L100" s="6">
        <f>IF(K100="", "", I100-K100)</f>
        <v/>
      </c>
      <c r="M100" s="6">
        <f>IF(I100="", "", I100-G100)</f>
        <v/>
      </c>
      <c r="N100" s="21">
        <f>IF(I100="", "", IF(G100&gt;0, I100/G100, 1))</f>
        <v/>
      </c>
      <c r="O100" s="21">
        <f>IF(I100="", "", IF(K100&gt;0, I100/K100, 1))</f>
        <v/>
      </c>
      <c r="P100" s="2">
        <f>IF(I100="", "", IF(AND(N100&gt;=0.95, O100&gt;=0.95), "SALUDABLE", IF(N100&lt;0.9, "ALERTA RETRASO", "ALERTA SOBRECOSTO")))</f>
        <v/>
      </c>
    </row>
    <row r="101" ht="19.95" customHeight="1">
      <c r="A101" s="4" t="n">
        <v>25</v>
      </c>
      <c r="B101" s="31" t="n">
        <v>46259</v>
      </c>
      <c r="C101" s="2" t="inlineStr">
        <is>
          <t>WBS-400</t>
        </is>
      </c>
      <c r="D101" s="3" t="inlineStr">
        <is>
          <t>Pruebas Hidráulicas, Desinfección y Entrega</t>
        </is>
      </c>
      <c r="E101" s="6">
        <f>SUM('01_PRESUPUESTO_CRONOGRAMA_BASE'!G12:G12)</f>
        <v/>
      </c>
      <c r="F101" s="6">
        <f>SUMIFS('02_CRONOGRAMA_PV_DIARIO'!E:E, '02_CRONOGRAMA_PV_DIARIO'!A:A, A101, '02_CRONOGRAMA_PV_DIARIO'!C:C, C101)</f>
        <v/>
      </c>
      <c r="G101" s="6">
        <f>SUMIFS(F$2:F101, C$2:C101, C101)</f>
        <v/>
      </c>
      <c r="H101" s="6">
        <f>IF(B101 &gt; MAX('04_LOG_FIELD_ENTRIES'!$B:$B), "", SUMIFS('04_LOG_FIELD_ENTRIES'!$J:$J, '04_LOG_FIELD_ENTRIES'!$B:$B, B101, '04_LOG_FIELD_ENTRIES'!$D:$D, C101, '04_LOG_FIELD_ENTRIES'!$K:$K, "EV_PRODUCCION"))</f>
        <v/>
      </c>
      <c r="I101" s="6">
        <f>IF(B101 &gt; MAX('04_LOG_FIELD_ENTRIES'!$B:$B), "", SUMIFS(H$2:H101, C$2:C101, C101))</f>
        <v/>
      </c>
      <c r="J101" s="6">
        <f>IF(B101 &gt; MAX('04_LOG_FIELD_ENTRIES'!$B:$B), "", SUMIFS('04_LOG_FIELD_ENTRIES'!$J:$J, '04_LOG_FIELD_ENTRIES'!$B:$B, B101, '04_LOG_FIELD_ENTRIES'!$D:$D, C101, '04_LOG_FIELD_ENTRIES'!$K:$K, "AC_*"))</f>
        <v/>
      </c>
      <c r="K101" s="6">
        <f>IF(B101 &gt; MAX('04_LOG_FIELD_ENTRIES'!$B:$B), "", SUMIFS(J$2:J101, C$2:C101, C101))</f>
        <v/>
      </c>
      <c r="L101" s="6">
        <f>IF(K101="", "", I101-K101)</f>
        <v/>
      </c>
      <c r="M101" s="6">
        <f>IF(I101="", "", I101-G101)</f>
        <v/>
      </c>
      <c r="N101" s="21">
        <f>IF(I101="", "", IF(G101&gt;0, I101/G101, 1))</f>
        <v/>
      </c>
      <c r="O101" s="21">
        <f>IF(I101="", "", IF(K101&gt;0, I101/K101, 1))</f>
        <v/>
      </c>
      <c r="P101" s="2">
        <f>IF(I101="", "", IF(AND(N101&gt;=0.95, O101&gt;=0.95), "SALUDABLE", IF(N101&lt;0.9, "ALERTA RETRASO", "ALERTA SOBRECOSTO")))</f>
        <v/>
      </c>
    </row>
    <row r="102" ht="19.95" customHeight="1">
      <c r="A102" s="4" t="n">
        <v>26</v>
      </c>
      <c r="B102" s="31" t="n">
        <v>46260</v>
      </c>
      <c r="C102" s="2" t="inlineStr">
        <is>
          <t>WBS-100</t>
        </is>
      </c>
      <c r="D102" s="3" t="inlineStr">
        <is>
          <t>Obras Preliminares, Trazo y Movilización</t>
        </is>
      </c>
      <c r="E102" s="6">
        <f>SUM('01_PRESUPUESTO_CRONOGRAMA_BASE'!G2:G3)</f>
        <v/>
      </c>
      <c r="F102" s="6">
        <f>SUMIFS('02_CRONOGRAMA_PV_DIARIO'!E:E, '02_CRONOGRAMA_PV_DIARIO'!A:A, A102, '02_CRONOGRAMA_PV_DIARIO'!C:C, C102)</f>
        <v/>
      </c>
      <c r="G102" s="6">
        <f>SUMIFS(F$2:F102, C$2:C102, C102)</f>
        <v/>
      </c>
      <c r="H102" s="6">
        <f>IF(B102 &gt; MAX('04_LOG_FIELD_ENTRIES'!$B:$B), "", SUMIFS('04_LOG_FIELD_ENTRIES'!$J:$J, '04_LOG_FIELD_ENTRIES'!$B:$B, B102, '04_LOG_FIELD_ENTRIES'!$D:$D, C102, '04_LOG_FIELD_ENTRIES'!$K:$K, "EV_PRODUCCION"))</f>
        <v/>
      </c>
      <c r="I102" s="6">
        <f>IF(B102 &gt; MAX('04_LOG_FIELD_ENTRIES'!$B:$B), "", SUMIFS(H$2:H102, C$2:C102, C102))</f>
        <v/>
      </c>
      <c r="J102" s="6">
        <f>IF(B102 &gt; MAX('04_LOG_FIELD_ENTRIES'!$B:$B), "", SUMIFS('04_LOG_FIELD_ENTRIES'!$J:$J, '04_LOG_FIELD_ENTRIES'!$B:$B, B102, '04_LOG_FIELD_ENTRIES'!$D:$D, C102, '04_LOG_FIELD_ENTRIES'!$K:$K, "AC_*"))</f>
        <v/>
      </c>
      <c r="K102" s="6">
        <f>IF(B102 &gt; MAX('04_LOG_FIELD_ENTRIES'!$B:$B), "", SUMIFS(J$2:J102, C$2:C102, C102))</f>
        <v/>
      </c>
      <c r="L102" s="6">
        <f>IF(K102="", "", I102-K102)</f>
        <v/>
      </c>
      <c r="M102" s="6">
        <f>IF(I102="", "", I102-G102)</f>
        <v/>
      </c>
      <c r="N102" s="21">
        <f>IF(I102="", "", IF(G102&gt;0, I102/G102, 1))</f>
        <v/>
      </c>
      <c r="O102" s="21">
        <f>IF(I102="", "", IF(K102&gt;0, I102/K102, 1))</f>
        <v/>
      </c>
      <c r="P102" s="2">
        <f>IF(I102="", "", IF(AND(N102&gt;=0.95, O102&gt;=0.95), "SALUDABLE", IF(N102&lt;0.9, "ALERTA RETRASO", "ALERTA SOBRECOSTO")))</f>
        <v/>
      </c>
    </row>
    <row r="103" ht="19.95" customHeight="1">
      <c r="A103" s="4" t="n">
        <v>26</v>
      </c>
      <c r="B103" s="31" t="n">
        <v>46260</v>
      </c>
      <c r="C103" s="2" t="inlineStr">
        <is>
          <t>WBS-200</t>
        </is>
      </c>
      <c r="D103" s="3" t="inlineStr">
        <is>
          <t>Red de Alcantarillado, Zanjas y Buzones</t>
        </is>
      </c>
      <c r="E103" s="6">
        <f>SUM('01_PRESUPUESTO_CRONOGRAMA_BASE'!G4:G9)</f>
        <v/>
      </c>
      <c r="F103" s="6">
        <f>SUMIFS('02_CRONOGRAMA_PV_DIARIO'!E:E, '02_CRONOGRAMA_PV_DIARIO'!A:A, A103, '02_CRONOGRAMA_PV_DIARIO'!C:C, C103)</f>
        <v/>
      </c>
      <c r="G103" s="6">
        <f>SUMIFS(F$2:F103, C$2:C103, C103)</f>
        <v/>
      </c>
      <c r="H103" s="6">
        <f>IF(B103 &gt; MAX('04_LOG_FIELD_ENTRIES'!$B:$B), "", SUMIFS('04_LOG_FIELD_ENTRIES'!$J:$J, '04_LOG_FIELD_ENTRIES'!$B:$B, B103, '04_LOG_FIELD_ENTRIES'!$D:$D, C103, '04_LOG_FIELD_ENTRIES'!$K:$K, "EV_PRODUCCION"))</f>
        <v/>
      </c>
      <c r="I103" s="6">
        <f>IF(B103 &gt; MAX('04_LOG_FIELD_ENTRIES'!$B:$B), "", SUMIFS(H$2:H103, C$2:C103, C103))</f>
        <v/>
      </c>
      <c r="J103" s="6">
        <f>IF(B103 &gt; MAX('04_LOG_FIELD_ENTRIES'!$B:$B), "", SUMIFS('04_LOG_FIELD_ENTRIES'!$J:$J, '04_LOG_FIELD_ENTRIES'!$B:$B, B103, '04_LOG_FIELD_ENTRIES'!$D:$D, C103, '04_LOG_FIELD_ENTRIES'!$K:$K, "AC_*"))</f>
        <v/>
      </c>
      <c r="K103" s="6">
        <f>IF(B103 &gt; MAX('04_LOG_FIELD_ENTRIES'!$B:$B), "", SUMIFS(J$2:J103, C$2:C103, C103))</f>
        <v/>
      </c>
      <c r="L103" s="6">
        <f>IF(K103="", "", I103-K103)</f>
        <v/>
      </c>
      <c r="M103" s="6">
        <f>IF(I103="", "", I103-G103)</f>
        <v/>
      </c>
      <c r="N103" s="21">
        <f>IF(I103="", "", IF(G103&gt;0, I103/G103, 1))</f>
        <v/>
      </c>
      <c r="O103" s="21">
        <f>IF(I103="", "", IF(K103&gt;0, I103/K103, 1))</f>
        <v/>
      </c>
      <c r="P103" s="2">
        <f>IF(I103="", "", IF(AND(N103&gt;=0.95, O103&gt;=0.95), "SALUDABLE", IF(N103&lt;0.9, "ALERTA RETRASO", "ALERTA SOBRECOSTO")))</f>
        <v/>
      </c>
    </row>
    <row r="104" ht="19.95" customHeight="1">
      <c r="A104" s="4" t="n">
        <v>26</v>
      </c>
      <c r="B104" s="31" t="n">
        <v>46260</v>
      </c>
      <c r="C104" s="2" t="inlineStr">
        <is>
          <t>WBS-300</t>
        </is>
      </c>
      <c r="D104" s="3" t="inlineStr">
        <is>
          <t>Red de Agua Potable y Conexiones Domiciliarias</t>
        </is>
      </c>
      <c r="E104" s="6">
        <f>SUM('01_PRESUPUESTO_CRONOGRAMA_BASE'!G10:G11)</f>
        <v/>
      </c>
      <c r="F104" s="6">
        <f>SUMIFS('02_CRONOGRAMA_PV_DIARIO'!E:E, '02_CRONOGRAMA_PV_DIARIO'!A:A, A104, '02_CRONOGRAMA_PV_DIARIO'!C:C, C104)</f>
        <v/>
      </c>
      <c r="G104" s="6">
        <f>SUMIFS(F$2:F104, C$2:C104, C104)</f>
        <v/>
      </c>
      <c r="H104" s="6">
        <f>IF(B104 &gt; MAX('04_LOG_FIELD_ENTRIES'!$B:$B), "", SUMIFS('04_LOG_FIELD_ENTRIES'!$J:$J, '04_LOG_FIELD_ENTRIES'!$B:$B, B104, '04_LOG_FIELD_ENTRIES'!$D:$D, C104, '04_LOG_FIELD_ENTRIES'!$K:$K, "EV_PRODUCCION"))</f>
        <v/>
      </c>
      <c r="I104" s="6">
        <f>IF(B104 &gt; MAX('04_LOG_FIELD_ENTRIES'!$B:$B), "", SUMIFS(H$2:H104, C$2:C104, C104))</f>
        <v/>
      </c>
      <c r="J104" s="6">
        <f>IF(B104 &gt; MAX('04_LOG_FIELD_ENTRIES'!$B:$B), "", SUMIFS('04_LOG_FIELD_ENTRIES'!$J:$J, '04_LOG_FIELD_ENTRIES'!$B:$B, B104, '04_LOG_FIELD_ENTRIES'!$D:$D, C104, '04_LOG_FIELD_ENTRIES'!$K:$K, "AC_*"))</f>
        <v/>
      </c>
      <c r="K104" s="6">
        <f>IF(B104 &gt; MAX('04_LOG_FIELD_ENTRIES'!$B:$B), "", SUMIFS(J$2:J104, C$2:C104, C104))</f>
        <v/>
      </c>
      <c r="L104" s="6">
        <f>IF(K104="", "", I104-K104)</f>
        <v/>
      </c>
      <c r="M104" s="6">
        <f>IF(I104="", "", I104-G104)</f>
        <v/>
      </c>
      <c r="N104" s="21">
        <f>IF(I104="", "", IF(G104&gt;0, I104/G104, 1))</f>
        <v/>
      </c>
      <c r="O104" s="21">
        <f>IF(I104="", "", IF(K104&gt;0, I104/K104, 1))</f>
        <v/>
      </c>
      <c r="P104" s="2">
        <f>IF(I104="", "", IF(AND(N104&gt;=0.95, O104&gt;=0.95), "SALUDABLE", IF(N104&lt;0.9, "ALERTA RETRASO", "ALERTA SOBRECOSTO")))</f>
        <v/>
      </c>
    </row>
    <row r="105" ht="19.95" customHeight="1">
      <c r="A105" s="4" t="n">
        <v>26</v>
      </c>
      <c r="B105" s="31" t="n">
        <v>46260</v>
      </c>
      <c r="C105" s="2" t="inlineStr">
        <is>
          <t>WBS-400</t>
        </is>
      </c>
      <c r="D105" s="3" t="inlineStr">
        <is>
          <t>Pruebas Hidráulicas, Desinfección y Entrega</t>
        </is>
      </c>
      <c r="E105" s="6">
        <f>SUM('01_PRESUPUESTO_CRONOGRAMA_BASE'!G12:G12)</f>
        <v/>
      </c>
      <c r="F105" s="6">
        <f>SUMIFS('02_CRONOGRAMA_PV_DIARIO'!E:E, '02_CRONOGRAMA_PV_DIARIO'!A:A, A105, '02_CRONOGRAMA_PV_DIARIO'!C:C, C105)</f>
        <v/>
      </c>
      <c r="G105" s="6">
        <f>SUMIFS(F$2:F105, C$2:C105, C105)</f>
        <v/>
      </c>
      <c r="H105" s="6">
        <f>IF(B105 &gt; MAX('04_LOG_FIELD_ENTRIES'!$B:$B), "", SUMIFS('04_LOG_FIELD_ENTRIES'!$J:$J, '04_LOG_FIELD_ENTRIES'!$B:$B, B105, '04_LOG_FIELD_ENTRIES'!$D:$D, C105, '04_LOG_FIELD_ENTRIES'!$K:$K, "EV_PRODUCCION"))</f>
        <v/>
      </c>
      <c r="I105" s="6">
        <f>IF(B105 &gt; MAX('04_LOG_FIELD_ENTRIES'!$B:$B), "", SUMIFS(H$2:H105, C$2:C105, C105))</f>
        <v/>
      </c>
      <c r="J105" s="6">
        <f>IF(B105 &gt; MAX('04_LOG_FIELD_ENTRIES'!$B:$B), "", SUMIFS('04_LOG_FIELD_ENTRIES'!$J:$J, '04_LOG_FIELD_ENTRIES'!$B:$B, B105, '04_LOG_FIELD_ENTRIES'!$D:$D, C105, '04_LOG_FIELD_ENTRIES'!$K:$K, "AC_*"))</f>
        <v/>
      </c>
      <c r="K105" s="6">
        <f>IF(B105 &gt; MAX('04_LOG_FIELD_ENTRIES'!$B:$B), "", SUMIFS(J$2:J105, C$2:C105, C105))</f>
        <v/>
      </c>
      <c r="L105" s="6">
        <f>IF(K105="", "", I105-K105)</f>
        <v/>
      </c>
      <c r="M105" s="6">
        <f>IF(I105="", "", I105-G105)</f>
        <v/>
      </c>
      <c r="N105" s="21">
        <f>IF(I105="", "", IF(G105&gt;0, I105/G105, 1))</f>
        <v/>
      </c>
      <c r="O105" s="21">
        <f>IF(I105="", "", IF(K105&gt;0, I105/K105, 1))</f>
        <v/>
      </c>
      <c r="P105" s="2">
        <f>IF(I105="", "", IF(AND(N105&gt;=0.95, O105&gt;=0.95), "SALUDABLE", IF(N105&lt;0.9, "ALERTA RETRASO", "ALERTA SOBRECOSTO")))</f>
        <v/>
      </c>
    </row>
    <row r="106" ht="19.95" customHeight="1">
      <c r="A106" s="4" t="n">
        <v>27</v>
      </c>
      <c r="B106" s="31" t="n">
        <v>46261</v>
      </c>
      <c r="C106" s="2" t="inlineStr">
        <is>
          <t>WBS-100</t>
        </is>
      </c>
      <c r="D106" s="3" t="inlineStr">
        <is>
          <t>Obras Preliminares, Trazo y Movilización</t>
        </is>
      </c>
      <c r="E106" s="6">
        <f>SUM('01_PRESUPUESTO_CRONOGRAMA_BASE'!G2:G3)</f>
        <v/>
      </c>
      <c r="F106" s="6">
        <f>SUMIFS('02_CRONOGRAMA_PV_DIARIO'!E:E, '02_CRONOGRAMA_PV_DIARIO'!A:A, A106, '02_CRONOGRAMA_PV_DIARIO'!C:C, C106)</f>
        <v/>
      </c>
      <c r="G106" s="6">
        <f>SUMIFS(F$2:F106, C$2:C106, C106)</f>
        <v/>
      </c>
      <c r="H106" s="6">
        <f>IF(B106 &gt; MAX('04_LOG_FIELD_ENTRIES'!$B:$B), "", SUMIFS('04_LOG_FIELD_ENTRIES'!$J:$J, '04_LOG_FIELD_ENTRIES'!$B:$B, B106, '04_LOG_FIELD_ENTRIES'!$D:$D, C106, '04_LOG_FIELD_ENTRIES'!$K:$K, "EV_PRODUCCION"))</f>
        <v/>
      </c>
      <c r="I106" s="6">
        <f>IF(B106 &gt; MAX('04_LOG_FIELD_ENTRIES'!$B:$B), "", SUMIFS(H$2:H106, C$2:C106, C106))</f>
        <v/>
      </c>
      <c r="J106" s="6">
        <f>IF(B106 &gt; MAX('04_LOG_FIELD_ENTRIES'!$B:$B), "", SUMIFS('04_LOG_FIELD_ENTRIES'!$J:$J, '04_LOG_FIELD_ENTRIES'!$B:$B, B106, '04_LOG_FIELD_ENTRIES'!$D:$D, C106, '04_LOG_FIELD_ENTRIES'!$K:$K, "AC_*"))</f>
        <v/>
      </c>
      <c r="K106" s="6">
        <f>IF(B106 &gt; MAX('04_LOG_FIELD_ENTRIES'!$B:$B), "", SUMIFS(J$2:J106, C$2:C106, C106))</f>
        <v/>
      </c>
      <c r="L106" s="6">
        <f>IF(K106="", "", I106-K106)</f>
        <v/>
      </c>
      <c r="M106" s="6">
        <f>IF(I106="", "", I106-G106)</f>
        <v/>
      </c>
      <c r="N106" s="21">
        <f>IF(I106="", "", IF(G106&gt;0, I106/G106, 1))</f>
        <v/>
      </c>
      <c r="O106" s="21">
        <f>IF(I106="", "", IF(K106&gt;0, I106/K106, 1))</f>
        <v/>
      </c>
      <c r="P106" s="2">
        <f>IF(I106="", "", IF(AND(N106&gt;=0.95, O106&gt;=0.95), "SALUDABLE", IF(N106&lt;0.9, "ALERTA RETRASO", "ALERTA SOBRECOSTO")))</f>
        <v/>
      </c>
    </row>
    <row r="107" ht="19.95" customHeight="1">
      <c r="A107" s="4" t="n">
        <v>27</v>
      </c>
      <c r="B107" s="31" t="n">
        <v>46261</v>
      </c>
      <c r="C107" s="2" t="inlineStr">
        <is>
          <t>WBS-200</t>
        </is>
      </c>
      <c r="D107" s="3" t="inlineStr">
        <is>
          <t>Red de Alcantarillado, Zanjas y Buzones</t>
        </is>
      </c>
      <c r="E107" s="6">
        <f>SUM('01_PRESUPUESTO_CRONOGRAMA_BASE'!G4:G9)</f>
        <v/>
      </c>
      <c r="F107" s="6">
        <f>SUMIFS('02_CRONOGRAMA_PV_DIARIO'!E:E, '02_CRONOGRAMA_PV_DIARIO'!A:A, A107, '02_CRONOGRAMA_PV_DIARIO'!C:C, C107)</f>
        <v/>
      </c>
      <c r="G107" s="6">
        <f>SUMIFS(F$2:F107, C$2:C107, C107)</f>
        <v/>
      </c>
      <c r="H107" s="6">
        <f>IF(B107 &gt; MAX('04_LOG_FIELD_ENTRIES'!$B:$B), "", SUMIFS('04_LOG_FIELD_ENTRIES'!$J:$J, '04_LOG_FIELD_ENTRIES'!$B:$B, B107, '04_LOG_FIELD_ENTRIES'!$D:$D, C107, '04_LOG_FIELD_ENTRIES'!$K:$K, "EV_PRODUCCION"))</f>
        <v/>
      </c>
      <c r="I107" s="6">
        <f>IF(B107 &gt; MAX('04_LOG_FIELD_ENTRIES'!$B:$B), "", SUMIFS(H$2:H107, C$2:C107, C107))</f>
        <v/>
      </c>
      <c r="J107" s="6">
        <f>IF(B107 &gt; MAX('04_LOG_FIELD_ENTRIES'!$B:$B), "", SUMIFS('04_LOG_FIELD_ENTRIES'!$J:$J, '04_LOG_FIELD_ENTRIES'!$B:$B, B107, '04_LOG_FIELD_ENTRIES'!$D:$D, C107, '04_LOG_FIELD_ENTRIES'!$K:$K, "AC_*"))</f>
        <v/>
      </c>
      <c r="K107" s="6">
        <f>IF(B107 &gt; MAX('04_LOG_FIELD_ENTRIES'!$B:$B), "", SUMIFS(J$2:J107, C$2:C107, C107))</f>
        <v/>
      </c>
      <c r="L107" s="6">
        <f>IF(K107="", "", I107-K107)</f>
        <v/>
      </c>
      <c r="M107" s="6">
        <f>IF(I107="", "", I107-G107)</f>
        <v/>
      </c>
      <c r="N107" s="21">
        <f>IF(I107="", "", IF(G107&gt;0, I107/G107, 1))</f>
        <v/>
      </c>
      <c r="O107" s="21">
        <f>IF(I107="", "", IF(K107&gt;0, I107/K107, 1))</f>
        <v/>
      </c>
      <c r="P107" s="2">
        <f>IF(I107="", "", IF(AND(N107&gt;=0.95, O107&gt;=0.95), "SALUDABLE", IF(N107&lt;0.9, "ALERTA RETRASO", "ALERTA SOBRECOSTO")))</f>
        <v/>
      </c>
    </row>
    <row r="108" ht="19.95" customHeight="1">
      <c r="A108" s="4" t="n">
        <v>27</v>
      </c>
      <c r="B108" s="31" t="n">
        <v>46261</v>
      </c>
      <c r="C108" s="2" t="inlineStr">
        <is>
          <t>WBS-300</t>
        </is>
      </c>
      <c r="D108" s="3" t="inlineStr">
        <is>
          <t>Red de Agua Potable y Conexiones Domiciliarias</t>
        </is>
      </c>
      <c r="E108" s="6">
        <f>SUM('01_PRESUPUESTO_CRONOGRAMA_BASE'!G10:G11)</f>
        <v/>
      </c>
      <c r="F108" s="6">
        <f>SUMIFS('02_CRONOGRAMA_PV_DIARIO'!E:E, '02_CRONOGRAMA_PV_DIARIO'!A:A, A108, '02_CRONOGRAMA_PV_DIARIO'!C:C, C108)</f>
        <v/>
      </c>
      <c r="G108" s="6">
        <f>SUMIFS(F$2:F108, C$2:C108, C108)</f>
        <v/>
      </c>
      <c r="H108" s="6">
        <f>IF(B108 &gt; MAX('04_LOG_FIELD_ENTRIES'!$B:$B), "", SUMIFS('04_LOG_FIELD_ENTRIES'!$J:$J, '04_LOG_FIELD_ENTRIES'!$B:$B, B108, '04_LOG_FIELD_ENTRIES'!$D:$D, C108, '04_LOG_FIELD_ENTRIES'!$K:$K, "EV_PRODUCCION"))</f>
        <v/>
      </c>
      <c r="I108" s="6">
        <f>IF(B108 &gt; MAX('04_LOG_FIELD_ENTRIES'!$B:$B), "", SUMIFS(H$2:H108, C$2:C108, C108))</f>
        <v/>
      </c>
      <c r="J108" s="6">
        <f>IF(B108 &gt; MAX('04_LOG_FIELD_ENTRIES'!$B:$B), "", SUMIFS('04_LOG_FIELD_ENTRIES'!$J:$J, '04_LOG_FIELD_ENTRIES'!$B:$B, B108, '04_LOG_FIELD_ENTRIES'!$D:$D, C108, '04_LOG_FIELD_ENTRIES'!$K:$K, "AC_*"))</f>
        <v/>
      </c>
      <c r="K108" s="6">
        <f>IF(B108 &gt; MAX('04_LOG_FIELD_ENTRIES'!$B:$B), "", SUMIFS(J$2:J108, C$2:C108, C108))</f>
        <v/>
      </c>
      <c r="L108" s="6">
        <f>IF(K108="", "", I108-K108)</f>
        <v/>
      </c>
      <c r="M108" s="6">
        <f>IF(I108="", "", I108-G108)</f>
        <v/>
      </c>
      <c r="N108" s="21">
        <f>IF(I108="", "", IF(G108&gt;0, I108/G108, 1))</f>
        <v/>
      </c>
      <c r="O108" s="21">
        <f>IF(I108="", "", IF(K108&gt;0, I108/K108, 1))</f>
        <v/>
      </c>
      <c r="P108" s="2">
        <f>IF(I108="", "", IF(AND(N108&gt;=0.95, O108&gt;=0.95), "SALUDABLE", IF(N108&lt;0.9, "ALERTA RETRASO", "ALERTA SOBRECOSTO")))</f>
        <v/>
      </c>
    </row>
    <row r="109" ht="19.95" customHeight="1">
      <c r="A109" s="4" t="n">
        <v>27</v>
      </c>
      <c r="B109" s="31" t="n">
        <v>46261</v>
      </c>
      <c r="C109" s="2" t="inlineStr">
        <is>
          <t>WBS-400</t>
        </is>
      </c>
      <c r="D109" s="3" t="inlineStr">
        <is>
          <t>Pruebas Hidráulicas, Desinfección y Entrega</t>
        </is>
      </c>
      <c r="E109" s="6">
        <f>SUM('01_PRESUPUESTO_CRONOGRAMA_BASE'!G12:G12)</f>
        <v/>
      </c>
      <c r="F109" s="6">
        <f>SUMIFS('02_CRONOGRAMA_PV_DIARIO'!E:E, '02_CRONOGRAMA_PV_DIARIO'!A:A, A109, '02_CRONOGRAMA_PV_DIARIO'!C:C, C109)</f>
        <v/>
      </c>
      <c r="G109" s="6">
        <f>SUMIFS(F$2:F109, C$2:C109, C109)</f>
        <v/>
      </c>
      <c r="H109" s="6">
        <f>IF(B109 &gt; MAX('04_LOG_FIELD_ENTRIES'!$B:$B), "", SUMIFS('04_LOG_FIELD_ENTRIES'!$J:$J, '04_LOG_FIELD_ENTRIES'!$B:$B, B109, '04_LOG_FIELD_ENTRIES'!$D:$D, C109, '04_LOG_FIELD_ENTRIES'!$K:$K, "EV_PRODUCCION"))</f>
        <v/>
      </c>
      <c r="I109" s="6">
        <f>IF(B109 &gt; MAX('04_LOG_FIELD_ENTRIES'!$B:$B), "", SUMIFS(H$2:H109, C$2:C109, C109))</f>
        <v/>
      </c>
      <c r="J109" s="6">
        <f>IF(B109 &gt; MAX('04_LOG_FIELD_ENTRIES'!$B:$B), "", SUMIFS('04_LOG_FIELD_ENTRIES'!$J:$J, '04_LOG_FIELD_ENTRIES'!$B:$B, B109, '04_LOG_FIELD_ENTRIES'!$D:$D, C109, '04_LOG_FIELD_ENTRIES'!$K:$K, "AC_*"))</f>
        <v/>
      </c>
      <c r="K109" s="6">
        <f>IF(B109 &gt; MAX('04_LOG_FIELD_ENTRIES'!$B:$B), "", SUMIFS(J$2:J109, C$2:C109, C109))</f>
        <v/>
      </c>
      <c r="L109" s="6">
        <f>IF(K109="", "", I109-K109)</f>
        <v/>
      </c>
      <c r="M109" s="6">
        <f>IF(I109="", "", I109-G109)</f>
        <v/>
      </c>
      <c r="N109" s="21">
        <f>IF(I109="", "", IF(G109&gt;0, I109/G109, 1))</f>
        <v/>
      </c>
      <c r="O109" s="21">
        <f>IF(I109="", "", IF(K109&gt;0, I109/K109, 1))</f>
        <v/>
      </c>
      <c r="P109" s="2">
        <f>IF(I109="", "", IF(AND(N109&gt;=0.95, O109&gt;=0.95), "SALUDABLE", IF(N109&lt;0.9, "ALERTA RETRASO", "ALERTA SOBRECOSTO")))</f>
        <v/>
      </c>
    </row>
    <row r="110" ht="19.95" customHeight="1">
      <c r="A110" s="4" t="n">
        <v>28</v>
      </c>
      <c r="B110" s="31" t="n">
        <v>46262</v>
      </c>
      <c r="C110" s="2" t="inlineStr">
        <is>
          <t>WBS-100</t>
        </is>
      </c>
      <c r="D110" s="3" t="inlineStr">
        <is>
          <t>Obras Preliminares, Trazo y Movilización</t>
        </is>
      </c>
      <c r="E110" s="6">
        <f>SUM('01_PRESUPUESTO_CRONOGRAMA_BASE'!G2:G3)</f>
        <v/>
      </c>
      <c r="F110" s="6">
        <f>SUMIFS('02_CRONOGRAMA_PV_DIARIO'!E:E, '02_CRONOGRAMA_PV_DIARIO'!A:A, A110, '02_CRONOGRAMA_PV_DIARIO'!C:C, C110)</f>
        <v/>
      </c>
      <c r="G110" s="6">
        <f>SUMIFS(F$2:F110, C$2:C110, C110)</f>
        <v/>
      </c>
      <c r="H110" s="6">
        <f>IF(B110 &gt; MAX('04_LOG_FIELD_ENTRIES'!$B:$B), "", SUMIFS('04_LOG_FIELD_ENTRIES'!$J:$J, '04_LOG_FIELD_ENTRIES'!$B:$B, B110, '04_LOG_FIELD_ENTRIES'!$D:$D, C110, '04_LOG_FIELD_ENTRIES'!$K:$K, "EV_PRODUCCION"))</f>
        <v/>
      </c>
      <c r="I110" s="6">
        <f>IF(B110 &gt; MAX('04_LOG_FIELD_ENTRIES'!$B:$B), "", SUMIFS(H$2:H110, C$2:C110, C110))</f>
        <v/>
      </c>
      <c r="J110" s="6">
        <f>IF(B110 &gt; MAX('04_LOG_FIELD_ENTRIES'!$B:$B), "", SUMIFS('04_LOG_FIELD_ENTRIES'!$J:$J, '04_LOG_FIELD_ENTRIES'!$B:$B, B110, '04_LOG_FIELD_ENTRIES'!$D:$D, C110, '04_LOG_FIELD_ENTRIES'!$K:$K, "AC_*"))</f>
        <v/>
      </c>
      <c r="K110" s="6">
        <f>IF(B110 &gt; MAX('04_LOG_FIELD_ENTRIES'!$B:$B), "", SUMIFS(J$2:J110, C$2:C110, C110))</f>
        <v/>
      </c>
      <c r="L110" s="6">
        <f>IF(K110="", "", I110-K110)</f>
        <v/>
      </c>
      <c r="M110" s="6">
        <f>IF(I110="", "", I110-G110)</f>
        <v/>
      </c>
      <c r="N110" s="21">
        <f>IF(I110="", "", IF(G110&gt;0, I110/G110, 1))</f>
        <v/>
      </c>
      <c r="O110" s="21">
        <f>IF(I110="", "", IF(K110&gt;0, I110/K110, 1))</f>
        <v/>
      </c>
      <c r="P110" s="2">
        <f>IF(I110="", "", IF(AND(N110&gt;=0.95, O110&gt;=0.95), "SALUDABLE", IF(N110&lt;0.9, "ALERTA RETRASO", "ALERTA SOBRECOSTO")))</f>
        <v/>
      </c>
    </row>
    <row r="111" ht="19.95" customHeight="1">
      <c r="A111" s="4" t="n">
        <v>28</v>
      </c>
      <c r="B111" s="31" t="n">
        <v>46262</v>
      </c>
      <c r="C111" s="2" t="inlineStr">
        <is>
          <t>WBS-200</t>
        </is>
      </c>
      <c r="D111" s="3" t="inlineStr">
        <is>
          <t>Red de Alcantarillado, Zanjas y Buzones</t>
        </is>
      </c>
      <c r="E111" s="6">
        <f>SUM('01_PRESUPUESTO_CRONOGRAMA_BASE'!G4:G9)</f>
        <v/>
      </c>
      <c r="F111" s="6">
        <f>SUMIFS('02_CRONOGRAMA_PV_DIARIO'!E:E, '02_CRONOGRAMA_PV_DIARIO'!A:A, A111, '02_CRONOGRAMA_PV_DIARIO'!C:C, C111)</f>
        <v/>
      </c>
      <c r="G111" s="6">
        <f>SUMIFS(F$2:F111, C$2:C111, C111)</f>
        <v/>
      </c>
      <c r="H111" s="6">
        <f>IF(B111 &gt; MAX('04_LOG_FIELD_ENTRIES'!$B:$B), "", SUMIFS('04_LOG_FIELD_ENTRIES'!$J:$J, '04_LOG_FIELD_ENTRIES'!$B:$B, B111, '04_LOG_FIELD_ENTRIES'!$D:$D, C111, '04_LOG_FIELD_ENTRIES'!$K:$K, "EV_PRODUCCION"))</f>
        <v/>
      </c>
      <c r="I111" s="6">
        <f>IF(B111 &gt; MAX('04_LOG_FIELD_ENTRIES'!$B:$B), "", SUMIFS(H$2:H111, C$2:C111, C111))</f>
        <v/>
      </c>
      <c r="J111" s="6">
        <f>IF(B111 &gt; MAX('04_LOG_FIELD_ENTRIES'!$B:$B), "", SUMIFS('04_LOG_FIELD_ENTRIES'!$J:$J, '04_LOG_FIELD_ENTRIES'!$B:$B, B111, '04_LOG_FIELD_ENTRIES'!$D:$D, C111, '04_LOG_FIELD_ENTRIES'!$K:$K, "AC_*"))</f>
        <v/>
      </c>
      <c r="K111" s="6">
        <f>IF(B111 &gt; MAX('04_LOG_FIELD_ENTRIES'!$B:$B), "", SUMIFS(J$2:J111, C$2:C111, C111))</f>
        <v/>
      </c>
      <c r="L111" s="6">
        <f>IF(K111="", "", I111-K111)</f>
        <v/>
      </c>
      <c r="M111" s="6">
        <f>IF(I111="", "", I111-G111)</f>
        <v/>
      </c>
      <c r="N111" s="21">
        <f>IF(I111="", "", IF(G111&gt;0, I111/G111, 1))</f>
        <v/>
      </c>
      <c r="O111" s="21">
        <f>IF(I111="", "", IF(K111&gt;0, I111/K111, 1))</f>
        <v/>
      </c>
      <c r="P111" s="2">
        <f>IF(I111="", "", IF(AND(N111&gt;=0.95, O111&gt;=0.95), "SALUDABLE", IF(N111&lt;0.9, "ALERTA RETRASO", "ALERTA SOBRECOSTO")))</f>
        <v/>
      </c>
    </row>
    <row r="112" ht="19.95" customHeight="1">
      <c r="A112" s="4" t="n">
        <v>28</v>
      </c>
      <c r="B112" s="31" t="n">
        <v>46262</v>
      </c>
      <c r="C112" s="2" t="inlineStr">
        <is>
          <t>WBS-300</t>
        </is>
      </c>
      <c r="D112" s="3" t="inlineStr">
        <is>
          <t>Red de Agua Potable y Conexiones Domiciliarias</t>
        </is>
      </c>
      <c r="E112" s="6">
        <f>SUM('01_PRESUPUESTO_CRONOGRAMA_BASE'!G10:G11)</f>
        <v/>
      </c>
      <c r="F112" s="6">
        <f>SUMIFS('02_CRONOGRAMA_PV_DIARIO'!E:E, '02_CRONOGRAMA_PV_DIARIO'!A:A, A112, '02_CRONOGRAMA_PV_DIARIO'!C:C, C112)</f>
        <v/>
      </c>
      <c r="G112" s="6">
        <f>SUMIFS(F$2:F112, C$2:C112, C112)</f>
        <v/>
      </c>
      <c r="H112" s="6">
        <f>IF(B112 &gt; MAX('04_LOG_FIELD_ENTRIES'!$B:$B), "", SUMIFS('04_LOG_FIELD_ENTRIES'!$J:$J, '04_LOG_FIELD_ENTRIES'!$B:$B, B112, '04_LOG_FIELD_ENTRIES'!$D:$D, C112, '04_LOG_FIELD_ENTRIES'!$K:$K, "EV_PRODUCCION"))</f>
        <v/>
      </c>
      <c r="I112" s="6">
        <f>IF(B112 &gt; MAX('04_LOG_FIELD_ENTRIES'!$B:$B), "", SUMIFS(H$2:H112, C$2:C112, C112))</f>
        <v/>
      </c>
      <c r="J112" s="6">
        <f>IF(B112 &gt; MAX('04_LOG_FIELD_ENTRIES'!$B:$B), "", SUMIFS('04_LOG_FIELD_ENTRIES'!$J:$J, '04_LOG_FIELD_ENTRIES'!$B:$B, B112, '04_LOG_FIELD_ENTRIES'!$D:$D, C112, '04_LOG_FIELD_ENTRIES'!$K:$K, "AC_*"))</f>
        <v/>
      </c>
      <c r="K112" s="6">
        <f>IF(B112 &gt; MAX('04_LOG_FIELD_ENTRIES'!$B:$B), "", SUMIFS(J$2:J112, C$2:C112, C112))</f>
        <v/>
      </c>
      <c r="L112" s="6">
        <f>IF(K112="", "", I112-K112)</f>
        <v/>
      </c>
      <c r="M112" s="6">
        <f>IF(I112="", "", I112-G112)</f>
        <v/>
      </c>
      <c r="N112" s="21">
        <f>IF(I112="", "", IF(G112&gt;0, I112/G112, 1))</f>
        <v/>
      </c>
      <c r="O112" s="21">
        <f>IF(I112="", "", IF(K112&gt;0, I112/K112, 1))</f>
        <v/>
      </c>
      <c r="P112" s="2">
        <f>IF(I112="", "", IF(AND(N112&gt;=0.95, O112&gt;=0.95), "SALUDABLE", IF(N112&lt;0.9, "ALERTA RETRASO", "ALERTA SOBRECOSTO")))</f>
        <v/>
      </c>
    </row>
    <row r="113" ht="19.95" customHeight="1">
      <c r="A113" s="4" t="n">
        <v>28</v>
      </c>
      <c r="B113" s="31" t="n">
        <v>46262</v>
      </c>
      <c r="C113" s="2" t="inlineStr">
        <is>
          <t>WBS-400</t>
        </is>
      </c>
      <c r="D113" s="3" t="inlineStr">
        <is>
          <t>Pruebas Hidráulicas, Desinfección y Entrega</t>
        </is>
      </c>
      <c r="E113" s="6">
        <f>SUM('01_PRESUPUESTO_CRONOGRAMA_BASE'!G12:G12)</f>
        <v/>
      </c>
      <c r="F113" s="6">
        <f>SUMIFS('02_CRONOGRAMA_PV_DIARIO'!E:E, '02_CRONOGRAMA_PV_DIARIO'!A:A, A113, '02_CRONOGRAMA_PV_DIARIO'!C:C, C113)</f>
        <v/>
      </c>
      <c r="G113" s="6">
        <f>SUMIFS(F$2:F113, C$2:C113, C113)</f>
        <v/>
      </c>
      <c r="H113" s="6">
        <f>IF(B113 &gt; MAX('04_LOG_FIELD_ENTRIES'!$B:$B), "", SUMIFS('04_LOG_FIELD_ENTRIES'!$J:$J, '04_LOG_FIELD_ENTRIES'!$B:$B, B113, '04_LOG_FIELD_ENTRIES'!$D:$D, C113, '04_LOG_FIELD_ENTRIES'!$K:$K, "EV_PRODUCCION"))</f>
        <v/>
      </c>
      <c r="I113" s="6">
        <f>IF(B113 &gt; MAX('04_LOG_FIELD_ENTRIES'!$B:$B), "", SUMIFS(H$2:H113, C$2:C113, C113))</f>
        <v/>
      </c>
      <c r="J113" s="6">
        <f>IF(B113 &gt; MAX('04_LOG_FIELD_ENTRIES'!$B:$B), "", SUMIFS('04_LOG_FIELD_ENTRIES'!$J:$J, '04_LOG_FIELD_ENTRIES'!$B:$B, B113, '04_LOG_FIELD_ENTRIES'!$D:$D, C113, '04_LOG_FIELD_ENTRIES'!$K:$K, "AC_*"))</f>
        <v/>
      </c>
      <c r="K113" s="6">
        <f>IF(B113 &gt; MAX('04_LOG_FIELD_ENTRIES'!$B:$B), "", SUMIFS(J$2:J113, C$2:C113, C113))</f>
        <v/>
      </c>
      <c r="L113" s="6">
        <f>IF(K113="", "", I113-K113)</f>
        <v/>
      </c>
      <c r="M113" s="6">
        <f>IF(I113="", "", I113-G113)</f>
        <v/>
      </c>
      <c r="N113" s="21">
        <f>IF(I113="", "", IF(G113&gt;0, I113/G113, 1))</f>
        <v/>
      </c>
      <c r="O113" s="21">
        <f>IF(I113="", "", IF(K113&gt;0, I113/K113, 1))</f>
        <v/>
      </c>
      <c r="P113" s="2">
        <f>IF(I113="", "", IF(AND(N113&gt;=0.95, O113&gt;=0.95), "SALUDABLE", IF(N113&lt;0.9, "ALERTA RETRASO", "ALERTA SOBRECOSTO")))</f>
        <v/>
      </c>
    </row>
    <row r="114" ht="19.95" customHeight="1">
      <c r="A114" s="4" t="n">
        <v>29</v>
      </c>
      <c r="B114" s="31" t="n">
        <v>46263</v>
      </c>
      <c r="C114" s="2" t="inlineStr">
        <is>
          <t>WBS-100</t>
        </is>
      </c>
      <c r="D114" s="3" t="inlineStr">
        <is>
          <t>Obras Preliminares, Trazo y Movilización</t>
        </is>
      </c>
      <c r="E114" s="6">
        <f>SUM('01_PRESUPUESTO_CRONOGRAMA_BASE'!G2:G3)</f>
        <v/>
      </c>
      <c r="F114" s="6">
        <f>SUMIFS('02_CRONOGRAMA_PV_DIARIO'!E:E, '02_CRONOGRAMA_PV_DIARIO'!A:A, A114, '02_CRONOGRAMA_PV_DIARIO'!C:C, C114)</f>
        <v/>
      </c>
      <c r="G114" s="6">
        <f>SUMIFS(F$2:F114, C$2:C114, C114)</f>
        <v/>
      </c>
      <c r="H114" s="6">
        <f>IF(B114 &gt; MAX('04_LOG_FIELD_ENTRIES'!$B:$B), "", SUMIFS('04_LOG_FIELD_ENTRIES'!$J:$J, '04_LOG_FIELD_ENTRIES'!$B:$B, B114, '04_LOG_FIELD_ENTRIES'!$D:$D, C114, '04_LOG_FIELD_ENTRIES'!$K:$K, "EV_PRODUCCION"))</f>
        <v/>
      </c>
      <c r="I114" s="6">
        <f>IF(B114 &gt; MAX('04_LOG_FIELD_ENTRIES'!$B:$B), "", SUMIFS(H$2:H114, C$2:C114, C114))</f>
        <v/>
      </c>
      <c r="J114" s="6">
        <f>IF(B114 &gt; MAX('04_LOG_FIELD_ENTRIES'!$B:$B), "", SUMIFS('04_LOG_FIELD_ENTRIES'!$J:$J, '04_LOG_FIELD_ENTRIES'!$B:$B, B114, '04_LOG_FIELD_ENTRIES'!$D:$D, C114, '04_LOG_FIELD_ENTRIES'!$K:$K, "AC_*"))</f>
        <v/>
      </c>
      <c r="K114" s="6">
        <f>IF(B114 &gt; MAX('04_LOG_FIELD_ENTRIES'!$B:$B), "", SUMIFS(J$2:J114, C$2:C114, C114))</f>
        <v/>
      </c>
      <c r="L114" s="6">
        <f>IF(K114="", "", I114-K114)</f>
        <v/>
      </c>
      <c r="M114" s="6">
        <f>IF(I114="", "", I114-G114)</f>
        <v/>
      </c>
      <c r="N114" s="21">
        <f>IF(I114="", "", IF(G114&gt;0, I114/G114, 1))</f>
        <v/>
      </c>
      <c r="O114" s="21">
        <f>IF(I114="", "", IF(K114&gt;0, I114/K114, 1))</f>
        <v/>
      </c>
      <c r="P114" s="2">
        <f>IF(I114="", "", IF(AND(N114&gt;=0.95, O114&gt;=0.95), "SALUDABLE", IF(N114&lt;0.9, "ALERTA RETRASO", "ALERTA SOBRECOSTO")))</f>
        <v/>
      </c>
    </row>
    <row r="115" ht="19.95" customHeight="1">
      <c r="A115" s="4" t="n">
        <v>29</v>
      </c>
      <c r="B115" s="31" t="n">
        <v>46263</v>
      </c>
      <c r="C115" s="2" t="inlineStr">
        <is>
          <t>WBS-200</t>
        </is>
      </c>
      <c r="D115" s="3" t="inlineStr">
        <is>
          <t>Red de Alcantarillado, Zanjas y Buzones</t>
        </is>
      </c>
      <c r="E115" s="6">
        <f>SUM('01_PRESUPUESTO_CRONOGRAMA_BASE'!G4:G9)</f>
        <v/>
      </c>
      <c r="F115" s="6">
        <f>SUMIFS('02_CRONOGRAMA_PV_DIARIO'!E:E, '02_CRONOGRAMA_PV_DIARIO'!A:A, A115, '02_CRONOGRAMA_PV_DIARIO'!C:C, C115)</f>
        <v/>
      </c>
      <c r="G115" s="6">
        <f>SUMIFS(F$2:F115, C$2:C115, C115)</f>
        <v/>
      </c>
      <c r="H115" s="6">
        <f>IF(B115 &gt; MAX('04_LOG_FIELD_ENTRIES'!$B:$B), "", SUMIFS('04_LOG_FIELD_ENTRIES'!$J:$J, '04_LOG_FIELD_ENTRIES'!$B:$B, B115, '04_LOG_FIELD_ENTRIES'!$D:$D, C115, '04_LOG_FIELD_ENTRIES'!$K:$K, "EV_PRODUCCION"))</f>
        <v/>
      </c>
      <c r="I115" s="6">
        <f>IF(B115 &gt; MAX('04_LOG_FIELD_ENTRIES'!$B:$B), "", SUMIFS(H$2:H115, C$2:C115, C115))</f>
        <v/>
      </c>
      <c r="J115" s="6">
        <f>IF(B115 &gt; MAX('04_LOG_FIELD_ENTRIES'!$B:$B), "", SUMIFS('04_LOG_FIELD_ENTRIES'!$J:$J, '04_LOG_FIELD_ENTRIES'!$B:$B, B115, '04_LOG_FIELD_ENTRIES'!$D:$D, C115, '04_LOG_FIELD_ENTRIES'!$K:$K, "AC_*"))</f>
        <v/>
      </c>
      <c r="K115" s="6">
        <f>IF(B115 &gt; MAX('04_LOG_FIELD_ENTRIES'!$B:$B), "", SUMIFS(J$2:J115, C$2:C115, C115))</f>
        <v/>
      </c>
      <c r="L115" s="6">
        <f>IF(K115="", "", I115-K115)</f>
        <v/>
      </c>
      <c r="M115" s="6">
        <f>IF(I115="", "", I115-G115)</f>
        <v/>
      </c>
      <c r="N115" s="21">
        <f>IF(I115="", "", IF(G115&gt;0, I115/G115, 1))</f>
        <v/>
      </c>
      <c r="O115" s="21">
        <f>IF(I115="", "", IF(K115&gt;0, I115/K115, 1))</f>
        <v/>
      </c>
      <c r="P115" s="2">
        <f>IF(I115="", "", IF(AND(N115&gt;=0.95, O115&gt;=0.95), "SALUDABLE", IF(N115&lt;0.9, "ALERTA RETRASO", "ALERTA SOBRECOSTO")))</f>
        <v/>
      </c>
    </row>
    <row r="116" ht="19.95" customHeight="1">
      <c r="A116" s="4" t="n">
        <v>29</v>
      </c>
      <c r="B116" s="31" t="n">
        <v>46263</v>
      </c>
      <c r="C116" s="2" t="inlineStr">
        <is>
          <t>WBS-300</t>
        </is>
      </c>
      <c r="D116" s="3" t="inlineStr">
        <is>
          <t>Red de Agua Potable y Conexiones Domiciliarias</t>
        </is>
      </c>
      <c r="E116" s="6">
        <f>SUM('01_PRESUPUESTO_CRONOGRAMA_BASE'!G10:G11)</f>
        <v/>
      </c>
      <c r="F116" s="6">
        <f>SUMIFS('02_CRONOGRAMA_PV_DIARIO'!E:E, '02_CRONOGRAMA_PV_DIARIO'!A:A, A116, '02_CRONOGRAMA_PV_DIARIO'!C:C, C116)</f>
        <v/>
      </c>
      <c r="G116" s="6">
        <f>SUMIFS(F$2:F116, C$2:C116, C116)</f>
        <v/>
      </c>
      <c r="H116" s="6">
        <f>IF(B116 &gt; MAX('04_LOG_FIELD_ENTRIES'!$B:$B), "", SUMIFS('04_LOG_FIELD_ENTRIES'!$J:$J, '04_LOG_FIELD_ENTRIES'!$B:$B, B116, '04_LOG_FIELD_ENTRIES'!$D:$D, C116, '04_LOG_FIELD_ENTRIES'!$K:$K, "EV_PRODUCCION"))</f>
        <v/>
      </c>
      <c r="I116" s="6">
        <f>IF(B116 &gt; MAX('04_LOG_FIELD_ENTRIES'!$B:$B), "", SUMIFS(H$2:H116, C$2:C116, C116))</f>
        <v/>
      </c>
      <c r="J116" s="6">
        <f>IF(B116 &gt; MAX('04_LOG_FIELD_ENTRIES'!$B:$B), "", SUMIFS('04_LOG_FIELD_ENTRIES'!$J:$J, '04_LOG_FIELD_ENTRIES'!$B:$B, B116, '04_LOG_FIELD_ENTRIES'!$D:$D, C116, '04_LOG_FIELD_ENTRIES'!$K:$K, "AC_*"))</f>
        <v/>
      </c>
      <c r="K116" s="6">
        <f>IF(B116 &gt; MAX('04_LOG_FIELD_ENTRIES'!$B:$B), "", SUMIFS(J$2:J116, C$2:C116, C116))</f>
        <v/>
      </c>
      <c r="L116" s="6">
        <f>IF(K116="", "", I116-K116)</f>
        <v/>
      </c>
      <c r="M116" s="6">
        <f>IF(I116="", "", I116-G116)</f>
        <v/>
      </c>
      <c r="N116" s="21">
        <f>IF(I116="", "", IF(G116&gt;0, I116/G116, 1))</f>
        <v/>
      </c>
      <c r="O116" s="21">
        <f>IF(I116="", "", IF(K116&gt;0, I116/K116, 1))</f>
        <v/>
      </c>
      <c r="P116" s="2">
        <f>IF(I116="", "", IF(AND(N116&gt;=0.95, O116&gt;=0.95), "SALUDABLE", IF(N116&lt;0.9, "ALERTA RETRASO", "ALERTA SOBRECOSTO")))</f>
        <v/>
      </c>
    </row>
    <row r="117" ht="19.95" customHeight="1">
      <c r="A117" s="4" t="n">
        <v>29</v>
      </c>
      <c r="B117" s="31" t="n">
        <v>46263</v>
      </c>
      <c r="C117" s="2" t="inlineStr">
        <is>
          <t>WBS-400</t>
        </is>
      </c>
      <c r="D117" s="3" t="inlineStr">
        <is>
          <t>Pruebas Hidráulicas, Desinfección y Entrega</t>
        </is>
      </c>
      <c r="E117" s="6">
        <f>SUM('01_PRESUPUESTO_CRONOGRAMA_BASE'!G12:G12)</f>
        <v/>
      </c>
      <c r="F117" s="6">
        <f>SUMIFS('02_CRONOGRAMA_PV_DIARIO'!E:E, '02_CRONOGRAMA_PV_DIARIO'!A:A, A117, '02_CRONOGRAMA_PV_DIARIO'!C:C, C117)</f>
        <v/>
      </c>
      <c r="G117" s="6">
        <f>SUMIFS(F$2:F117, C$2:C117, C117)</f>
        <v/>
      </c>
      <c r="H117" s="6">
        <f>IF(B117 &gt; MAX('04_LOG_FIELD_ENTRIES'!$B:$B), "", SUMIFS('04_LOG_FIELD_ENTRIES'!$J:$J, '04_LOG_FIELD_ENTRIES'!$B:$B, B117, '04_LOG_FIELD_ENTRIES'!$D:$D, C117, '04_LOG_FIELD_ENTRIES'!$K:$K, "EV_PRODUCCION"))</f>
        <v/>
      </c>
      <c r="I117" s="6">
        <f>IF(B117 &gt; MAX('04_LOG_FIELD_ENTRIES'!$B:$B), "", SUMIFS(H$2:H117, C$2:C117, C117))</f>
        <v/>
      </c>
      <c r="J117" s="6">
        <f>IF(B117 &gt; MAX('04_LOG_FIELD_ENTRIES'!$B:$B), "", SUMIFS('04_LOG_FIELD_ENTRIES'!$J:$J, '04_LOG_FIELD_ENTRIES'!$B:$B, B117, '04_LOG_FIELD_ENTRIES'!$D:$D, C117, '04_LOG_FIELD_ENTRIES'!$K:$K, "AC_*"))</f>
        <v/>
      </c>
      <c r="K117" s="6">
        <f>IF(B117 &gt; MAX('04_LOG_FIELD_ENTRIES'!$B:$B), "", SUMIFS(J$2:J117, C$2:C117, C117))</f>
        <v/>
      </c>
      <c r="L117" s="6">
        <f>IF(K117="", "", I117-K117)</f>
        <v/>
      </c>
      <c r="M117" s="6">
        <f>IF(I117="", "", I117-G117)</f>
        <v/>
      </c>
      <c r="N117" s="21">
        <f>IF(I117="", "", IF(G117&gt;0, I117/G117, 1))</f>
        <v/>
      </c>
      <c r="O117" s="21">
        <f>IF(I117="", "", IF(K117&gt;0, I117/K117, 1))</f>
        <v/>
      </c>
      <c r="P117" s="2">
        <f>IF(I117="", "", IF(AND(N117&gt;=0.95, O117&gt;=0.95), "SALUDABLE", IF(N117&lt;0.9, "ALERTA RETRASO", "ALERTA SOBRECOSTO")))</f>
        <v/>
      </c>
    </row>
    <row r="118" ht="19.95" customHeight="1">
      <c r="A118" s="4" t="n">
        <v>30</v>
      </c>
      <c r="B118" s="31" t="n">
        <v>46264</v>
      </c>
      <c r="C118" s="2" t="inlineStr">
        <is>
          <t>WBS-100</t>
        </is>
      </c>
      <c r="D118" s="3" t="inlineStr">
        <is>
          <t>Obras Preliminares, Trazo y Movilización</t>
        </is>
      </c>
      <c r="E118" s="6">
        <f>SUM('01_PRESUPUESTO_CRONOGRAMA_BASE'!G2:G3)</f>
        <v/>
      </c>
      <c r="F118" s="6">
        <f>SUMIFS('02_CRONOGRAMA_PV_DIARIO'!E:E, '02_CRONOGRAMA_PV_DIARIO'!A:A, A118, '02_CRONOGRAMA_PV_DIARIO'!C:C, C118)</f>
        <v/>
      </c>
      <c r="G118" s="6">
        <f>SUMIFS(F$2:F118, C$2:C118, C118)</f>
        <v/>
      </c>
      <c r="H118" s="6">
        <f>IF(B118 &gt; MAX('04_LOG_FIELD_ENTRIES'!$B:$B), "", SUMIFS('04_LOG_FIELD_ENTRIES'!$J:$J, '04_LOG_FIELD_ENTRIES'!$B:$B, B118, '04_LOG_FIELD_ENTRIES'!$D:$D, C118, '04_LOG_FIELD_ENTRIES'!$K:$K, "EV_PRODUCCION"))</f>
        <v/>
      </c>
      <c r="I118" s="6">
        <f>IF(B118 &gt; MAX('04_LOG_FIELD_ENTRIES'!$B:$B), "", SUMIFS(H$2:H118, C$2:C118, C118))</f>
        <v/>
      </c>
      <c r="J118" s="6">
        <f>IF(B118 &gt; MAX('04_LOG_FIELD_ENTRIES'!$B:$B), "", SUMIFS('04_LOG_FIELD_ENTRIES'!$J:$J, '04_LOG_FIELD_ENTRIES'!$B:$B, B118, '04_LOG_FIELD_ENTRIES'!$D:$D, C118, '04_LOG_FIELD_ENTRIES'!$K:$K, "AC_*"))</f>
        <v/>
      </c>
      <c r="K118" s="6">
        <f>IF(B118 &gt; MAX('04_LOG_FIELD_ENTRIES'!$B:$B), "", SUMIFS(J$2:J118, C$2:C118, C118))</f>
        <v/>
      </c>
      <c r="L118" s="6">
        <f>IF(K118="", "", I118-K118)</f>
        <v/>
      </c>
      <c r="M118" s="6">
        <f>IF(I118="", "", I118-G118)</f>
        <v/>
      </c>
      <c r="N118" s="21">
        <f>IF(I118="", "", IF(G118&gt;0, I118/G118, 1))</f>
        <v/>
      </c>
      <c r="O118" s="21">
        <f>IF(I118="", "", IF(K118&gt;0, I118/K118, 1))</f>
        <v/>
      </c>
      <c r="P118" s="2">
        <f>IF(I118="", "", IF(AND(N118&gt;=0.95, O118&gt;=0.95), "SALUDABLE", IF(N118&lt;0.9, "ALERTA RETRASO", "ALERTA SOBRECOSTO")))</f>
        <v/>
      </c>
    </row>
    <row r="119" ht="19.95" customHeight="1">
      <c r="A119" s="4" t="n">
        <v>30</v>
      </c>
      <c r="B119" s="31" t="n">
        <v>46264</v>
      </c>
      <c r="C119" s="2" t="inlineStr">
        <is>
          <t>WBS-200</t>
        </is>
      </c>
      <c r="D119" s="3" t="inlineStr">
        <is>
          <t>Red de Alcantarillado, Zanjas y Buzones</t>
        </is>
      </c>
      <c r="E119" s="6">
        <f>SUM('01_PRESUPUESTO_CRONOGRAMA_BASE'!G4:G9)</f>
        <v/>
      </c>
      <c r="F119" s="6">
        <f>SUMIFS('02_CRONOGRAMA_PV_DIARIO'!E:E, '02_CRONOGRAMA_PV_DIARIO'!A:A, A119, '02_CRONOGRAMA_PV_DIARIO'!C:C, C119)</f>
        <v/>
      </c>
      <c r="G119" s="6">
        <f>SUMIFS(F$2:F119, C$2:C119, C119)</f>
        <v/>
      </c>
      <c r="H119" s="6">
        <f>IF(B119 &gt; MAX('04_LOG_FIELD_ENTRIES'!$B:$B), "", SUMIFS('04_LOG_FIELD_ENTRIES'!$J:$J, '04_LOG_FIELD_ENTRIES'!$B:$B, B119, '04_LOG_FIELD_ENTRIES'!$D:$D, C119, '04_LOG_FIELD_ENTRIES'!$K:$K, "EV_PRODUCCION"))</f>
        <v/>
      </c>
      <c r="I119" s="6">
        <f>IF(B119 &gt; MAX('04_LOG_FIELD_ENTRIES'!$B:$B), "", SUMIFS(H$2:H119, C$2:C119, C119))</f>
        <v/>
      </c>
      <c r="J119" s="6">
        <f>IF(B119 &gt; MAX('04_LOG_FIELD_ENTRIES'!$B:$B), "", SUMIFS('04_LOG_FIELD_ENTRIES'!$J:$J, '04_LOG_FIELD_ENTRIES'!$B:$B, B119, '04_LOG_FIELD_ENTRIES'!$D:$D, C119, '04_LOG_FIELD_ENTRIES'!$K:$K, "AC_*"))</f>
        <v/>
      </c>
      <c r="K119" s="6">
        <f>IF(B119 &gt; MAX('04_LOG_FIELD_ENTRIES'!$B:$B), "", SUMIFS(J$2:J119, C$2:C119, C119))</f>
        <v/>
      </c>
      <c r="L119" s="6">
        <f>IF(K119="", "", I119-K119)</f>
        <v/>
      </c>
      <c r="M119" s="6">
        <f>IF(I119="", "", I119-G119)</f>
        <v/>
      </c>
      <c r="N119" s="21">
        <f>IF(I119="", "", IF(G119&gt;0, I119/G119, 1))</f>
        <v/>
      </c>
      <c r="O119" s="21">
        <f>IF(I119="", "", IF(K119&gt;0, I119/K119, 1))</f>
        <v/>
      </c>
      <c r="P119" s="2">
        <f>IF(I119="", "", IF(AND(N119&gt;=0.95, O119&gt;=0.95), "SALUDABLE", IF(N119&lt;0.9, "ALERTA RETRASO", "ALERTA SOBRECOSTO")))</f>
        <v/>
      </c>
    </row>
    <row r="120" ht="19.95" customHeight="1">
      <c r="A120" s="4" t="n">
        <v>30</v>
      </c>
      <c r="B120" s="31" t="n">
        <v>46264</v>
      </c>
      <c r="C120" s="2" t="inlineStr">
        <is>
          <t>WBS-300</t>
        </is>
      </c>
      <c r="D120" s="3" t="inlineStr">
        <is>
          <t>Red de Agua Potable y Conexiones Domiciliarias</t>
        </is>
      </c>
      <c r="E120" s="6">
        <f>SUM('01_PRESUPUESTO_CRONOGRAMA_BASE'!G10:G11)</f>
        <v/>
      </c>
      <c r="F120" s="6">
        <f>SUMIFS('02_CRONOGRAMA_PV_DIARIO'!E:E, '02_CRONOGRAMA_PV_DIARIO'!A:A, A120, '02_CRONOGRAMA_PV_DIARIO'!C:C, C120)</f>
        <v/>
      </c>
      <c r="G120" s="6">
        <f>SUMIFS(F$2:F120, C$2:C120, C120)</f>
        <v/>
      </c>
      <c r="H120" s="6">
        <f>IF(B120 &gt; MAX('04_LOG_FIELD_ENTRIES'!$B:$B), "", SUMIFS('04_LOG_FIELD_ENTRIES'!$J:$J, '04_LOG_FIELD_ENTRIES'!$B:$B, B120, '04_LOG_FIELD_ENTRIES'!$D:$D, C120, '04_LOG_FIELD_ENTRIES'!$K:$K, "EV_PRODUCCION"))</f>
        <v/>
      </c>
      <c r="I120" s="6">
        <f>IF(B120 &gt; MAX('04_LOG_FIELD_ENTRIES'!$B:$B), "", SUMIFS(H$2:H120, C$2:C120, C120))</f>
        <v/>
      </c>
      <c r="J120" s="6">
        <f>IF(B120 &gt; MAX('04_LOG_FIELD_ENTRIES'!$B:$B), "", SUMIFS('04_LOG_FIELD_ENTRIES'!$J:$J, '04_LOG_FIELD_ENTRIES'!$B:$B, B120, '04_LOG_FIELD_ENTRIES'!$D:$D, C120, '04_LOG_FIELD_ENTRIES'!$K:$K, "AC_*"))</f>
        <v/>
      </c>
      <c r="K120" s="6">
        <f>IF(B120 &gt; MAX('04_LOG_FIELD_ENTRIES'!$B:$B), "", SUMIFS(J$2:J120, C$2:C120, C120))</f>
        <v/>
      </c>
      <c r="L120" s="6">
        <f>IF(K120="", "", I120-K120)</f>
        <v/>
      </c>
      <c r="M120" s="6">
        <f>IF(I120="", "", I120-G120)</f>
        <v/>
      </c>
      <c r="N120" s="21">
        <f>IF(I120="", "", IF(G120&gt;0, I120/G120, 1))</f>
        <v/>
      </c>
      <c r="O120" s="21">
        <f>IF(I120="", "", IF(K120&gt;0, I120/K120, 1))</f>
        <v/>
      </c>
      <c r="P120" s="2">
        <f>IF(I120="", "", IF(AND(N120&gt;=0.95, O120&gt;=0.95), "SALUDABLE", IF(N120&lt;0.9, "ALERTA RETRASO", "ALERTA SOBRECOSTO")))</f>
        <v/>
      </c>
    </row>
    <row r="121" ht="19.95" customHeight="1">
      <c r="A121" s="4" t="n">
        <v>30</v>
      </c>
      <c r="B121" s="31" t="n">
        <v>46264</v>
      </c>
      <c r="C121" s="2" t="inlineStr">
        <is>
          <t>WBS-400</t>
        </is>
      </c>
      <c r="D121" s="3" t="inlineStr">
        <is>
          <t>Pruebas Hidráulicas, Desinfección y Entrega</t>
        </is>
      </c>
      <c r="E121" s="6">
        <f>SUM('01_PRESUPUESTO_CRONOGRAMA_BASE'!G12:G12)</f>
        <v/>
      </c>
      <c r="F121" s="6">
        <f>SUMIFS('02_CRONOGRAMA_PV_DIARIO'!E:E, '02_CRONOGRAMA_PV_DIARIO'!A:A, A121, '02_CRONOGRAMA_PV_DIARIO'!C:C, C121)</f>
        <v/>
      </c>
      <c r="G121" s="6">
        <f>SUMIFS(F$2:F121, C$2:C121, C121)</f>
        <v/>
      </c>
      <c r="H121" s="6">
        <f>IF(B121 &gt; MAX('04_LOG_FIELD_ENTRIES'!$B:$B), "", SUMIFS('04_LOG_FIELD_ENTRIES'!$J:$J, '04_LOG_FIELD_ENTRIES'!$B:$B, B121, '04_LOG_FIELD_ENTRIES'!$D:$D, C121, '04_LOG_FIELD_ENTRIES'!$K:$K, "EV_PRODUCCION"))</f>
        <v/>
      </c>
      <c r="I121" s="6">
        <f>IF(B121 &gt; MAX('04_LOG_FIELD_ENTRIES'!$B:$B), "", SUMIFS(H$2:H121, C$2:C121, C121))</f>
        <v/>
      </c>
      <c r="J121" s="6">
        <f>IF(B121 &gt; MAX('04_LOG_FIELD_ENTRIES'!$B:$B), "", SUMIFS('04_LOG_FIELD_ENTRIES'!$J:$J, '04_LOG_FIELD_ENTRIES'!$B:$B, B121, '04_LOG_FIELD_ENTRIES'!$D:$D, C121, '04_LOG_FIELD_ENTRIES'!$K:$K, "AC_*"))</f>
        <v/>
      </c>
      <c r="K121" s="6">
        <f>IF(B121 &gt; MAX('04_LOG_FIELD_ENTRIES'!$B:$B), "", SUMIFS(J$2:J121, C$2:C121, C121))</f>
        <v/>
      </c>
      <c r="L121" s="6">
        <f>IF(K121="", "", I121-K121)</f>
        <v/>
      </c>
      <c r="M121" s="6">
        <f>IF(I121="", "", I121-G121)</f>
        <v/>
      </c>
      <c r="N121" s="21">
        <f>IF(I121="", "", IF(G121&gt;0, I121/G121, 1))</f>
        <v/>
      </c>
      <c r="O121" s="21">
        <f>IF(I121="", "", IF(K121&gt;0, I121/K121, 1))</f>
        <v/>
      </c>
      <c r="P121" s="2">
        <f>IF(I121="", "", IF(AND(N121&gt;=0.95, O121&gt;=0.95), "SALUDABLE", IF(N121&lt;0.9, "ALERTA RETRASO", "ALERTA SOBRECOSTO")))</f>
        <v/>
      </c>
    </row>
    <row r="122" ht="19.95" customHeight="1">
      <c r="A122" s="4" t="n">
        <v>31</v>
      </c>
      <c r="B122" s="31" t="n">
        <v>46265</v>
      </c>
      <c r="C122" s="2" t="inlineStr">
        <is>
          <t>WBS-100</t>
        </is>
      </c>
      <c r="D122" s="3" t="inlineStr">
        <is>
          <t>Obras Preliminares, Trazo y Movilización</t>
        </is>
      </c>
      <c r="E122" s="6">
        <f>SUM('01_PRESUPUESTO_CRONOGRAMA_BASE'!G2:G3)</f>
        <v/>
      </c>
      <c r="F122" s="6">
        <f>SUMIFS('02_CRONOGRAMA_PV_DIARIO'!E:E, '02_CRONOGRAMA_PV_DIARIO'!A:A, A122, '02_CRONOGRAMA_PV_DIARIO'!C:C, C122)</f>
        <v/>
      </c>
      <c r="G122" s="6">
        <f>SUMIFS(F$2:F122, C$2:C122, C122)</f>
        <v/>
      </c>
      <c r="H122" s="6">
        <f>IF(B122 &gt; MAX('04_LOG_FIELD_ENTRIES'!$B:$B), "", SUMIFS('04_LOG_FIELD_ENTRIES'!$J:$J, '04_LOG_FIELD_ENTRIES'!$B:$B, B122, '04_LOG_FIELD_ENTRIES'!$D:$D, C122, '04_LOG_FIELD_ENTRIES'!$K:$K, "EV_PRODUCCION"))</f>
        <v/>
      </c>
      <c r="I122" s="6">
        <f>IF(B122 &gt; MAX('04_LOG_FIELD_ENTRIES'!$B:$B), "", SUMIFS(H$2:H122, C$2:C122, C122))</f>
        <v/>
      </c>
      <c r="J122" s="6">
        <f>IF(B122 &gt; MAX('04_LOG_FIELD_ENTRIES'!$B:$B), "", SUMIFS('04_LOG_FIELD_ENTRIES'!$J:$J, '04_LOG_FIELD_ENTRIES'!$B:$B, B122, '04_LOG_FIELD_ENTRIES'!$D:$D, C122, '04_LOG_FIELD_ENTRIES'!$K:$K, "AC_*"))</f>
        <v/>
      </c>
      <c r="K122" s="6">
        <f>IF(B122 &gt; MAX('04_LOG_FIELD_ENTRIES'!$B:$B), "", SUMIFS(J$2:J122, C$2:C122, C122))</f>
        <v/>
      </c>
      <c r="L122" s="6">
        <f>IF(K122="", "", I122-K122)</f>
        <v/>
      </c>
      <c r="M122" s="6">
        <f>IF(I122="", "", I122-G122)</f>
        <v/>
      </c>
      <c r="N122" s="21">
        <f>IF(I122="", "", IF(G122&gt;0, I122/G122, 1))</f>
        <v/>
      </c>
      <c r="O122" s="21">
        <f>IF(I122="", "", IF(K122&gt;0, I122/K122, 1))</f>
        <v/>
      </c>
      <c r="P122" s="2">
        <f>IF(I122="", "", IF(AND(N122&gt;=0.95, O122&gt;=0.95), "SALUDABLE", IF(N122&lt;0.9, "ALERTA RETRASO", "ALERTA SOBRECOSTO")))</f>
        <v/>
      </c>
    </row>
    <row r="123" ht="19.95" customHeight="1">
      <c r="A123" s="4" t="n">
        <v>31</v>
      </c>
      <c r="B123" s="31" t="n">
        <v>46265</v>
      </c>
      <c r="C123" s="2" t="inlineStr">
        <is>
          <t>WBS-200</t>
        </is>
      </c>
      <c r="D123" s="3" t="inlineStr">
        <is>
          <t>Red de Alcantarillado, Zanjas y Buzones</t>
        </is>
      </c>
      <c r="E123" s="6">
        <f>SUM('01_PRESUPUESTO_CRONOGRAMA_BASE'!G4:G9)</f>
        <v/>
      </c>
      <c r="F123" s="6">
        <f>SUMIFS('02_CRONOGRAMA_PV_DIARIO'!E:E, '02_CRONOGRAMA_PV_DIARIO'!A:A, A123, '02_CRONOGRAMA_PV_DIARIO'!C:C, C123)</f>
        <v/>
      </c>
      <c r="G123" s="6">
        <f>SUMIFS(F$2:F123, C$2:C123, C123)</f>
        <v/>
      </c>
      <c r="H123" s="6">
        <f>IF(B123 &gt; MAX('04_LOG_FIELD_ENTRIES'!$B:$B), "", SUMIFS('04_LOG_FIELD_ENTRIES'!$J:$J, '04_LOG_FIELD_ENTRIES'!$B:$B, B123, '04_LOG_FIELD_ENTRIES'!$D:$D, C123, '04_LOG_FIELD_ENTRIES'!$K:$K, "EV_PRODUCCION"))</f>
        <v/>
      </c>
      <c r="I123" s="6">
        <f>IF(B123 &gt; MAX('04_LOG_FIELD_ENTRIES'!$B:$B), "", SUMIFS(H$2:H123, C$2:C123, C123))</f>
        <v/>
      </c>
      <c r="J123" s="6">
        <f>IF(B123 &gt; MAX('04_LOG_FIELD_ENTRIES'!$B:$B), "", SUMIFS('04_LOG_FIELD_ENTRIES'!$J:$J, '04_LOG_FIELD_ENTRIES'!$B:$B, B123, '04_LOG_FIELD_ENTRIES'!$D:$D, C123, '04_LOG_FIELD_ENTRIES'!$K:$K, "AC_*"))</f>
        <v/>
      </c>
      <c r="K123" s="6">
        <f>IF(B123 &gt; MAX('04_LOG_FIELD_ENTRIES'!$B:$B), "", SUMIFS(J$2:J123, C$2:C123, C123))</f>
        <v/>
      </c>
      <c r="L123" s="6">
        <f>IF(K123="", "", I123-K123)</f>
        <v/>
      </c>
      <c r="M123" s="6">
        <f>IF(I123="", "", I123-G123)</f>
        <v/>
      </c>
      <c r="N123" s="21">
        <f>IF(I123="", "", IF(G123&gt;0, I123/G123, 1))</f>
        <v/>
      </c>
      <c r="O123" s="21">
        <f>IF(I123="", "", IF(K123&gt;0, I123/K123, 1))</f>
        <v/>
      </c>
      <c r="P123" s="2">
        <f>IF(I123="", "", IF(AND(N123&gt;=0.95, O123&gt;=0.95), "SALUDABLE", IF(N123&lt;0.9, "ALERTA RETRASO", "ALERTA SOBRECOSTO")))</f>
        <v/>
      </c>
    </row>
    <row r="124" ht="19.95" customHeight="1">
      <c r="A124" s="4" t="n">
        <v>31</v>
      </c>
      <c r="B124" s="31" t="n">
        <v>46265</v>
      </c>
      <c r="C124" s="2" t="inlineStr">
        <is>
          <t>WBS-300</t>
        </is>
      </c>
      <c r="D124" s="3" t="inlineStr">
        <is>
          <t>Red de Agua Potable y Conexiones Domiciliarias</t>
        </is>
      </c>
      <c r="E124" s="6">
        <f>SUM('01_PRESUPUESTO_CRONOGRAMA_BASE'!G10:G11)</f>
        <v/>
      </c>
      <c r="F124" s="6">
        <f>SUMIFS('02_CRONOGRAMA_PV_DIARIO'!E:E, '02_CRONOGRAMA_PV_DIARIO'!A:A, A124, '02_CRONOGRAMA_PV_DIARIO'!C:C, C124)</f>
        <v/>
      </c>
      <c r="G124" s="6">
        <f>SUMIFS(F$2:F124, C$2:C124, C124)</f>
        <v/>
      </c>
      <c r="H124" s="6">
        <f>IF(B124 &gt; MAX('04_LOG_FIELD_ENTRIES'!$B:$B), "", SUMIFS('04_LOG_FIELD_ENTRIES'!$J:$J, '04_LOG_FIELD_ENTRIES'!$B:$B, B124, '04_LOG_FIELD_ENTRIES'!$D:$D, C124, '04_LOG_FIELD_ENTRIES'!$K:$K, "EV_PRODUCCION"))</f>
        <v/>
      </c>
      <c r="I124" s="6">
        <f>IF(B124 &gt; MAX('04_LOG_FIELD_ENTRIES'!$B:$B), "", SUMIFS(H$2:H124, C$2:C124, C124))</f>
        <v/>
      </c>
      <c r="J124" s="6">
        <f>IF(B124 &gt; MAX('04_LOG_FIELD_ENTRIES'!$B:$B), "", SUMIFS('04_LOG_FIELD_ENTRIES'!$J:$J, '04_LOG_FIELD_ENTRIES'!$B:$B, B124, '04_LOG_FIELD_ENTRIES'!$D:$D, C124, '04_LOG_FIELD_ENTRIES'!$K:$K, "AC_*"))</f>
        <v/>
      </c>
      <c r="K124" s="6">
        <f>IF(B124 &gt; MAX('04_LOG_FIELD_ENTRIES'!$B:$B), "", SUMIFS(J$2:J124, C$2:C124, C124))</f>
        <v/>
      </c>
      <c r="L124" s="6">
        <f>IF(K124="", "", I124-K124)</f>
        <v/>
      </c>
      <c r="M124" s="6">
        <f>IF(I124="", "", I124-G124)</f>
        <v/>
      </c>
      <c r="N124" s="21">
        <f>IF(I124="", "", IF(G124&gt;0, I124/G124, 1))</f>
        <v/>
      </c>
      <c r="O124" s="21">
        <f>IF(I124="", "", IF(K124&gt;0, I124/K124, 1))</f>
        <v/>
      </c>
      <c r="P124" s="2">
        <f>IF(I124="", "", IF(AND(N124&gt;=0.95, O124&gt;=0.95), "SALUDABLE", IF(N124&lt;0.9, "ALERTA RETRASO", "ALERTA SOBRECOSTO")))</f>
        <v/>
      </c>
    </row>
    <row r="125" ht="19.95" customHeight="1">
      <c r="A125" s="4" t="n">
        <v>31</v>
      </c>
      <c r="B125" s="31" t="n">
        <v>46265</v>
      </c>
      <c r="C125" s="2" t="inlineStr">
        <is>
          <t>WBS-400</t>
        </is>
      </c>
      <c r="D125" s="3" t="inlineStr">
        <is>
          <t>Pruebas Hidráulicas, Desinfección y Entrega</t>
        </is>
      </c>
      <c r="E125" s="6">
        <f>SUM('01_PRESUPUESTO_CRONOGRAMA_BASE'!G12:G12)</f>
        <v/>
      </c>
      <c r="F125" s="6">
        <f>SUMIFS('02_CRONOGRAMA_PV_DIARIO'!E:E, '02_CRONOGRAMA_PV_DIARIO'!A:A, A125, '02_CRONOGRAMA_PV_DIARIO'!C:C, C125)</f>
        <v/>
      </c>
      <c r="G125" s="6">
        <f>SUMIFS(F$2:F125, C$2:C125, C125)</f>
        <v/>
      </c>
      <c r="H125" s="6">
        <f>IF(B125 &gt; MAX('04_LOG_FIELD_ENTRIES'!$B:$B), "", SUMIFS('04_LOG_FIELD_ENTRIES'!$J:$J, '04_LOG_FIELD_ENTRIES'!$B:$B, B125, '04_LOG_FIELD_ENTRIES'!$D:$D, C125, '04_LOG_FIELD_ENTRIES'!$K:$K, "EV_PRODUCCION"))</f>
        <v/>
      </c>
      <c r="I125" s="6">
        <f>IF(B125 &gt; MAX('04_LOG_FIELD_ENTRIES'!$B:$B), "", SUMIFS(H$2:H125, C$2:C125, C125))</f>
        <v/>
      </c>
      <c r="J125" s="6">
        <f>IF(B125 &gt; MAX('04_LOG_FIELD_ENTRIES'!$B:$B), "", SUMIFS('04_LOG_FIELD_ENTRIES'!$J:$J, '04_LOG_FIELD_ENTRIES'!$B:$B, B125, '04_LOG_FIELD_ENTRIES'!$D:$D, C125, '04_LOG_FIELD_ENTRIES'!$K:$K, "AC_*"))</f>
        <v/>
      </c>
      <c r="K125" s="6">
        <f>IF(B125 &gt; MAX('04_LOG_FIELD_ENTRIES'!$B:$B), "", SUMIFS(J$2:J125, C$2:C125, C125))</f>
        <v/>
      </c>
      <c r="L125" s="6">
        <f>IF(K125="", "", I125-K125)</f>
        <v/>
      </c>
      <c r="M125" s="6">
        <f>IF(I125="", "", I125-G125)</f>
        <v/>
      </c>
      <c r="N125" s="21">
        <f>IF(I125="", "", IF(G125&gt;0, I125/G125, 1))</f>
        <v/>
      </c>
      <c r="O125" s="21">
        <f>IF(I125="", "", IF(K125&gt;0, I125/K125, 1))</f>
        <v/>
      </c>
      <c r="P125" s="2">
        <f>IF(I125="", "", IF(AND(N125&gt;=0.95, O125&gt;=0.95), "SALUDABLE", IF(N125&lt;0.9, "ALERTA RETRASO", "ALERTA SOBRECOSTO")))</f>
        <v/>
      </c>
    </row>
    <row r="126" ht="19.95" customHeight="1">
      <c r="A126" s="4" t="n">
        <v>32</v>
      </c>
      <c r="B126" s="31" t="n">
        <v>46266</v>
      </c>
      <c r="C126" s="2" t="inlineStr">
        <is>
          <t>WBS-100</t>
        </is>
      </c>
      <c r="D126" s="3" t="inlineStr">
        <is>
          <t>Obras Preliminares, Trazo y Movilización</t>
        </is>
      </c>
      <c r="E126" s="6">
        <f>SUM('01_PRESUPUESTO_CRONOGRAMA_BASE'!G2:G3)</f>
        <v/>
      </c>
      <c r="F126" s="6">
        <f>SUMIFS('02_CRONOGRAMA_PV_DIARIO'!E:E, '02_CRONOGRAMA_PV_DIARIO'!A:A, A126, '02_CRONOGRAMA_PV_DIARIO'!C:C, C126)</f>
        <v/>
      </c>
      <c r="G126" s="6">
        <f>SUMIFS(F$2:F126, C$2:C126, C126)</f>
        <v/>
      </c>
      <c r="H126" s="6">
        <f>IF(B126 &gt; MAX('04_LOG_FIELD_ENTRIES'!$B:$B), "", SUMIFS('04_LOG_FIELD_ENTRIES'!$J:$J, '04_LOG_FIELD_ENTRIES'!$B:$B, B126, '04_LOG_FIELD_ENTRIES'!$D:$D, C126, '04_LOG_FIELD_ENTRIES'!$K:$K, "EV_PRODUCCION"))</f>
        <v/>
      </c>
      <c r="I126" s="6">
        <f>IF(B126 &gt; MAX('04_LOG_FIELD_ENTRIES'!$B:$B), "", SUMIFS(H$2:H126, C$2:C126, C126))</f>
        <v/>
      </c>
      <c r="J126" s="6">
        <f>IF(B126 &gt; MAX('04_LOG_FIELD_ENTRIES'!$B:$B), "", SUMIFS('04_LOG_FIELD_ENTRIES'!$J:$J, '04_LOG_FIELD_ENTRIES'!$B:$B, B126, '04_LOG_FIELD_ENTRIES'!$D:$D, C126, '04_LOG_FIELD_ENTRIES'!$K:$K, "AC_*"))</f>
        <v/>
      </c>
      <c r="K126" s="6">
        <f>IF(B126 &gt; MAX('04_LOG_FIELD_ENTRIES'!$B:$B), "", SUMIFS(J$2:J126, C$2:C126, C126))</f>
        <v/>
      </c>
      <c r="L126" s="6">
        <f>IF(K126="", "", I126-K126)</f>
        <v/>
      </c>
      <c r="M126" s="6">
        <f>IF(I126="", "", I126-G126)</f>
        <v/>
      </c>
      <c r="N126" s="21">
        <f>IF(I126="", "", IF(G126&gt;0, I126/G126, 1))</f>
        <v/>
      </c>
      <c r="O126" s="21">
        <f>IF(I126="", "", IF(K126&gt;0, I126/K126, 1))</f>
        <v/>
      </c>
      <c r="P126" s="2">
        <f>IF(I126="", "", IF(AND(N126&gt;=0.95, O126&gt;=0.95), "SALUDABLE", IF(N126&lt;0.9, "ALERTA RETRASO", "ALERTA SOBRECOSTO")))</f>
        <v/>
      </c>
    </row>
    <row r="127" ht="19.95" customHeight="1">
      <c r="A127" s="4" t="n">
        <v>32</v>
      </c>
      <c r="B127" s="31" t="n">
        <v>46266</v>
      </c>
      <c r="C127" s="2" t="inlineStr">
        <is>
          <t>WBS-200</t>
        </is>
      </c>
      <c r="D127" s="3" t="inlineStr">
        <is>
          <t>Red de Alcantarillado, Zanjas y Buzones</t>
        </is>
      </c>
      <c r="E127" s="6">
        <f>SUM('01_PRESUPUESTO_CRONOGRAMA_BASE'!G4:G9)</f>
        <v/>
      </c>
      <c r="F127" s="6">
        <f>SUMIFS('02_CRONOGRAMA_PV_DIARIO'!E:E, '02_CRONOGRAMA_PV_DIARIO'!A:A, A127, '02_CRONOGRAMA_PV_DIARIO'!C:C, C127)</f>
        <v/>
      </c>
      <c r="G127" s="6">
        <f>SUMIFS(F$2:F127, C$2:C127, C127)</f>
        <v/>
      </c>
      <c r="H127" s="6">
        <f>IF(B127 &gt; MAX('04_LOG_FIELD_ENTRIES'!$B:$B), "", SUMIFS('04_LOG_FIELD_ENTRIES'!$J:$J, '04_LOG_FIELD_ENTRIES'!$B:$B, B127, '04_LOG_FIELD_ENTRIES'!$D:$D, C127, '04_LOG_FIELD_ENTRIES'!$K:$K, "EV_PRODUCCION"))</f>
        <v/>
      </c>
      <c r="I127" s="6">
        <f>IF(B127 &gt; MAX('04_LOG_FIELD_ENTRIES'!$B:$B), "", SUMIFS(H$2:H127, C$2:C127, C127))</f>
        <v/>
      </c>
      <c r="J127" s="6">
        <f>IF(B127 &gt; MAX('04_LOG_FIELD_ENTRIES'!$B:$B), "", SUMIFS('04_LOG_FIELD_ENTRIES'!$J:$J, '04_LOG_FIELD_ENTRIES'!$B:$B, B127, '04_LOG_FIELD_ENTRIES'!$D:$D, C127, '04_LOG_FIELD_ENTRIES'!$K:$K, "AC_*"))</f>
        <v/>
      </c>
      <c r="K127" s="6">
        <f>IF(B127 &gt; MAX('04_LOG_FIELD_ENTRIES'!$B:$B), "", SUMIFS(J$2:J127, C$2:C127, C127))</f>
        <v/>
      </c>
      <c r="L127" s="6">
        <f>IF(K127="", "", I127-K127)</f>
        <v/>
      </c>
      <c r="M127" s="6">
        <f>IF(I127="", "", I127-G127)</f>
        <v/>
      </c>
      <c r="N127" s="21">
        <f>IF(I127="", "", IF(G127&gt;0, I127/G127, 1))</f>
        <v/>
      </c>
      <c r="O127" s="21">
        <f>IF(I127="", "", IF(K127&gt;0, I127/K127, 1))</f>
        <v/>
      </c>
      <c r="P127" s="2">
        <f>IF(I127="", "", IF(AND(N127&gt;=0.95, O127&gt;=0.95), "SALUDABLE", IF(N127&lt;0.9, "ALERTA RETRASO", "ALERTA SOBRECOSTO")))</f>
        <v/>
      </c>
    </row>
    <row r="128" ht="19.95" customHeight="1">
      <c r="A128" s="4" t="n">
        <v>32</v>
      </c>
      <c r="B128" s="31" t="n">
        <v>46266</v>
      </c>
      <c r="C128" s="2" t="inlineStr">
        <is>
          <t>WBS-300</t>
        </is>
      </c>
      <c r="D128" s="3" t="inlineStr">
        <is>
          <t>Red de Agua Potable y Conexiones Domiciliarias</t>
        </is>
      </c>
      <c r="E128" s="6">
        <f>SUM('01_PRESUPUESTO_CRONOGRAMA_BASE'!G10:G11)</f>
        <v/>
      </c>
      <c r="F128" s="6">
        <f>SUMIFS('02_CRONOGRAMA_PV_DIARIO'!E:E, '02_CRONOGRAMA_PV_DIARIO'!A:A, A128, '02_CRONOGRAMA_PV_DIARIO'!C:C, C128)</f>
        <v/>
      </c>
      <c r="G128" s="6">
        <f>SUMIFS(F$2:F128, C$2:C128, C128)</f>
        <v/>
      </c>
      <c r="H128" s="6">
        <f>IF(B128 &gt; MAX('04_LOG_FIELD_ENTRIES'!$B:$B), "", SUMIFS('04_LOG_FIELD_ENTRIES'!$J:$J, '04_LOG_FIELD_ENTRIES'!$B:$B, B128, '04_LOG_FIELD_ENTRIES'!$D:$D, C128, '04_LOG_FIELD_ENTRIES'!$K:$K, "EV_PRODUCCION"))</f>
        <v/>
      </c>
      <c r="I128" s="6">
        <f>IF(B128 &gt; MAX('04_LOG_FIELD_ENTRIES'!$B:$B), "", SUMIFS(H$2:H128, C$2:C128, C128))</f>
        <v/>
      </c>
      <c r="J128" s="6">
        <f>IF(B128 &gt; MAX('04_LOG_FIELD_ENTRIES'!$B:$B), "", SUMIFS('04_LOG_FIELD_ENTRIES'!$J:$J, '04_LOG_FIELD_ENTRIES'!$B:$B, B128, '04_LOG_FIELD_ENTRIES'!$D:$D, C128, '04_LOG_FIELD_ENTRIES'!$K:$K, "AC_*"))</f>
        <v/>
      </c>
      <c r="K128" s="6">
        <f>IF(B128 &gt; MAX('04_LOG_FIELD_ENTRIES'!$B:$B), "", SUMIFS(J$2:J128, C$2:C128, C128))</f>
        <v/>
      </c>
      <c r="L128" s="6">
        <f>IF(K128="", "", I128-K128)</f>
        <v/>
      </c>
      <c r="M128" s="6">
        <f>IF(I128="", "", I128-G128)</f>
        <v/>
      </c>
      <c r="N128" s="21">
        <f>IF(I128="", "", IF(G128&gt;0, I128/G128, 1))</f>
        <v/>
      </c>
      <c r="O128" s="21">
        <f>IF(I128="", "", IF(K128&gt;0, I128/K128, 1))</f>
        <v/>
      </c>
      <c r="P128" s="2">
        <f>IF(I128="", "", IF(AND(N128&gt;=0.95, O128&gt;=0.95), "SALUDABLE", IF(N128&lt;0.9, "ALERTA RETRASO", "ALERTA SOBRECOSTO")))</f>
        <v/>
      </c>
    </row>
    <row r="129" ht="19.95" customHeight="1">
      <c r="A129" s="4" t="n">
        <v>32</v>
      </c>
      <c r="B129" s="31" t="n">
        <v>46266</v>
      </c>
      <c r="C129" s="2" t="inlineStr">
        <is>
          <t>WBS-400</t>
        </is>
      </c>
      <c r="D129" s="3" t="inlineStr">
        <is>
          <t>Pruebas Hidráulicas, Desinfección y Entrega</t>
        </is>
      </c>
      <c r="E129" s="6">
        <f>SUM('01_PRESUPUESTO_CRONOGRAMA_BASE'!G12:G12)</f>
        <v/>
      </c>
      <c r="F129" s="6">
        <f>SUMIFS('02_CRONOGRAMA_PV_DIARIO'!E:E, '02_CRONOGRAMA_PV_DIARIO'!A:A, A129, '02_CRONOGRAMA_PV_DIARIO'!C:C, C129)</f>
        <v/>
      </c>
      <c r="G129" s="6">
        <f>SUMIFS(F$2:F129, C$2:C129, C129)</f>
        <v/>
      </c>
      <c r="H129" s="6">
        <f>IF(B129 &gt; MAX('04_LOG_FIELD_ENTRIES'!$B:$B), "", SUMIFS('04_LOG_FIELD_ENTRIES'!$J:$J, '04_LOG_FIELD_ENTRIES'!$B:$B, B129, '04_LOG_FIELD_ENTRIES'!$D:$D, C129, '04_LOG_FIELD_ENTRIES'!$K:$K, "EV_PRODUCCION"))</f>
        <v/>
      </c>
      <c r="I129" s="6">
        <f>IF(B129 &gt; MAX('04_LOG_FIELD_ENTRIES'!$B:$B), "", SUMIFS(H$2:H129, C$2:C129, C129))</f>
        <v/>
      </c>
      <c r="J129" s="6">
        <f>IF(B129 &gt; MAX('04_LOG_FIELD_ENTRIES'!$B:$B), "", SUMIFS('04_LOG_FIELD_ENTRIES'!$J:$J, '04_LOG_FIELD_ENTRIES'!$B:$B, B129, '04_LOG_FIELD_ENTRIES'!$D:$D, C129, '04_LOG_FIELD_ENTRIES'!$K:$K, "AC_*"))</f>
        <v/>
      </c>
      <c r="K129" s="6">
        <f>IF(B129 &gt; MAX('04_LOG_FIELD_ENTRIES'!$B:$B), "", SUMIFS(J$2:J129, C$2:C129, C129))</f>
        <v/>
      </c>
      <c r="L129" s="6">
        <f>IF(K129="", "", I129-K129)</f>
        <v/>
      </c>
      <c r="M129" s="6">
        <f>IF(I129="", "", I129-G129)</f>
        <v/>
      </c>
      <c r="N129" s="21">
        <f>IF(I129="", "", IF(G129&gt;0, I129/G129, 1))</f>
        <v/>
      </c>
      <c r="O129" s="21">
        <f>IF(I129="", "", IF(K129&gt;0, I129/K129, 1))</f>
        <v/>
      </c>
      <c r="P129" s="2">
        <f>IF(I129="", "", IF(AND(N129&gt;=0.95, O129&gt;=0.95), "SALUDABLE", IF(N129&lt;0.9, "ALERTA RETRASO", "ALERTA SOBRECOSTO")))</f>
        <v/>
      </c>
    </row>
    <row r="130" ht="19.95" customHeight="1">
      <c r="A130" s="4" t="n">
        <v>33</v>
      </c>
      <c r="B130" s="31" t="n">
        <v>46267</v>
      </c>
      <c r="C130" s="2" t="inlineStr">
        <is>
          <t>WBS-100</t>
        </is>
      </c>
      <c r="D130" s="3" t="inlineStr">
        <is>
          <t>Obras Preliminares, Trazo y Movilización</t>
        </is>
      </c>
      <c r="E130" s="6">
        <f>SUM('01_PRESUPUESTO_CRONOGRAMA_BASE'!G2:G3)</f>
        <v/>
      </c>
      <c r="F130" s="6">
        <f>SUMIFS('02_CRONOGRAMA_PV_DIARIO'!E:E, '02_CRONOGRAMA_PV_DIARIO'!A:A, A130, '02_CRONOGRAMA_PV_DIARIO'!C:C, C130)</f>
        <v/>
      </c>
      <c r="G130" s="6">
        <f>SUMIFS(F$2:F130, C$2:C130, C130)</f>
        <v/>
      </c>
      <c r="H130" s="6">
        <f>IF(B130 &gt; MAX('04_LOG_FIELD_ENTRIES'!$B:$B), "", SUMIFS('04_LOG_FIELD_ENTRIES'!$J:$J, '04_LOG_FIELD_ENTRIES'!$B:$B, B130, '04_LOG_FIELD_ENTRIES'!$D:$D, C130, '04_LOG_FIELD_ENTRIES'!$K:$K, "EV_PRODUCCION"))</f>
        <v/>
      </c>
      <c r="I130" s="6">
        <f>IF(B130 &gt; MAX('04_LOG_FIELD_ENTRIES'!$B:$B), "", SUMIFS(H$2:H130, C$2:C130, C130))</f>
        <v/>
      </c>
      <c r="J130" s="6">
        <f>IF(B130 &gt; MAX('04_LOG_FIELD_ENTRIES'!$B:$B), "", SUMIFS('04_LOG_FIELD_ENTRIES'!$J:$J, '04_LOG_FIELD_ENTRIES'!$B:$B, B130, '04_LOG_FIELD_ENTRIES'!$D:$D, C130, '04_LOG_FIELD_ENTRIES'!$K:$K, "AC_*"))</f>
        <v/>
      </c>
      <c r="K130" s="6">
        <f>IF(B130 &gt; MAX('04_LOG_FIELD_ENTRIES'!$B:$B), "", SUMIFS(J$2:J130, C$2:C130, C130))</f>
        <v/>
      </c>
      <c r="L130" s="6">
        <f>IF(K130="", "", I130-K130)</f>
        <v/>
      </c>
      <c r="M130" s="6">
        <f>IF(I130="", "", I130-G130)</f>
        <v/>
      </c>
      <c r="N130" s="21">
        <f>IF(I130="", "", IF(G130&gt;0, I130/G130, 1))</f>
        <v/>
      </c>
      <c r="O130" s="21">
        <f>IF(I130="", "", IF(K130&gt;0, I130/K130, 1))</f>
        <v/>
      </c>
      <c r="P130" s="2">
        <f>IF(I130="", "", IF(AND(N130&gt;=0.95, O130&gt;=0.95), "SALUDABLE", IF(N130&lt;0.9, "ALERTA RETRASO", "ALERTA SOBRECOSTO")))</f>
        <v/>
      </c>
    </row>
    <row r="131" ht="19.95" customHeight="1">
      <c r="A131" s="4" t="n">
        <v>33</v>
      </c>
      <c r="B131" s="31" t="n">
        <v>46267</v>
      </c>
      <c r="C131" s="2" t="inlineStr">
        <is>
          <t>WBS-200</t>
        </is>
      </c>
      <c r="D131" s="3" t="inlineStr">
        <is>
          <t>Red de Alcantarillado, Zanjas y Buzones</t>
        </is>
      </c>
      <c r="E131" s="6">
        <f>SUM('01_PRESUPUESTO_CRONOGRAMA_BASE'!G4:G9)</f>
        <v/>
      </c>
      <c r="F131" s="6">
        <f>SUMIFS('02_CRONOGRAMA_PV_DIARIO'!E:E, '02_CRONOGRAMA_PV_DIARIO'!A:A, A131, '02_CRONOGRAMA_PV_DIARIO'!C:C, C131)</f>
        <v/>
      </c>
      <c r="G131" s="6">
        <f>SUMIFS(F$2:F131, C$2:C131, C131)</f>
        <v/>
      </c>
      <c r="H131" s="6">
        <f>IF(B131 &gt; MAX('04_LOG_FIELD_ENTRIES'!$B:$B), "", SUMIFS('04_LOG_FIELD_ENTRIES'!$J:$J, '04_LOG_FIELD_ENTRIES'!$B:$B, B131, '04_LOG_FIELD_ENTRIES'!$D:$D, C131, '04_LOG_FIELD_ENTRIES'!$K:$K, "EV_PRODUCCION"))</f>
        <v/>
      </c>
      <c r="I131" s="6">
        <f>IF(B131 &gt; MAX('04_LOG_FIELD_ENTRIES'!$B:$B), "", SUMIFS(H$2:H131, C$2:C131, C131))</f>
        <v/>
      </c>
      <c r="J131" s="6">
        <f>IF(B131 &gt; MAX('04_LOG_FIELD_ENTRIES'!$B:$B), "", SUMIFS('04_LOG_FIELD_ENTRIES'!$J:$J, '04_LOG_FIELD_ENTRIES'!$B:$B, B131, '04_LOG_FIELD_ENTRIES'!$D:$D, C131, '04_LOG_FIELD_ENTRIES'!$K:$K, "AC_*"))</f>
        <v/>
      </c>
      <c r="K131" s="6">
        <f>IF(B131 &gt; MAX('04_LOG_FIELD_ENTRIES'!$B:$B), "", SUMIFS(J$2:J131, C$2:C131, C131))</f>
        <v/>
      </c>
      <c r="L131" s="6">
        <f>IF(K131="", "", I131-K131)</f>
        <v/>
      </c>
      <c r="M131" s="6">
        <f>IF(I131="", "", I131-G131)</f>
        <v/>
      </c>
      <c r="N131" s="21">
        <f>IF(I131="", "", IF(G131&gt;0, I131/G131, 1))</f>
        <v/>
      </c>
      <c r="O131" s="21">
        <f>IF(I131="", "", IF(K131&gt;0, I131/K131, 1))</f>
        <v/>
      </c>
      <c r="P131" s="2">
        <f>IF(I131="", "", IF(AND(N131&gt;=0.95, O131&gt;=0.95), "SALUDABLE", IF(N131&lt;0.9, "ALERTA RETRASO", "ALERTA SOBRECOSTO")))</f>
        <v/>
      </c>
    </row>
    <row r="132" ht="19.95" customHeight="1">
      <c r="A132" s="4" t="n">
        <v>33</v>
      </c>
      <c r="B132" s="31" t="n">
        <v>46267</v>
      </c>
      <c r="C132" s="2" t="inlineStr">
        <is>
          <t>WBS-300</t>
        </is>
      </c>
      <c r="D132" s="3" t="inlineStr">
        <is>
          <t>Red de Agua Potable y Conexiones Domiciliarias</t>
        </is>
      </c>
      <c r="E132" s="6">
        <f>SUM('01_PRESUPUESTO_CRONOGRAMA_BASE'!G10:G11)</f>
        <v/>
      </c>
      <c r="F132" s="6">
        <f>SUMIFS('02_CRONOGRAMA_PV_DIARIO'!E:E, '02_CRONOGRAMA_PV_DIARIO'!A:A, A132, '02_CRONOGRAMA_PV_DIARIO'!C:C, C132)</f>
        <v/>
      </c>
      <c r="G132" s="6">
        <f>SUMIFS(F$2:F132, C$2:C132, C132)</f>
        <v/>
      </c>
      <c r="H132" s="6">
        <f>IF(B132 &gt; MAX('04_LOG_FIELD_ENTRIES'!$B:$B), "", SUMIFS('04_LOG_FIELD_ENTRIES'!$J:$J, '04_LOG_FIELD_ENTRIES'!$B:$B, B132, '04_LOG_FIELD_ENTRIES'!$D:$D, C132, '04_LOG_FIELD_ENTRIES'!$K:$K, "EV_PRODUCCION"))</f>
        <v/>
      </c>
      <c r="I132" s="6">
        <f>IF(B132 &gt; MAX('04_LOG_FIELD_ENTRIES'!$B:$B), "", SUMIFS(H$2:H132, C$2:C132, C132))</f>
        <v/>
      </c>
      <c r="J132" s="6">
        <f>IF(B132 &gt; MAX('04_LOG_FIELD_ENTRIES'!$B:$B), "", SUMIFS('04_LOG_FIELD_ENTRIES'!$J:$J, '04_LOG_FIELD_ENTRIES'!$B:$B, B132, '04_LOG_FIELD_ENTRIES'!$D:$D, C132, '04_LOG_FIELD_ENTRIES'!$K:$K, "AC_*"))</f>
        <v/>
      </c>
      <c r="K132" s="6">
        <f>IF(B132 &gt; MAX('04_LOG_FIELD_ENTRIES'!$B:$B), "", SUMIFS(J$2:J132, C$2:C132, C132))</f>
        <v/>
      </c>
      <c r="L132" s="6">
        <f>IF(K132="", "", I132-K132)</f>
        <v/>
      </c>
      <c r="M132" s="6">
        <f>IF(I132="", "", I132-G132)</f>
        <v/>
      </c>
      <c r="N132" s="21">
        <f>IF(I132="", "", IF(G132&gt;0, I132/G132, 1))</f>
        <v/>
      </c>
      <c r="O132" s="21">
        <f>IF(I132="", "", IF(K132&gt;0, I132/K132, 1))</f>
        <v/>
      </c>
      <c r="P132" s="2">
        <f>IF(I132="", "", IF(AND(N132&gt;=0.95, O132&gt;=0.95), "SALUDABLE", IF(N132&lt;0.9, "ALERTA RETRASO", "ALERTA SOBRECOSTO")))</f>
        <v/>
      </c>
    </row>
    <row r="133" ht="19.95" customHeight="1">
      <c r="A133" s="4" t="n">
        <v>33</v>
      </c>
      <c r="B133" s="31" t="n">
        <v>46267</v>
      </c>
      <c r="C133" s="2" t="inlineStr">
        <is>
          <t>WBS-400</t>
        </is>
      </c>
      <c r="D133" s="3" t="inlineStr">
        <is>
          <t>Pruebas Hidráulicas, Desinfección y Entrega</t>
        </is>
      </c>
      <c r="E133" s="6">
        <f>SUM('01_PRESUPUESTO_CRONOGRAMA_BASE'!G12:G12)</f>
        <v/>
      </c>
      <c r="F133" s="6">
        <f>SUMIFS('02_CRONOGRAMA_PV_DIARIO'!E:E, '02_CRONOGRAMA_PV_DIARIO'!A:A, A133, '02_CRONOGRAMA_PV_DIARIO'!C:C, C133)</f>
        <v/>
      </c>
      <c r="G133" s="6">
        <f>SUMIFS(F$2:F133, C$2:C133, C133)</f>
        <v/>
      </c>
      <c r="H133" s="6">
        <f>IF(B133 &gt; MAX('04_LOG_FIELD_ENTRIES'!$B:$B), "", SUMIFS('04_LOG_FIELD_ENTRIES'!$J:$J, '04_LOG_FIELD_ENTRIES'!$B:$B, B133, '04_LOG_FIELD_ENTRIES'!$D:$D, C133, '04_LOG_FIELD_ENTRIES'!$K:$K, "EV_PRODUCCION"))</f>
        <v/>
      </c>
      <c r="I133" s="6">
        <f>IF(B133 &gt; MAX('04_LOG_FIELD_ENTRIES'!$B:$B), "", SUMIFS(H$2:H133, C$2:C133, C133))</f>
        <v/>
      </c>
      <c r="J133" s="6">
        <f>IF(B133 &gt; MAX('04_LOG_FIELD_ENTRIES'!$B:$B), "", SUMIFS('04_LOG_FIELD_ENTRIES'!$J:$J, '04_LOG_FIELD_ENTRIES'!$B:$B, B133, '04_LOG_FIELD_ENTRIES'!$D:$D, C133, '04_LOG_FIELD_ENTRIES'!$K:$K, "AC_*"))</f>
        <v/>
      </c>
      <c r="K133" s="6">
        <f>IF(B133 &gt; MAX('04_LOG_FIELD_ENTRIES'!$B:$B), "", SUMIFS(J$2:J133, C$2:C133, C133))</f>
        <v/>
      </c>
      <c r="L133" s="6">
        <f>IF(K133="", "", I133-K133)</f>
        <v/>
      </c>
      <c r="M133" s="6">
        <f>IF(I133="", "", I133-G133)</f>
        <v/>
      </c>
      <c r="N133" s="21">
        <f>IF(I133="", "", IF(G133&gt;0, I133/G133, 1))</f>
        <v/>
      </c>
      <c r="O133" s="21">
        <f>IF(I133="", "", IF(K133&gt;0, I133/K133, 1))</f>
        <v/>
      </c>
      <c r="P133" s="2">
        <f>IF(I133="", "", IF(AND(N133&gt;=0.95, O133&gt;=0.95), "SALUDABLE", IF(N133&lt;0.9, "ALERTA RETRASO", "ALERTA SOBRECOSTO")))</f>
        <v/>
      </c>
    </row>
    <row r="134" ht="19.95" customHeight="1">
      <c r="A134" s="4" t="n">
        <v>34</v>
      </c>
      <c r="B134" s="31" t="n">
        <v>46268</v>
      </c>
      <c r="C134" s="2" t="inlineStr">
        <is>
          <t>WBS-100</t>
        </is>
      </c>
      <c r="D134" s="3" t="inlineStr">
        <is>
          <t>Obras Preliminares, Trazo y Movilización</t>
        </is>
      </c>
      <c r="E134" s="6">
        <f>SUM('01_PRESUPUESTO_CRONOGRAMA_BASE'!G2:G3)</f>
        <v/>
      </c>
      <c r="F134" s="6">
        <f>SUMIFS('02_CRONOGRAMA_PV_DIARIO'!E:E, '02_CRONOGRAMA_PV_DIARIO'!A:A, A134, '02_CRONOGRAMA_PV_DIARIO'!C:C, C134)</f>
        <v/>
      </c>
      <c r="G134" s="6">
        <f>SUMIFS(F$2:F134, C$2:C134, C134)</f>
        <v/>
      </c>
      <c r="H134" s="6">
        <f>IF(B134 &gt; MAX('04_LOG_FIELD_ENTRIES'!$B:$B), "", SUMIFS('04_LOG_FIELD_ENTRIES'!$J:$J, '04_LOG_FIELD_ENTRIES'!$B:$B, B134, '04_LOG_FIELD_ENTRIES'!$D:$D, C134, '04_LOG_FIELD_ENTRIES'!$K:$K, "EV_PRODUCCION"))</f>
        <v/>
      </c>
      <c r="I134" s="6">
        <f>IF(B134 &gt; MAX('04_LOG_FIELD_ENTRIES'!$B:$B), "", SUMIFS(H$2:H134, C$2:C134, C134))</f>
        <v/>
      </c>
      <c r="J134" s="6">
        <f>IF(B134 &gt; MAX('04_LOG_FIELD_ENTRIES'!$B:$B), "", SUMIFS('04_LOG_FIELD_ENTRIES'!$J:$J, '04_LOG_FIELD_ENTRIES'!$B:$B, B134, '04_LOG_FIELD_ENTRIES'!$D:$D, C134, '04_LOG_FIELD_ENTRIES'!$K:$K, "AC_*"))</f>
        <v/>
      </c>
      <c r="K134" s="6">
        <f>IF(B134 &gt; MAX('04_LOG_FIELD_ENTRIES'!$B:$B), "", SUMIFS(J$2:J134, C$2:C134, C134))</f>
        <v/>
      </c>
      <c r="L134" s="6">
        <f>IF(K134="", "", I134-K134)</f>
        <v/>
      </c>
      <c r="M134" s="6">
        <f>IF(I134="", "", I134-G134)</f>
        <v/>
      </c>
      <c r="N134" s="21">
        <f>IF(I134="", "", IF(G134&gt;0, I134/G134, 1))</f>
        <v/>
      </c>
      <c r="O134" s="21">
        <f>IF(I134="", "", IF(K134&gt;0, I134/K134, 1))</f>
        <v/>
      </c>
      <c r="P134" s="2">
        <f>IF(I134="", "", IF(AND(N134&gt;=0.95, O134&gt;=0.95), "SALUDABLE", IF(N134&lt;0.9, "ALERTA RETRASO", "ALERTA SOBRECOSTO")))</f>
        <v/>
      </c>
    </row>
    <row r="135" ht="19.95" customHeight="1">
      <c r="A135" s="4" t="n">
        <v>34</v>
      </c>
      <c r="B135" s="31" t="n">
        <v>46268</v>
      </c>
      <c r="C135" s="2" t="inlineStr">
        <is>
          <t>WBS-200</t>
        </is>
      </c>
      <c r="D135" s="3" t="inlineStr">
        <is>
          <t>Red de Alcantarillado, Zanjas y Buzones</t>
        </is>
      </c>
      <c r="E135" s="6">
        <f>SUM('01_PRESUPUESTO_CRONOGRAMA_BASE'!G4:G9)</f>
        <v/>
      </c>
      <c r="F135" s="6">
        <f>SUMIFS('02_CRONOGRAMA_PV_DIARIO'!E:E, '02_CRONOGRAMA_PV_DIARIO'!A:A, A135, '02_CRONOGRAMA_PV_DIARIO'!C:C, C135)</f>
        <v/>
      </c>
      <c r="G135" s="6">
        <f>SUMIFS(F$2:F135, C$2:C135, C135)</f>
        <v/>
      </c>
      <c r="H135" s="6">
        <f>IF(B135 &gt; MAX('04_LOG_FIELD_ENTRIES'!$B:$B), "", SUMIFS('04_LOG_FIELD_ENTRIES'!$J:$J, '04_LOG_FIELD_ENTRIES'!$B:$B, B135, '04_LOG_FIELD_ENTRIES'!$D:$D, C135, '04_LOG_FIELD_ENTRIES'!$K:$K, "EV_PRODUCCION"))</f>
        <v/>
      </c>
      <c r="I135" s="6">
        <f>IF(B135 &gt; MAX('04_LOG_FIELD_ENTRIES'!$B:$B), "", SUMIFS(H$2:H135, C$2:C135, C135))</f>
        <v/>
      </c>
      <c r="J135" s="6">
        <f>IF(B135 &gt; MAX('04_LOG_FIELD_ENTRIES'!$B:$B), "", SUMIFS('04_LOG_FIELD_ENTRIES'!$J:$J, '04_LOG_FIELD_ENTRIES'!$B:$B, B135, '04_LOG_FIELD_ENTRIES'!$D:$D, C135, '04_LOG_FIELD_ENTRIES'!$K:$K, "AC_*"))</f>
        <v/>
      </c>
      <c r="K135" s="6">
        <f>IF(B135 &gt; MAX('04_LOG_FIELD_ENTRIES'!$B:$B), "", SUMIFS(J$2:J135, C$2:C135, C135))</f>
        <v/>
      </c>
      <c r="L135" s="6">
        <f>IF(K135="", "", I135-K135)</f>
        <v/>
      </c>
      <c r="M135" s="6">
        <f>IF(I135="", "", I135-G135)</f>
        <v/>
      </c>
      <c r="N135" s="21">
        <f>IF(I135="", "", IF(G135&gt;0, I135/G135, 1))</f>
        <v/>
      </c>
      <c r="O135" s="21">
        <f>IF(I135="", "", IF(K135&gt;0, I135/K135, 1))</f>
        <v/>
      </c>
      <c r="P135" s="2">
        <f>IF(I135="", "", IF(AND(N135&gt;=0.95, O135&gt;=0.95), "SALUDABLE", IF(N135&lt;0.9, "ALERTA RETRASO", "ALERTA SOBRECOSTO")))</f>
        <v/>
      </c>
    </row>
    <row r="136" ht="19.95" customHeight="1">
      <c r="A136" s="4" t="n">
        <v>34</v>
      </c>
      <c r="B136" s="31" t="n">
        <v>46268</v>
      </c>
      <c r="C136" s="2" t="inlineStr">
        <is>
          <t>WBS-300</t>
        </is>
      </c>
      <c r="D136" s="3" t="inlineStr">
        <is>
          <t>Red de Agua Potable y Conexiones Domiciliarias</t>
        </is>
      </c>
      <c r="E136" s="6">
        <f>SUM('01_PRESUPUESTO_CRONOGRAMA_BASE'!G10:G11)</f>
        <v/>
      </c>
      <c r="F136" s="6">
        <f>SUMIFS('02_CRONOGRAMA_PV_DIARIO'!E:E, '02_CRONOGRAMA_PV_DIARIO'!A:A, A136, '02_CRONOGRAMA_PV_DIARIO'!C:C, C136)</f>
        <v/>
      </c>
      <c r="G136" s="6">
        <f>SUMIFS(F$2:F136, C$2:C136, C136)</f>
        <v/>
      </c>
      <c r="H136" s="6">
        <f>IF(B136 &gt; MAX('04_LOG_FIELD_ENTRIES'!$B:$B), "", SUMIFS('04_LOG_FIELD_ENTRIES'!$J:$J, '04_LOG_FIELD_ENTRIES'!$B:$B, B136, '04_LOG_FIELD_ENTRIES'!$D:$D, C136, '04_LOG_FIELD_ENTRIES'!$K:$K, "EV_PRODUCCION"))</f>
        <v/>
      </c>
      <c r="I136" s="6">
        <f>IF(B136 &gt; MAX('04_LOG_FIELD_ENTRIES'!$B:$B), "", SUMIFS(H$2:H136, C$2:C136, C136))</f>
        <v/>
      </c>
      <c r="J136" s="6">
        <f>IF(B136 &gt; MAX('04_LOG_FIELD_ENTRIES'!$B:$B), "", SUMIFS('04_LOG_FIELD_ENTRIES'!$J:$J, '04_LOG_FIELD_ENTRIES'!$B:$B, B136, '04_LOG_FIELD_ENTRIES'!$D:$D, C136, '04_LOG_FIELD_ENTRIES'!$K:$K, "AC_*"))</f>
        <v/>
      </c>
      <c r="K136" s="6">
        <f>IF(B136 &gt; MAX('04_LOG_FIELD_ENTRIES'!$B:$B), "", SUMIFS(J$2:J136, C$2:C136, C136))</f>
        <v/>
      </c>
      <c r="L136" s="6">
        <f>IF(K136="", "", I136-K136)</f>
        <v/>
      </c>
      <c r="M136" s="6">
        <f>IF(I136="", "", I136-G136)</f>
        <v/>
      </c>
      <c r="N136" s="21">
        <f>IF(I136="", "", IF(G136&gt;0, I136/G136, 1))</f>
        <v/>
      </c>
      <c r="O136" s="21">
        <f>IF(I136="", "", IF(K136&gt;0, I136/K136, 1))</f>
        <v/>
      </c>
      <c r="P136" s="2">
        <f>IF(I136="", "", IF(AND(N136&gt;=0.95, O136&gt;=0.95), "SALUDABLE", IF(N136&lt;0.9, "ALERTA RETRASO", "ALERTA SOBRECOSTO")))</f>
        <v/>
      </c>
    </row>
    <row r="137" ht="19.95" customHeight="1">
      <c r="A137" s="4" t="n">
        <v>34</v>
      </c>
      <c r="B137" s="31" t="n">
        <v>46268</v>
      </c>
      <c r="C137" s="2" t="inlineStr">
        <is>
          <t>WBS-400</t>
        </is>
      </c>
      <c r="D137" s="3" t="inlineStr">
        <is>
          <t>Pruebas Hidráulicas, Desinfección y Entrega</t>
        </is>
      </c>
      <c r="E137" s="6">
        <f>SUM('01_PRESUPUESTO_CRONOGRAMA_BASE'!G12:G12)</f>
        <v/>
      </c>
      <c r="F137" s="6">
        <f>SUMIFS('02_CRONOGRAMA_PV_DIARIO'!E:E, '02_CRONOGRAMA_PV_DIARIO'!A:A, A137, '02_CRONOGRAMA_PV_DIARIO'!C:C, C137)</f>
        <v/>
      </c>
      <c r="G137" s="6">
        <f>SUMIFS(F$2:F137, C$2:C137, C137)</f>
        <v/>
      </c>
      <c r="H137" s="6">
        <f>IF(B137 &gt; MAX('04_LOG_FIELD_ENTRIES'!$B:$B), "", SUMIFS('04_LOG_FIELD_ENTRIES'!$J:$J, '04_LOG_FIELD_ENTRIES'!$B:$B, B137, '04_LOG_FIELD_ENTRIES'!$D:$D, C137, '04_LOG_FIELD_ENTRIES'!$K:$K, "EV_PRODUCCION"))</f>
        <v/>
      </c>
      <c r="I137" s="6">
        <f>IF(B137 &gt; MAX('04_LOG_FIELD_ENTRIES'!$B:$B), "", SUMIFS(H$2:H137, C$2:C137, C137))</f>
        <v/>
      </c>
      <c r="J137" s="6">
        <f>IF(B137 &gt; MAX('04_LOG_FIELD_ENTRIES'!$B:$B), "", SUMIFS('04_LOG_FIELD_ENTRIES'!$J:$J, '04_LOG_FIELD_ENTRIES'!$B:$B, B137, '04_LOG_FIELD_ENTRIES'!$D:$D, C137, '04_LOG_FIELD_ENTRIES'!$K:$K, "AC_*"))</f>
        <v/>
      </c>
      <c r="K137" s="6">
        <f>IF(B137 &gt; MAX('04_LOG_FIELD_ENTRIES'!$B:$B), "", SUMIFS(J$2:J137, C$2:C137, C137))</f>
        <v/>
      </c>
      <c r="L137" s="6">
        <f>IF(K137="", "", I137-K137)</f>
        <v/>
      </c>
      <c r="M137" s="6">
        <f>IF(I137="", "", I137-G137)</f>
        <v/>
      </c>
      <c r="N137" s="21">
        <f>IF(I137="", "", IF(G137&gt;0, I137/G137, 1))</f>
        <v/>
      </c>
      <c r="O137" s="21">
        <f>IF(I137="", "", IF(K137&gt;0, I137/K137, 1))</f>
        <v/>
      </c>
      <c r="P137" s="2">
        <f>IF(I137="", "", IF(AND(N137&gt;=0.95, O137&gt;=0.95), "SALUDABLE", IF(N137&lt;0.9, "ALERTA RETRASO", "ALERTA SOBRECOSTO")))</f>
        <v/>
      </c>
    </row>
    <row r="138" ht="19.95" customHeight="1">
      <c r="A138" s="4" t="n">
        <v>35</v>
      </c>
      <c r="B138" s="31" t="n">
        <v>46269</v>
      </c>
      <c r="C138" s="2" t="inlineStr">
        <is>
          <t>WBS-100</t>
        </is>
      </c>
      <c r="D138" s="3" t="inlineStr">
        <is>
          <t>Obras Preliminares, Trazo y Movilización</t>
        </is>
      </c>
      <c r="E138" s="6">
        <f>SUM('01_PRESUPUESTO_CRONOGRAMA_BASE'!G2:G3)</f>
        <v/>
      </c>
      <c r="F138" s="6">
        <f>SUMIFS('02_CRONOGRAMA_PV_DIARIO'!E:E, '02_CRONOGRAMA_PV_DIARIO'!A:A, A138, '02_CRONOGRAMA_PV_DIARIO'!C:C, C138)</f>
        <v/>
      </c>
      <c r="G138" s="6">
        <f>SUMIFS(F$2:F138, C$2:C138, C138)</f>
        <v/>
      </c>
      <c r="H138" s="6">
        <f>IF(B138 &gt; MAX('04_LOG_FIELD_ENTRIES'!$B:$B), "", SUMIFS('04_LOG_FIELD_ENTRIES'!$J:$J, '04_LOG_FIELD_ENTRIES'!$B:$B, B138, '04_LOG_FIELD_ENTRIES'!$D:$D, C138, '04_LOG_FIELD_ENTRIES'!$K:$K, "EV_PRODUCCION"))</f>
        <v/>
      </c>
      <c r="I138" s="6">
        <f>IF(B138 &gt; MAX('04_LOG_FIELD_ENTRIES'!$B:$B), "", SUMIFS(H$2:H138, C$2:C138, C138))</f>
        <v/>
      </c>
      <c r="J138" s="6">
        <f>IF(B138 &gt; MAX('04_LOG_FIELD_ENTRIES'!$B:$B), "", SUMIFS('04_LOG_FIELD_ENTRIES'!$J:$J, '04_LOG_FIELD_ENTRIES'!$B:$B, B138, '04_LOG_FIELD_ENTRIES'!$D:$D, C138, '04_LOG_FIELD_ENTRIES'!$K:$K, "AC_*"))</f>
        <v/>
      </c>
      <c r="K138" s="6">
        <f>IF(B138 &gt; MAX('04_LOG_FIELD_ENTRIES'!$B:$B), "", SUMIFS(J$2:J138, C$2:C138, C138))</f>
        <v/>
      </c>
      <c r="L138" s="6">
        <f>IF(K138="", "", I138-K138)</f>
        <v/>
      </c>
      <c r="M138" s="6">
        <f>IF(I138="", "", I138-G138)</f>
        <v/>
      </c>
      <c r="N138" s="21">
        <f>IF(I138="", "", IF(G138&gt;0, I138/G138, 1))</f>
        <v/>
      </c>
      <c r="O138" s="21">
        <f>IF(I138="", "", IF(K138&gt;0, I138/K138, 1))</f>
        <v/>
      </c>
      <c r="P138" s="2">
        <f>IF(I138="", "", IF(AND(N138&gt;=0.95, O138&gt;=0.95), "SALUDABLE", IF(N138&lt;0.9, "ALERTA RETRASO", "ALERTA SOBRECOSTO")))</f>
        <v/>
      </c>
    </row>
    <row r="139" ht="19.95" customHeight="1">
      <c r="A139" s="4" t="n">
        <v>35</v>
      </c>
      <c r="B139" s="31" t="n">
        <v>46269</v>
      </c>
      <c r="C139" s="2" t="inlineStr">
        <is>
          <t>WBS-200</t>
        </is>
      </c>
      <c r="D139" s="3" t="inlineStr">
        <is>
          <t>Red de Alcantarillado, Zanjas y Buzones</t>
        </is>
      </c>
      <c r="E139" s="6">
        <f>SUM('01_PRESUPUESTO_CRONOGRAMA_BASE'!G4:G9)</f>
        <v/>
      </c>
      <c r="F139" s="6">
        <f>SUMIFS('02_CRONOGRAMA_PV_DIARIO'!E:E, '02_CRONOGRAMA_PV_DIARIO'!A:A, A139, '02_CRONOGRAMA_PV_DIARIO'!C:C, C139)</f>
        <v/>
      </c>
      <c r="G139" s="6">
        <f>SUMIFS(F$2:F139, C$2:C139, C139)</f>
        <v/>
      </c>
      <c r="H139" s="6">
        <f>IF(B139 &gt; MAX('04_LOG_FIELD_ENTRIES'!$B:$B), "", SUMIFS('04_LOG_FIELD_ENTRIES'!$J:$J, '04_LOG_FIELD_ENTRIES'!$B:$B, B139, '04_LOG_FIELD_ENTRIES'!$D:$D, C139, '04_LOG_FIELD_ENTRIES'!$K:$K, "EV_PRODUCCION"))</f>
        <v/>
      </c>
      <c r="I139" s="6">
        <f>IF(B139 &gt; MAX('04_LOG_FIELD_ENTRIES'!$B:$B), "", SUMIFS(H$2:H139, C$2:C139, C139))</f>
        <v/>
      </c>
      <c r="J139" s="6">
        <f>IF(B139 &gt; MAX('04_LOG_FIELD_ENTRIES'!$B:$B), "", SUMIFS('04_LOG_FIELD_ENTRIES'!$J:$J, '04_LOG_FIELD_ENTRIES'!$B:$B, B139, '04_LOG_FIELD_ENTRIES'!$D:$D, C139, '04_LOG_FIELD_ENTRIES'!$K:$K, "AC_*"))</f>
        <v/>
      </c>
      <c r="K139" s="6">
        <f>IF(B139 &gt; MAX('04_LOG_FIELD_ENTRIES'!$B:$B), "", SUMIFS(J$2:J139, C$2:C139, C139))</f>
        <v/>
      </c>
      <c r="L139" s="6">
        <f>IF(K139="", "", I139-K139)</f>
        <v/>
      </c>
      <c r="M139" s="6">
        <f>IF(I139="", "", I139-G139)</f>
        <v/>
      </c>
      <c r="N139" s="21">
        <f>IF(I139="", "", IF(G139&gt;0, I139/G139, 1))</f>
        <v/>
      </c>
      <c r="O139" s="21">
        <f>IF(I139="", "", IF(K139&gt;0, I139/K139, 1))</f>
        <v/>
      </c>
      <c r="P139" s="2">
        <f>IF(I139="", "", IF(AND(N139&gt;=0.95, O139&gt;=0.95), "SALUDABLE", IF(N139&lt;0.9, "ALERTA RETRASO", "ALERTA SOBRECOSTO")))</f>
        <v/>
      </c>
    </row>
    <row r="140" ht="19.95" customHeight="1">
      <c r="A140" s="4" t="n">
        <v>35</v>
      </c>
      <c r="B140" s="31" t="n">
        <v>46269</v>
      </c>
      <c r="C140" s="2" t="inlineStr">
        <is>
          <t>WBS-300</t>
        </is>
      </c>
      <c r="D140" s="3" t="inlineStr">
        <is>
          <t>Red de Agua Potable y Conexiones Domiciliarias</t>
        </is>
      </c>
      <c r="E140" s="6">
        <f>SUM('01_PRESUPUESTO_CRONOGRAMA_BASE'!G10:G11)</f>
        <v/>
      </c>
      <c r="F140" s="6">
        <f>SUMIFS('02_CRONOGRAMA_PV_DIARIO'!E:E, '02_CRONOGRAMA_PV_DIARIO'!A:A, A140, '02_CRONOGRAMA_PV_DIARIO'!C:C, C140)</f>
        <v/>
      </c>
      <c r="G140" s="6">
        <f>SUMIFS(F$2:F140, C$2:C140, C140)</f>
        <v/>
      </c>
      <c r="H140" s="6">
        <f>IF(B140 &gt; MAX('04_LOG_FIELD_ENTRIES'!$B:$B), "", SUMIFS('04_LOG_FIELD_ENTRIES'!$J:$J, '04_LOG_FIELD_ENTRIES'!$B:$B, B140, '04_LOG_FIELD_ENTRIES'!$D:$D, C140, '04_LOG_FIELD_ENTRIES'!$K:$K, "EV_PRODUCCION"))</f>
        <v/>
      </c>
      <c r="I140" s="6">
        <f>IF(B140 &gt; MAX('04_LOG_FIELD_ENTRIES'!$B:$B), "", SUMIFS(H$2:H140, C$2:C140, C140))</f>
        <v/>
      </c>
      <c r="J140" s="6">
        <f>IF(B140 &gt; MAX('04_LOG_FIELD_ENTRIES'!$B:$B), "", SUMIFS('04_LOG_FIELD_ENTRIES'!$J:$J, '04_LOG_FIELD_ENTRIES'!$B:$B, B140, '04_LOG_FIELD_ENTRIES'!$D:$D, C140, '04_LOG_FIELD_ENTRIES'!$K:$K, "AC_*"))</f>
        <v/>
      </c>
      <c r="K140" s="6">
        <f>IF(B140 &gt; MAX('04_LOG_FIELD_ENTRIES'!$B:$B), "", SUMIFS(J$2:J140, C$2:C140, C140))</f>
        <v/>
      </c>
      <c r="L140" s="6">
        <f>IF(K140="", "", I140-K140)</f>
        <v/>
      </c>
      <c r="M140" s="6">
        <f>IF(I140="", "", I140-G140)</f>
        <v/>
      </c>
      <c r="N140" s="21">
        <f>IF(I140="", "", IF(G140&gt;0, I140/G140, 1))</f>
        <v/>
      </c>
      <c r="O140" s="21">
        <f>IF(I140="", "", IF(K140&gt;0, I140/K140, 1))</f>
        <v/>
      </c>
      <c r="P140" s="2">
        <f>IF(I140="", "", IF(AND(N140&gt;=0.95, O140&gt;=0.95), "SALUDABLE", IF(N140&lt;0.9, "ALERTA RETRASO", "ALERTA SOBRECOSTO")))</f>
        <v/>
      </c>
    </row>
    <row r="141" ht="19.95" customHeight="1">
      <c r="A141" s="4" t="n">
        <v>35</v>
      </c>
      <c r="B141" s="31" t="n">
        <v>46269</v>
      </c>
      <c r="C141" s="2" t="inlineStr">
        <is>
          <t>WBS-400</t>
        </is>
      </c>
      <c r="D141" s="3" t="inlineStr">
        <is>
          <t>Pruebas Hidráulicas, Desinfección y Entrega</t>
        </is>
      </c>
      <c r="E141" s="6">
        <f>SUM('01_PRESUPUESTO_CRONOGRAMA_BASE'!G12:G12)</f>
        <v/>
      </c>
      <c r="F141" s="6">
        <f>SUMIFS('02_CRONOGRAMA_PV_DIARIO'!E:E, '02_CRONOGRAMA_PV_DIARIO'!A:A, A141, '02_CRONOGRAMA_PV_DIARIO'!C:C, C141)</f>
        <v/>
      </c>
      <c r="G141" s="6">
        <f>SUMIFS(F$2:F141, C$2:C141, C141)</f>
        <v/>
      </c>
      <c r="H141" s="6">
        <f>IF(B141 &gt; MAX('04_LOG_FIELD_ENTRIES'!$B:$B), "", SUMIFS('04_LOG_FIELD_ENTRIES'!$J:$J, '04_LOG_FIELD_ENTRIES'!$B:$B, B141, '04_LOG_FIELD_ENTRIES'!$D:$D, C141, '04_LOG_FIELD_ENTRIES'!$K:$K, "EV_PRODUCCION"))</f>
        <v/>
      </c>
      <c r="I141" s="6">
        <f>IF(B141 &gt; MAX('04_LOG_FIELD_ENTRIES'!$B:$B), "", SUMIFS(H$2:H141, C$2:C141, C141))</f>
        <v/>
      </c>
      <c r="J141" s="6">
        <f>IF(B141 &gt; MAX('04_LOG_FIELD_ENTRIES'!$B:$B), "", SUMIFS('04_LOG_FIELD_ENTRIES'!$J:$J, '04_LOG_FIELD_ENTRIES'!$B:$B, B141, '04_LOG_FIELD_ENTRIES'!$D:$D, C141, '04_LOG_FIELD_ENTRIES'!$K:$K, "AC_*"))</f>
        <v/>
      </c>
      <c r="K141" s="6">
        <f>IF(B141 &gt; MAX('04_LOG_FIELD_ENTRIES'!$B:$B), "", SUMIFS(J$2:J141, C$2:C141, C141))</f>
        <v/>
      </c>
      <c r="L141" s="6">
        <f>IF(K141="", "", I141-K141)</f>
        <v/>
      </c>
      <c r="M141" s="6">
        <f>IF(I141="", "", I141-G141)</f>
        <v/>
      </c>
      <c r="N141" s="21">
        <f>IF(I141="", "", IF(G141&gt;0, I141/G141, 1))</f>
        <v/>
      </c>
      <c r="O141" s="21">
        <f>IF(I141="", "", IF(K141&gt;0, I141/K141, 1))</f>
        <v/>
      </c>
      <c r="P141" s="2">
        <f>IF(I141="", "", IF(AND(N141&gt;=0.95, O141&gt;=0.95), "SALUDABLE", IF(N141&lt;0.9, "ALERTA RETRASO", "ALERTA SOBRECOSTO")))</f>
        <v/>
      </c>
    </row>
    <row r="142" ht="19.95" customHeight="1">
      <c r="A142" s="4" t="n">
        <v>36</v>
      </c>
      <c r="B142" s="31" t="n">
        <v>46270</v>
      </c>
      <c r="C142" s="2" t="inlineStr">
        <is>
          <t>WBS-100</t>
        </is>
      </c>
      <c r="D142" s="3" t="inlineStr">
        <is>
          <t>Obras Preliminares, Trazo y Movilización</t>
        </is>
      </c>
      <c r="E142" s="6">
        <f>SUM('01_PRESUPUESTO_CRONOGRAMA_BASE'!G2:G3)</f>
        <v/>
      </c>
      <c r="F142" s="6">
        <f>SUMIFS('02_CRONOGRAMA_PV_DIARIO'!E:E, '02_CRONOGRAMA_PV_DIARIO'!A:A, A142, '02_CRONOGRAMA_PV_DIARIO'!C:C, C142)</f>
        <v/>
      </c>
      <c r="G142" s="6">
        <f>SUMIFS(F$2:F142, C$2:C142, C142)</f>
        <v/>
      </c>
      <c r="H142" s="6">
        <f>IF(B142 &gt; MAX('04_LOG_FIELD_ENTRIES'!$B:$B), "", SUMIFS('04_LOG_FIELD_ENTRIES'!$J:$J, '04_LOG_FIELD_ENTRIES'!$B:$B, B142, '04_LOG_FIELD_ENTRIES'!$D:$D, C142, '04_LOG_FIELD_ENTRIES'!$K:$K, "EV_PRODUCCION"))</f>
        <v/>
      </c>
      <c r="I142" s="6">
        <f>IF(B142 &gt; MAX('04_LOG_FIELD_ENTRIES'!$B:$B), "", SUMIFS(H$2:H142, C$2:C142, C142))</f>
        <v/>
      </c>
      <c r="J142" s="6">
        <f>IF(B142 &gt; MAX('04_LOG_FIELD_ENTRIES'!$B:$B), "", SUMIFS('04_LOG_FIELD_ENTRIES'!$J:$J, '04_LOG_FIELD_ENTRIES'!$B:$B, B142, '04_LOG_FIELD_ENTRIES'!$D:$D, C142, '04_LOG_FIELD_ENTRIES'!$K:$K, "AC_*"))</f>
        <v/>
      </c>
      <c r="K142" s="6">
        <f>IF(B142 &gt; MAX('04_LOG_FIELD_ENTRIES'!$B:$B), "", SUMIFS(J$2:J142, C$2:C142, C142))</f>
        <v/>
      </c>
      <c r="L142" s="6">
        <f>IF(K142="", "", I142-K142)</f>
        <v/>
      </c>
      <c r="M142" s="6">
        <f>IF(I142="", "", I142-G142)</f>
        <v/>
      </c>
      <c r="N142" s="21">
        <f>IF(I142="", "", IF(G142&gt;0, I142/G142, 1))</f>
        <v/>
      </c>
      <c r="O142" s="21">
        <f>IF(I142="", "", IF(K142&gt;0, I142/K142, 1))</f>
        <v/>
      </c>
      <c r="P142" s="2">
        <f>IF(I142="", "", IF(AND(N142&gt;=0.95, O142&gt;=0.95), "SALUDABLE", IF(N142&lt;0.9, "ALERTA RETRASO", "ALERTA SOBRECOSTO")))</f>
        <v/>
      </c>
    </row>
    <row r="143" ht="19.95" customHeight="1">
      <c r="A143" s="4" t="n">
        <v>36</v>
      </c>
      <c r="B143" s="31" t="n">
        <v>46270</v>
      </c>
      <c r="C143" s="2" t="inlineStr">
        <is>
          <t>WBS-200</t>
        </is>
      </c>
      <c r="D143" s="3" t="inlineStr">
        <is>
          <t>Red de Alcantarillado, Zanjas y Buzones</t>
        </is>
      </c>
      <c r="E143" s="6">
        <f>SUM('01_PRESUPUESTO_CRONOGRAMA_BASE'!G4:G9)</f>
        <v/>
      </c>
      <c r="F143" s="6">
        <f>SUMIFS('02_CRONOGRAMA_PV_DIARIO'!E:E, '02_CRONOGRAMA_PV_DIARIO'!A:A, A143, '02_CRONOGRAMA_PV_DIARIO'!C:C, C143)</f>
        <v/>
      </c>
      <c r="G143" s="6">
        <f>SUMIFS(F$2:F143, C$2:C143, C143)</f>
        <v/>
      </c>
      <c r="H143" s="6">
        <f>IF(B143 &gt; MAX('04_LOG_FIELD_ENTRIES'!$B:$B), "", SUMIFS('04_LOG_FIELD_ENTRIES'!$J:$J, '04_LOG_FIELD_ENTRIES'!$B:$B, B143, '04_LOG_FIELD_ENTRIES'!$D:$D, C143, '04_LOG_FIELD_ENTRIES'!$K:$K, "EV_PRODUCCION"))</f>
        <v/>
      </c>
      <c r="I143" s="6">
        <f>IF(B143 &gt; MAX('04_LOG_FIELD_ENTRIES'!$B:$B), "", SUMIFS(H$2:H143, C$2:C143, C143))</f>
        <v/>
      </c>
      <c r="J143" s="6">
        <f>IF(B143 &gt; MAX('04_LOG_FIELD_ENTRIES'!$B:$B), "", SUMIFS('04_LOG_FIELD_ENTRIES'!$J:$J, '04_LOG_FIELD_ENTRIES'!$B:$B, B143, '04_LOG_FIELD_ENTRIES'!$D:$D, C143, '04_LOG_FIELD_ENTRIES'!$K:$K, "AC_*"))</f>
        <v/>
      </c>
      <c r="K143" s="6">
        <f>IF(B143 &gt; MAX('04_LOG_FIELD_ENTRIES'!$B:$B), "", SUMIFS(J$2:J143, C$2:C143, C143))</f>
        <v/>
      </c>
      <c r="L143" s="6">
        <f>IF(K143="", "", I143-K143)</f>
        <v/>
      </c>
      <c r="M143" s="6">
        <f>IF(I143="", "", I143-G143)</f>
        <v/>
      </c>
      <c r="N143" s="21">
        <f>IF(I143="", "", IF(G143&gt;0, I143/G143, 1))</f>
        <v/>
      </c>
      <c r="O143" s="21">
        <f>IF(I143="", "", IF(K143&gt;0, I143/K143, 1))</f>
        <v/>
      </c>
      <c r="P143" s="2">
        <f>IF(I143="", "", IF(AND(N143&gt;=0.95, O143&gt;=0.95), "SALUDABLE", IF(N143&lt;0.9, "ALERTA RETRASO", "ALERTA SOBRECOSTO")))</f>
        <v/>
      </c>
    </row>
    <row r="144" ht="19.95" customHeight="1">
      <c r="A144" s="4" t="n">
        <v>36</v>
      </c>
      <c r="B144" s="31" t="n">
        <v>46270</v>
      </c>
      <c r="C144" s="2" t="inlineStr">
        <is>
          <t>WBS-300</t>
        </is>
      </c>
      <c r="D144" s="3" t="inlineStr">
        <is>
          <t>Red de Agua Potable y Conexiones Domiciliarias</t>
        </is>
      </c>
      <c r="E144" s="6">
        <f>SUM('01_PRESUPUESTO_CRONOGRAMA_BASE'!G10:G11)</f>
        <v/>
      </c>
      <c r="F144" s="6">
        <f>SUMIFS('02_CRONOGRAMA_PV_DIARIO'!E:E, '02_CRONOGRAMA_PV_DIARIO'!A:A, A144, '02_CRONOGRAMA_PV_DIARIO'!C:C, C144)</f>
        <v/>
      </c>
      <c r="G144" s="6">
        <f>SUMIFS(F$2:F144, C$2:C144, C144)</f>
        <v/>
      </c>
      <c r="H144" s="6">
        <f>IF(B144 &gt; MAX('04_LOG_FIELD_ENTRIES'!$B:$B), "", SUMIFS('04_LOG_FIELD_ENTRIES'!$J:$J, '04_LOG_FIELD_ENTRIES'!$B:$B, B144, '04_LOG_FIELD_ENTRIES'!$D:$D, C144, '04_LOG_FIELD_ENTRIES'!$K:$K, "EV_PRODUCCION"))</f>
        <v/>
      </c>
      <c r="I144" s="6">
        <f>IF(B144 &gt; MAX('04_LOG_FIELD_ENTRIES'!$B:$B), "", SUMIFS(H$2:H144, C$2:C144, C144))</f>
        <v/>
      </c>
      <c r="J144" s="6">
        <f>IF(B144 &gt; MAX('04_LOG_FIELD_ENTRIES'!$B:$B), "", SUMIFS('04_LOG_FIELD_ENTRIES'!$J:$J, '04_LOG_FIELD_ENTRIES'!$B:$B, B144, '04_LOG_FIELD_ENTRIES'!$D:$D, C144, '04_LOG_FIELD_ENTRIES'!$K:$K, "AC_*"))</f>
        <v/>
      </c>
      <c r="K144" s="6">
        <f>IF(B144 &gt; MAX('04_LOG_FIELD_ENTRIES'!$B:$B), "", SUMIFS(J$2:J144, C$2:C144, C144))</f>
        <v/>
      </c>
      <c r="L144" s="6">
        <f>IF(K144="", "", I144-K144)</f>
        <v/>
      </c>
      <c r="M144" s="6">
        <f>IF(I144="", "", I144-G144)</f>
        <v/>
      </c>
      <c r="N144" s="21">
        <f>IF(I144="", "", IF(G144&gt;0, I144/G144, 1))</f>
        <v/>
      </c>
      <c r="O144" s="21">
        <f>IF(I144="", "", IF(K144&gt;0, I144/K144, 1))</f>
        <v/>
      </c>
      <c r="P144" s="2">
        <f>IF(I144="", "", IF(AND(N144&gt;=0.95, O144&gt;=0.95), "SALUDABLE", IF(N144&lt;0.9, "ALERTA RETRASO", "ALERTA SOBRECOSTO")))</f>
        <v/>
      </c>
    </row>
    <row r="145" ht="19.95" customHeight="1">
      <c r="A145" s="4" t="n">
        <v>36</v>
      </c>
      <c r="B145" s="31" t="n">
        <v>46270</v>
      </c>
      <c r="C145" s="2" t="inlineStr">
        <is>
          <t>WBS-400</t>
        </is>
      </c>
      <c r="D145" s="3" t="inlineStr">
        <is>
          <t>Pruebas Hidráulicas, Desinfección y Entrega</t>
        </is>
      </c>
      <c r="E145" s="6">
        <f>SUM('01_PRESUPUESTO_CRONOGRAMA_BASE'!G12:G12)</f>
        <v/>
      </c>
      <c r="F145" s="6">
        <f>SUMIFS('02_CRONOGRAMA_PV_DIARIO'!E:E, '02_CRONOGRAMA_PV_DIARIO'!A:A, A145, '02_CRONOGRAMA_PV_DIARIO'!C:C, C145)</f>
        <v/>
      </c>
      <c r="G145" s="6">
        <f>SUMIFS(F$2:F145, C$2:C145, C145)</f>
        <v/>
      </c>
      <c r="H145" s="6">
        <f>IF(B145 &gt; MAX('04_LOG_FIELD_ENTRIES'!$B:$B), "", SUMIFS('04_LOG_FIELD_ENTRIES'!$J:$J, '04_LOG_FIELD_ENTRIES'!$B:$B, B145, '04_LOG_FIELD_ENTRIES'!$D:$D, C145, '04_LOG_FIELD_ENTRIES'!$K:$K, "EV_PRODUCCION"))</f>
        <v/>
      </c>
      <c r="I145" s="6">
        <f>IF(B145 &gt; MAX('04_LOG_FIELD_ENTRIES'!$B:$B), "", SUMIFS(H$2:H145, C$2:C145, C145))</f>
        <v/>
      </c>
      <c r="J145" s="6">
        <f>IF(B145 &gt; MAX('04_LOG_FIELD_ENTRIES'!$B:$B), "", SUMIFS('04_LOG_FIELD_ENTRIES'!$J:$J, '04_LOG_FIELD_ENTRIES'!$B:$B, B145, '04_LOG_FIELD_ENTRIES'!$D:$D, C145, '04_LOG_FIELD_ENTRIES'!$K:$K, "AC_*"))</f>
        <v/>
      </c>
      <c r="K145" s="6">
        <f>IF(B145 &gt; MAX('04_LOG_FIELD_ENTRIES'!$B:$B), "", SUMIFS(J$2:J145, C$2:C145, C145))</f>
        <v/>
      </c>
      <c r="L145" s="6">
        <f>IF(K145="", "", I145-K145)</f>
        <v/>
      </c>
      <c r="M145" s="6">
        <f>IF(I145="", "", I145-G145)</f>
        <v/>
      </c>
      <c r="N145" s="21">
        <f>IF(I145="", "", IF(G145&gt;0, I145/G145, 1))</f>
        <v/>
      </c>
      <c r="O145" s="21">
        <f>IF(I145="", "", IF(K145&gt;0, I145/K145, 1))</f>
        <v/>
      </c>
      <c r="P145" s="2">
        <f>IF(I145="", "", IF(AND(N145&gt;=0.95, O145&gt;=0.95), "SALUDABLE", IF(N145&lt;0.9, "ALERTA RETRASO", "ALERTA SOBRECOSTO")))</f>
        <v/>
      </c>
    </row>
    <row r="146" ht="19.95" customHeight="1">
      <c r="A146" s="4" t="n">
        <v>37</v>
      </c>
      <c r="B146" s="31" t="n">
        <v>46271</v>
      </c>
      <c r="C146" s="2" t="inlineStr">
        <is>
          <t>WBS-100</t>
        </is>
      </c>
      <c r="D146" s="3" t="inlineStr">
        <is>
          <t>Obras Preliminares, Trazo y Movilización</t>
        </is>
      </c>
      <c r="E146" s="6">
        <f>SUM('01_PRESUPUESTO_CRONOGRAMA_BASE'!G2:G3)</f>
        <v/>
      </c>
      <c r="F146" s="6">
        <f>SUMIFS('02_CRONOGRAMA_PV_DIARIO'!E:E, '02_CRONOGRAMA_PV_DIARIO'!A:A, A146, '02_CRONOGRAMA_PV_DIARIO'!C:C, C146)</f>
        <v/>
      </c>
      <c r="G146" s="6">
        <f>SUMIFS(F$2:F146, C$2:C146, C146)</f>
        <v/>
      </c>
      <c r="H146" s="6">
        <f>IF(B146 &gt; MAX('04_LOG_FIELD_ENTRIES'!$B:$B), "", SUMIFS('04_LOG_FIELD_ENTRIES'!$J:$J, '04_LOG_FIELD_ENTRIES'!$B:$B, B146, '04_LOG_FIELD_ENTRIES'!$D:$D, C146, '04_LOG_FIELD_ENTRIES'!$K:$K, "EV_PRODUCCION"))</f>
        <v/>
      </c>
      <c r="I146" s="6">
        <f>IF(B146 &gt; MAX('04_LOG_FIELD_ENTRIES'!$B:$B), "", SUMIFS(H$2:H146, C$2:C146, C146))</f>
        <v/>
      </c>
      <c r="J146" s="6">
        <f>IF(B146 &gt; MAX('04_LOG_FIELD_ENTRIES'!$B:$B), "", SUMIFS('04_LOG_FIELD_ENTRIES'!$J:$J, '04_LOG_FIELD_ENTRIES'!$B:$B, B146, '04_LOG_FIELD_ENTRIES'!$D:$D, C146, '04_LOG_FIELD_ENTRIES'!$K:$K, "AC_*"))</f>
        <v/>
      </c>
      <c r="K146" s="6">
        <f>IF(B146 &gt; MAX('04_LOG_FIELD_ENTRIES'!$B:$B), "", SUMIFS(J$2:J146, C$2:C146, C146))</f>
        <v/>
      </c>
      <c r="L146" s="6">
        <f>IF(K146="", "", I146-K146)</f>
        <v/>
      </c>
      <c r="M146" s="6">
        <f>IF(I146="", "", I146-G146)</f>
        <v/>
      </c>
      <c r="N146" s="21">
        <f>IF(I146="", "", IF(G146&gt;0, I146/G146, 1))</f>
        <v/>
      </c>
      <c r="O146" s="21">
        <f>IF(I146="", "", IF(K146&gt;0, I146/K146, 1))</f>
        <v/>
      </c>
      <c r="P146" s="2">
        <f>IF(I146="", "", IF(AND(N146&gt;=0.95, O146&gt;=0.95), "SALUDABLE", IF(N146&lt;0.9, "ALERTA RETRASO", "ALERTA SOBRECOSTO")))</f>
        <v/>
      </c>
    </row>
    <row r="147" ht="19.95" customHeight="1">
      <c r="A147" s="4" t="n">
        <v>37</v>
      </c>
      <c r="B147" s="31" t="n">
        <v>46271</v>
      </c>
      <c r="C147" s="2" t="inlineStr">
        <is>
          <t>WBS-200</t>
        </is>
      </c>
      <c r="D147" s="3" t="inlineStr">
        <is>
          <t>Red de Alcantarillado, Zanjas y Buzones</t>
        </is>
      </c>
      <c r="E147" s="6">
        <f>SUM('01_PRESUPUESTO_CRONOGRAMA_BASE'!G4:G9)</f>
        <v/>
      </c>
      <c r="F147" s="6">
        <f>SUMIFS('02_CRONOGRAMA_PV_DIARIO'!E:E, '02_CRONOGRAMA_PV_DIARIO'!A:A, A147, '02_CRONOGRAMA_PV_DIARIO'!C:C, C147)</f>
        <v/>
      </c>
      <c r="G147" s="6">
        <f>SUMIFS(F$2:F147, C$2:C147, C147)</f>
        <v/>
      </c>
      <c r="H147" s="6">
        <f>IF(B147 &gt; MAX('04_LOG_FIELD_ENTRIES'!$B:$B), "", SUMIFS('04_LOG_FIELD_ENTRIES'!$J:$J, '04_LOG_FIELD_ENTRIES'!$B:$B, B147, '04_LOG_FIELD_ENTRIES'!$D:$D, C147, '04_LOG_FIELD_ENTRIES'!$K:$K, "EV_PRODUCCION"))</f>
        <v/>
      </c>
      <c r="I147" s="6">
        <f>IF(B147 &gt; MAX('04_LOG_FIELD_ENTRIES'!$B:$B), "", SUMIFS(H$2:H147, C$2:C147, C147))</f>
        <v/>
      </c>
      <c r="J147" s="6">
        <f>IF(B147 &gt; MAX('04_LOG_FIELD_ENTRIES'!$B:$B), "", SUMIFS('04_LOG_FIELD_ENTRIES'!$J:$J, '04_LOG_FIELD_ENTRIES'!$B:$B, B147, '04_LOG_FIELD_ENTRIES'!$D:$D, C147, '04_LOG_FIELD_ENTRIES'!$K:$K, "AC_*"))</f>
        <v/>
      </c>
      <c r="K147" s="6">
        <f>IF(B147 &gt; MAX('04_LOG_FIELD_ENTRIES'!$B:$B), "", SUMIFS(J$2:J147, C$2:C147, C147))</f>
        <v/>
      </c>
      <c r="L147" s="6">
        <f>IF(K147="", "", I147-K147)</f>
        <v/>
      </c>
      <c r="M147" s="6">
        <f>IF(I147="", "", I147-G147)</f>
        <v/>
      </c>
      <c r="N147" s="21">
        <f>IF(I147="", "", IF(G147&gt;0, I147/G147, 1))</f>
        <v/>
      </c>
      <c r="O147" s="21">
        <f>IF(I147="", "", IF(K147&gt;0, I147/K147, 1))</f>
        <v/>
      </c>
      <c r="P147" s="2">
        <f>IF(I147="", "", IF(AND(N147&gt;=0.95, O147&gt;=0.95), "SALUDABLE", IF(N147&lt;0.9, "ALERTA RETRASO", "ALERTA SOBRECOSTO")))</f>
        <v/>
      </c>
    </row>
    <row r="148" ht="19.95" customHeight="1">
      <c r="A148" s="4" t="n">
        <v>37</v>
      </c>
      <c r="B148" s="31" t="n">
        <v>46271</v>
      </c>
      <c r="C148" s="2" t="inlineStr">
        <is>
          <t>WBS-300</t>
        </is>
      </c>
      <c r="D148" s="3" t="inlineStr">
        <is>
          <t>Red de Agua Potable y Conexiones Domiciliarias</t>
        </is>
      </c>
      <c r="E148" s="6">
        <f>SUM('01_PRESUPUESTO_CRONOGRAMA_BASE'!G10:G11)</f>
        <v/>
      </c>
      <c r="F148" s="6">
        <f>SUMIFS('02_CRONOGRAMA_PV_DIARIO'!E:E, '02_CRONOGRAMA_PV_DIARIO'!A:A, A148, '02_CRONOGRAMA_PV_DIARIO'!C:C, C148)</f>
        <v/>
      </c>
      <c r="G148" s="6">
        <f>SUMIFS(F$2:F148, C$2:C148, C148)</f>
        <v/>
      </c>
      <c r="H148" s="6">
        <f>IF(B148 &gt; MAX('04_LOG_FIELD_ENTRIES'!$B:$B), "", SUMIFS('04_LOG_FIELD_ENTRIES'!$J:$J, '04_LOG_FIELD_ENTRIES'!$B:$B, B148, '04_LOG_FIELD_ENTRIES'!$D:$D, C148, '04_LOG_FIELD_ENTRIES'!$K:$K, "EV_PRODUCCION"))</f>
        <v/>
      </c>
      <c r="I148" s="6">
        <f>IF(B148 &gt; MAX('04_LOG_FIELD_ENTRIES'!$B:$B), "", SUMIFS(H$2:H148, C$2:C148, C148))</f>
        <v/>
      </c>
      <c r="J148" s="6">
        <f>IF(B148 &gt; MAX('04_LOG_FIELD_ENTRIES'!$B:$B), "", SUMIFS('04_LOG_FIELD_ENTRIES'!$J:$J, '04_LOG_FIELD_ENTRIES'!$B:$B, B148, '04_LOG_FIELD_ENTRIES'!$D:$D, C148, '04_LOG_FIELD_ENTRIES'!$K:$K, "AC_*"))</f>
        <v/>
      </c>
      <c r="K148" s="6">
        <f>IF(B148 &gt; MAX('04_LOG_FIELD_ENTRIES'!$B:$B), "", SUMIFS(J$2:J148, C$2:C148, C148))</f>
        <v/>
      </c>
      <c r="L148" s="6">
        <f>IF(K148="", "", I148-K148)</f>
        <v/>
      </c>
      <c r="M148" s="6">
        <f>IF(I148="", "", I148-G148)</f>
        <v/>
      </c>
      <c r="N148" s="21">
        <f>IF(I148="", "", IF(G148&gt;0, I148/G148, 1))</f>
        <v/>
      </c>
      <c r="O148" s="21">
        <f>IF(I148="", "", IF(K148&gt;0, I148/K148, 1))</f>
        <v/>
      </c>
      <c r="P148" s="2">
        <f>IF(I148="", "", IF(AND(N148&gt;=0.95, O148&gt;=0.95), "SALUDABLE", IF(N148&lt;0.9, "ALERTA RETRASO", "ALERTA SOBRECOSTO")))</f>
        <v/>
      </c>
    </row>
    <row r="149" ht="19.95" customHeight="1">
      <c r="A149" s="4" t="n">
        <v>37</v>
      </c>
      <c r="B149" s="31" t="n">
        <v>46271</v>
      </c>
      <c r="C149" s="2" t="inlineStr">
        <is>
          <t>WBS-400</t>
        </is>
      </c>
      <c r="D149" s="3" t="inlineStr">
        <is>
          <t>Pruebas Hidráulicas, Desinfección y Entrega</t>
        </is>
      </c>
      <c r="E149" s="6">
        <f>SUM('01_PRESUPUESTO_CRONOGRAMA_BASE'!G12:G12)</f>
        <v/>
      </c>
      <c r="F149" s="6">
        <f>SUMIFS('02_CRONOGRAMA_PV_DIARIO'!E:E, '02_CRONOGRAMA_PV_DIARIO'!A:A, A149, '02_CRONOGRAMA_PV_DIARIO'!C:C, C149)</f>
        <v/>
      </c>
      <c r="G149" s="6">
        <f>SUMIFS(F$2:F149, C$2:C149, C149)</f>
        <v/>
      </c>
      <c r="H149" s="6">
        <f>IF(B149 &gt; MAX('04_LOG_FIELD_ENTRIES'!$B:$B), "", SUMIFS('04_LOG_FIELD_ENTRIES'!$J:$J, '04_LOG_FIELD_ENTRIES'!$B:$B, B149, '04_LOG_FIELD_ENTRIES'!$D:$D, C149, '04_LOG_FIELD_ENTRIES'!$K:$K, "EV_PRODUCCION"))</f>
        <v/>
      </c>
      <c r="I149" s="6">
        <f>IF(B149 &gt; MAX('04_LOG_FIELD_ENTRIES'!$B:$B), "", SUMIFS(H$2:H149, C$2:C149, C149))</f>
        <v/>
      </c>
      <c r="J149" s="6">
        <f>IF(B149 &gt; MAX('04_LOG_FIELD_ENTRIES'!$B:$B), "", SUMIFS('04_LOG_FIELD_ENTRIES'!$J:$J, '04_LOG_FIELD_ENTRIES'!$B:$B, B149, '04_LOG_FIELD_ENTRIES'!$D:$D, C149, '04_LOG_FIELD_ENTRIES'!$K:$K, "AC_*"))</f>
        <v/>
      </c>
      <c r="K149" s="6">
        <f>IF(B149 &gt; MAX('04_LOG_FIELD_ENTRIES'!$B:$B), "", SUMIFS(J$2:J149, C$2:C149, C149))</f>
        <v/>
      </c>
      <c r="L149" s="6">
        <f>IF(K149="", "", I149-K149)</f>
        <v/>
      </c>
      <c r="M149" s="6">
        <f>IF(I149="", "", I149-G149)</f>
        <v/>
      </c>
      <c r="N149" s="21">
        <f>IF(I149="", "", IF(G149&gt;0, I149/G149, 1))</f>
        <v/>
      </c>
      <c r="O149" s="21">
        <f>IF(I149="", "", IF(K149&gt;0, I149/K149, 1))</f>
        <v/>
      </c>
      <c r="P149" s="2">
        <f>IF(I149="", "", IF(AND(N149&gt;=0.95, O149&gt;=0.95), "SALUDABLE", IF(N149&lt;0.9, "ALERTA RETRASO", "ALERTA SOBRECOSTO")))</f>
        <v/>
      </c>
    </row>
    <row r="150" ht="19.95" customHeight="1">
      <c r="A150" s="4" t="n">
        <v>38</v>
      </c>
      <c r="B150" s="31" t="n">
        <v>46272</v>
      </c>
      <c r="C150" s="2" t="inlineStr">
        <is>
          <t>WBS-100</t>
        </is>
      </c>
      <c r="D150" s="3" t="inlineStr">
        <is>
          <t>Obras Preliminares, Trazo y Movilización</t>
        </is>
      </c>
      <c r="E150" s="6">
        <f>SUM('01_PRESUPUESTO_CRONOGRAMA_BASE'!G2:G3)</f>
        <v/>
      </c>
      <c r="F150" s="6">
        <f>SUMIFS('02_CRONOGRAMA_PV_DIARIO'!E:E, '02_CRONOGRAMA_PV_DIARIO'!A:A, A150, '02_CRONOGRAMA_PV_DIARIO'!C:C, C150)</f>
        <v/>
      </c>
      <c r="G150" s="6">
        <f>SUMIFS(F$2:F150, C$2:C150, C150)</f>
        <v/>
      </c>
      <c r="H150" s="6">
        <f>IF(B150 &gt; MAX('04_LOG_FIELD_ENTRIES'!$B:$B), "", SUMIFS('04_LOG_FIELD_ENTRIES'!$J:$J, '04_LOG_FIELD_ENTRIES'!$B:$B, B150, '04_LOG_FIELD_ENTRIES'!$D:$D, C150, '04_LOG_FIELD_ENTRIES'!$K:$K, "EV_PRODUCCION"))</f>
        <v/>
      </c>
      <c r="I150" s="6">
        <f>IF(B150 &gt; MAX('04_LOG_FIELD_ENTRIES'!$B:$B), "", SUMIFS(H$2:H150, C$2:C150, C150))</f>
        <v/>
      </c>
      <c r="J150" s="6">
        <f>IF(B150 &gt; MAX('04_LOG_FIELD_ENTRIES'!$B:$B), "", SUMIFS('04_LOG_FIELD_ENTRIES'!$J:$J, '04_LOG_FIELD_ENTRIES'!$B:$B, B150, '04_LOG_FIELD_ENTRIES'!$D:$D, C150, '04_LOG_FIELD_ENTRIES'!$K:$K, "AC_*"))</f>
        <v/>
      </c>
      <c r="K150" s="6">
        <f>IF(B150 &gt; MAX('04_LOG_FIELD_ENTRIES'!$B:$B), "", SUMIFS(J$2:J150, C$2:C150, C150))</f>
        <v/>
      </c>
      <c r="L150" s="6">
        <f>IF(K150="", "", I150-K150)</f>
        <v/>
      </c>
      <c r="M150" s="6">
        <f>IF(I150="", "", I150-G150)</f>
        <v/>
      </c>
      <c r="N150" s="21">
        <f>IF(I150="", "", IF(G150&gt;0, I150/G150, 1))</f>
        <v/>
      </c>
      <c r="O150" s="21">
        <f>IF(I150="", "", IF(K150&gt;0, I150/K150, 1))</f>
        <v/>
      </c>
      <c r="P150" s="2">
        <f>IF(I150="", "", IF(AND(N150&gt;=0.95, O150&gt;=0.95), "SALUDABLE", IF(N150&lt;0.9, "ALERTA RETRASO", "ALERTA SOBRECOSTO")))</f>
        <v/>
      </c>
    </row>
    <row r="151" ht="19.95" customHeight="1">
      <c r="A151" s="4" t="n">
        <v>38</v>
      </c>
      <c r="B151" s="31" t="n">
        <v>46272</v>
      </c>
      <c r="C151" s="2" t="inlineStr">
        <is>
          <t>WBS-200</t>
        </is>
      </c>
      <c r="D151" s="3" t="inlineStr">
        <is>
          <t>Red de Alcantarillado, Zanjas y Buzones</t>
        </is>
      </c>
      <c r="E151" s="6">
        <f>SUM('01_PRESUPUESTO_CRONOGRAMA_BASE'!G4:G9)</f>
        <v/>
      </c>
      <c r="F151" s="6">
        <f>SUMIFS('02_CRONOGRAMA_PV_DIARIO'!E:E, '02_CRONOGRAMA_PV_DIARIO'!A:A, A151, '02_CRONOGRAMA_PV_DIARIO'!C:C, C151)</f>
        <v/>
      </c>
      <c r="G151" s="6">
        <f>SUMIFS(F$2:F151, C$2:C151, C151)</f>
        <v/>
      </c>
      <c r="H151" s="6">
        <f>IF(B151 &gt; MAX('04_LOG_FIELD_ENTRIES'!$B:$B), "", SUMIFS('04_LOG_FIELD_ENTRIES'!$J:$J, '04_LOG_FIELD_ENTRIES'!$B:$B, B151, '04_LOG_FIELD_ENTRIES'!$D:$D, C151, '04_LOG_FIELD_ENTRIES'!$K:$K, "EV_PRODUCCION"))</f>
        <v/>
      </c>
      <c r="I151" s="6">
        <f>IF(B151 &gt; MAX('04_LOG_FIELD_ENTRIES'!$B:$B), "", SUMIFS(H$2:H151, C$2:C151, C151))</f>
        <v/>
      </c>
      <c r="J151" s="6">
        <f>IF(B151 &gt; MAX('04_LOG_FIELD_ENTRIES'!$B:$B), "", SUMIFS('04_LOG_FIELD_ENTRIES'!$J:$J, '04_LOG_FIELD_ENTRIES'!$B:$B, B151, '04_LOG_FIELD_ENTRIES'!$D:$D, C151, '04_LOG_FIELD_ENTRIES'!$K:$K, "AC_*"))</f>
        <v/>
      </c>
      <c r="K151" s="6">
        <f>IF(B151 &gt; MAX('04_LOG_FIELD_ENTRIES'!$B:$B), "", SUMIFS(J$2:J151, C$2:C151, C151))</f>
        <v/>
      </c>
      <c r="L151" s="6">
        <f>IF(K151="", "", I151-K151)</f>
        <v/>
      </c>
      <c r="M151" s="6">
        <f>IF(I151="", "", I151-G151)</f>
        <v/>
      </c>
      <c r="N151" s="21">
        <f>IF(I151="", "", IF(G151&gt;0, I151/G151, 1))</f>
        <v/>
      </c>
      <c r="O151" s="21">
        <f>IF(I151="", "", IF(K151&gt;0, I151/K151, 1))</f>
        <v/>
      </c>
      <c r="P151" s="2">
        <f>IF(I151="", "", IF(AND(N151&gt;=0.95, O151&gt;=0.95), "SALUDABLE", IF(N151&lt;0.9, "ALERTA RETRASO", "ALERTA SOBRECOSTO")))</f>
        <v/>
      </c>
    </row>
    <row r="152" ht="19.95" customHeight="1">
      <c r="A152" s="4" t="n">
        <v>38</v>
      </c>
      <c r="B152" s="31" t="n">
        <v>46272</v>
      </c>
      <c r="C152" s="2" t="inlineStr">
        <is>
          <t>WBS-300</t>
        </is>
      </c>
      <c r="D152" s="3" t="inlineStr">
        <is>
          <t>Red de Agua Potable y Conexiones Domiciliarias</t>
        </is>
      </c>
      <c r="E152" s="6">
        <f>SUM('01_PRESUPUESTO_CRONOGRAMA_BASE'!G10:G11)</f>
        <v/>
      </c>
      <c r="F152" s="6">
        <f>SUMIFS('02_CRONOGRAMA_PV_DIARIO'!E:E, '02_CRONOGRAMA_PV_DIARIO'!A:A, A152, '02_CRONOGRAMA_PV_DIARIO'!C:C, C152)</f>
        <v/>
      </c>
      <c r="G152" s="6">
        <f>SUMIFS(F$2:F152, C$2:C152, C152)</f>
        <v/>
      </c>
      <c r="H152" s="6">
        <f>IF(B152 &gt; MAX('04_LOG_FIELD_ENTRIES'!$B:$B), "", SUMIFS('04_LOG_FIELD_ENTRIES'!$J:$J, '04_LOG_FIELD_ENTRIES'!$B:$B, B152, '04_LOG_FIELD_ENTRIES'!$D:$D, C152, '04_LOG_FIELD_ENTRIES'!$K:$K, "EV_PRODUCCION"))</f>
        <v/>
      </c>
      <c r="I152" s="6">
        <f>IF(B152 &gt; MAX('04_LOG_FIELD_ENTRIES'!$B:$B), "", SUMIFS(H$2:H152, C$2:C152, C152))</f>
        <v/>
      </c>
      <c r="J152" s="6">
        <f>IF(B152 &gt; MAX('04_LOG_FIELD_ENTRIES'!$B:$B), "", SUMIFS('04_LOG_FIELD_ENTRIES'!$J:$J, '04_LOG_FIELD_ENTRIES'!$B:$B, B152, '04_LOG_FIELD_ENTRIES'!$D:$D, C152, '04_LOG_FIELD_ENTRIES'!$K:$K, "AC_*"))</f>
        <v/>
      </c>
      <c r="K152" s="6">
        <f>IF(B152 &gt; MAX('04_LOG_FIELD_ENTRIES'!$B:$B), "", SUMIFS(J$2:J152, C$2:C152, C152))</f>
        <v/>
      </c>
      <c r="L152" s="6">
        <f>IF(K152="", "", I152-K152)</f>
        <v/>
      </c>
      <c r="M152" s="6">
        <f>IF(I152="", "", I152-G152)</f>
        <v/>
      </c>
      <c r="N152" s="21">
        <f>IF(I152="", "", IF(G152&gt;0, I152/G152, 1))</f>
        <v/>
      </c>
      <c r="O152" s="21">
        <f>IF(I152="", "", IF(K152&gt;0, I152/K152, 1))</f>
        <v/>
      </c>
      <c r="P152" s="2">
        <f>IF(I152="", "", IF(AND(N152&gt;=0.95, O152&gt;=0.95), "SALUDABLE", IF(N152&lt;0.9, "ALERTA RETRASO", "ALERTA SOBRECOSTO")))</f>
        <v/>
      </c>
    </row>
    <row r="153" ht="19.95" customHeight="1">
      <c r="A153" s="4" t="n">
        <v>38</v>
      </c>
      <c r="B153" s="31" t="n">
        <v>46272</v>
      </c>
      <c r="C153" s="2" t="inlineStr">
        <is>
          <t>WBS-400</t>
        </is>
      </c>
      <c r="D153" s="3" t="inlineStr">
        <is>
          <t>Pruebas Hidráulicas, Desinfección y Entrega</t>
        </is>
      </c>
      <c r="E153" s="6">
        <f>SUM('01_PRESUPUESTO_CRONOGRAMA_BASE'!G12:G12)</f>
        <v/>
      </c>
      <c r="F153" s="6">
        <f>SUMIFS('02_CRONOGRAMA_PV_DIARIO'!E:E, '02_CRONOGRAMA_PV_DIARIO'!A:A, A153, '02_CRONOGRAMA_PV_DIARIO'!C:C, C153)</f>
        <v/>
      </c>
      <c r="G153" s="6">
        <f>SUMIFS(F$2:F153, C$2:C153, C153)</f>
        <v/>
      </c>
      <c r="H153" s="6">
        <f>IF(B153 &gt; MAX('04_LOG_FIELD_ENTRIES'!$B:$B), "", SUMIFS('04_LOG_FIELD_ENTRIES'!$J:$J, '04_LOG_FIELD_ENTRIES'!$B:$B, B153, '04_LOG_FIELD_ENTRIES'!$D:$D, C153, '04_LOG_FIELD_ENTRIES'!$K:$K, "EV_PRODUCCION"))</f>
        <v/>
      </c>
      <c r="I153" s="6">
        <f>IF(B153 &gt; MAX('04_LOG_FIELD_ENTRIES'!$B:$B), "", SUMIFS(H$2:H153, C$2:C153, C153))</f>
        <v/>
      </c>
      <c r="J153" s="6">
        <f>IF(B153 &gt; MAX('04_LOG_FIELD_ENTRIES'!$B:$B), "", SUMIFS('04_LOG_FIELD_ENTRIES'!$J:$J, '04_LOG_FIELD_ENTRIES'!$B:$B, B153, '04_LOG_FIELD_ENTRIES'!$D:$D, C153, '04_LOG_FIELD_ENTRIES'!$K:$K, "AC_*"))</f>
        <v/>
      </c>
      <c r="K153" s="6">
        <f>IF(B153 &gt; MAX('04_LOG_FIELD_ENTRIES'!$B:$B), "", SUMIFS(J$2:J153, C$2:C153, C153))</f>
        <v/>
      </c>
      <c r="L153" s="6">
        <f>IF(K153="", "", I153-K153)</f>
        <v/>
      </c>
      <c r="M153" s="6">
        <f>IF(I153="", "", I153-G153)</f>
        <v/>
      </c>
      <c r="N153" s="21">
        <f>IF(I153="", "", IF(G153&gt;0, I153/G153, 1))</f>
        <v/>
      </c>
      <c r="O153" s="21">
        <f>IF(I153="", "", IF(K153&gt;0, I153/K153, 1))</f>
        <v/>
      </c>
      <c r="P153" s="2">
        <f>IF(I153="", "", IF(AND(N153&gt;=0.95, O153&gt;=0.95), "SALUDABLE", IF(N153&lt;0.9, "ALERTA RETRASO", "ALERTA SOBRECOSTO")))</f>
        <v/>
      </c>
    </row>
    <row r="154" ht="19.95" customHeight="1">
      <c r="A154" s="4" t="n">
        <v>39</v>
      </c>
      <c r="B154" s="31" t="n">
        <v>46273</v>
      </c>
      <c r="C154" s="2" t="inlineStr">
        <is>
          <t>WBS-100</t>
        </is>
      </c>
      <c r="D154" s="3" t="inlineStr">
        <is>
          <t>Obras Preliminares, Trazo y Movilización</t>
        </is>
      </c>
      <c r="E154" s="6">
        <f>SUM('01_PRESUPUESTO_CRONOGRAMA_BASE'!G2:G3)</f>
        <v/>
      </c>
      <c r="F154" s="6">
        <f>SUMIFS('02_CRONOGRAMA_PV_DIARIO'!E:E, '02_CRONOGRAMA_PV_DIARIO'!A:A, A154, '02_CRONOGRAMA_PV_DIARIO'!C:C, C154)</f>
        <v/>
      </c>
      <c r="G154" s="6">
        <f>SUMIFS(F$2:F154, C$2:C154, C154)</f>
        <v/>
      </c>
      <c r="H154" s="6">
        <f>IF(B154 &gt; MAX('04_LOG_FIELD_ENTRIES'!$B:$B), "", SUMIFS('04_LOG_FIELD_ENTRIES'!$J:$J, '04_LOG_FIELD_ENTRIES'!$B:$B, B154, '04_LOG_FIELD_ENTRIES'!$D:$D, C154, '04_LOG_FIELD_ENTRIES'!$K:$K, "EV_PRODUCCION"))</f>
        <v/>
      </c>
      <c r="I154" s="6">
        <f>IF(B154 &gt; MAX('04_LOG_FIELD_ENTRIES'!$B:$B), "", SUMIFS(H$2:H154, C$2:C154, C154))</f>
        <v/>
      </c>
      <c r="J154" s="6">
        <f>IF(B154 &gt; MAX('04_LOG_FIELD_ENTRIES'!$B:$B), "", SUMIFS('04_LOG_FIELD_ENTRIES'!$J:$J, '04_LOG_FIELD_ENTRIES'!$B:$B, B154, '04_LOG_FIELD_ENTRIES'!$D:$D, C154, '04_LOG_FIELD_ENTRIES'!$K:$K, "AC_*"))</f>
        <v/>
      </c>
      <c r="K154" s="6">
        <f>IF(B154 &gt; MAX('04_LOG_FIELD_ENTRIES'!$B:$B), "", SUMIFS(J$2:J154, C$2:C154, C154))</f>
        <v/>
      </c>
      <c r="L154" s="6">
        <f>IF(K154="", "", I154-K154)</f>
        <v/>
      </c>
      <c r="M154" s="6">
        <f>IF(I154="", "", I154-G154)</f>
        <v/>
      </c>
      <c r="N154" s="21">
        <f>IF(I154="", "", IF(G154&gt;0, I154/G154, 1))</f>
        <v/>
      </c>
      <c r="O154" s="21">
        <f>IF(I154="", "", IF(K154&gt;0, I154/K154, 1))</f>
        <v/>
      </c>
      <c r="P154" s="2">
        <f>IF(I154="", "", IF(AND(N154&gt;=0.95, O154&gt;=0.95), "SALUDABLE", IF(N154&lt;0.9, "ALERTA RETRASO", "ALERTA SOBRECOSTO")))</f>
        <v/>
      </c>
    </row>
    <row r="155" ht="19.95" customHeight="1">
      <c r="A155" s="4" t="n">
        <v>39</v>
      </c>
      <c r="B155" s="31" t="n">
        <v>46273</v>
      </c>
      <c r="C155" s="2" t="inlineStr">
        <is>
          <t>WBS-200</t>
        </is>
      </c>
      <c r="D155" s="3" t="inlineStr">
        <is>
          <t>Red de Alcantarillado, Zanjas y Buzones</t>
        </is>
      </c>
      <c r="E155" s="6">
        <f>SUM('01_PRESUPUESTO_CRONOGRAMA_BASE'!G4:G9)</f>
        <v/>
      </c>
      <c r="F155" s="6">
        <f>SUMIFS('02_CRONOGRAMA_PV_DIARIO'!E:E, '02_CRONOGRAMA_PV_DIARIO'!A:A, A155, '02_CRONOGRAMA_PV_DIARIO'!C:C, C155)</f>
        <v/>
      </c>
      <c r="G155" s="6">
        <f>SUMIFS(F$2:F155, C$2:C155, C155)</f>
        <v/>
      </c>
      <c r="H155" s="6">
        <f>IF(B155 &gt; MAX('04_LOG_FIELD_ENTRIES'!$B:$B), "", SUMIFS('04_LOG_FIELD_ENTRIES'!$J:$J, '04_LOG_FIELD_ENTRIES'!$B:$B, B155, '04_LOG_FIELD_ENTRIES'!$D:$D, C155, '04_LOG_FIELD_ENTRIES'!$K:$K, "EV_PRODUCCION"))</f>
        <v/>
      </c>
      <c r="I155" s="6">
        <f>IF(B155 &gt; MAX('04_LOG_FIELD_ENTRIES'!$B:$B), "", SUMIFS(H$2:H155, C$2:C155, C155))</f>
        <v/>
      </c>
      <c r="J155" s="6">
        <f>IF(B155 &gt; MAX('04_LOG_FIELD_ENTRIES'!$B:$B), "", SUMIFS('04_LOG_FIELD_ENTRIES'!$J:$J, '04_LOG_FIELD_ENTRIES'!$B:$B, B155, '04_LOG_FIELD_ENTRIES'!$D:$D, C155, '04_LOG_FIELD_ENTRIES'!$K:$K, "AC_*"))</f>
        <v/>
      </c>
      <c r="K155" s="6">
        <f>IF(B155 &gt; MAX('04_LOG_FIELD_ENTRIES'!$B:$B), "", SUMIFS(J$2:J155, C$2:C155, C155))</f>
        <v/>
      </c>
      <c r="L155" s="6">
        <f>IF(K155="", "", I155-K155)</f>
        <v/>
      </c>
      <c r="M155" s="6">
        <f>IF(I155="", "", I155-G155)</f>
        <v/>
      </c>
      <c r="N155" s="21">
        <f>IF(I155="", "", IF(G155&gt;0, I155/G155, 1))</f>
        <v/>
      </c>
      <c r="O155" s="21">
        <f>IF(I155="", "", IF(K155&gt;0, I155/K155, 1))</f>
        <v/>
      </c>
      <c r="P155" s="2">
        <f>IF(I155="", "", IF(AND(N155&gt;=0.95, O155&gt;=0.95), "SALUDABLE", IF(N155&lt;0.9, "ALERTA RETRASO", "ALERTA SOBRECOSTO")))</f>
        <v/>
      </c>
    </row>
    <row r="156" ht="19.95" customHeight="1">
      <c r="A156" s="4" t="n">
        <v>39</v>
      </c>
      <c r="B156" s="31" t="n">
        <v>46273</v>
      </c>
      <c r="C156" s="2" t="inlineStr">
        <is>
          <t>WBS-300</t>
        </is>
      </c>
      <c r="D156" s="3" t="inlineStr">
        <is>
          <t>Red de Agua Potable y Conexiones Domiciliarias</t>
        </is>
      </c>
      <c r="E156" s="6">
        <f>SUM('01_PRESUPUESTO_CRONOGRAMA_BASE'!G10:G11)</f>
        <v/>
      </c>
      <c r="F156" s="6">
        <f>SUMIFS('02_CRONOGRAMA_PV_DIARIO'!E:E, '02_CRONOGRAMA_PV_DIARIO'!A:A, A156, '02_CRONOGRAMA_PV_DIARIO'!C:C, C156)</f>
        <v/>
      </c>
      <c r="G156" s="6">
        <f>SUMIFS(F$2:F156, C$2:C156, C156)</f>
        <v/>
      </c>
      <c r="H156" s="6">
        <f>IF(B156 &gt; MAX('04_LOG_FIELD_ENTRIES'!$B:$B), "", SUMIFS('04_LOG_FIELD_ENTRIES'!$J:$J, '04_LOG_FIELD_ENTRIES'!$B:$B, B156, '04_LOG_FIELD_ENTRIES'!$D:$D, C156, '04_LOG_FIELD_ENTRIES'!$K:$K, "EV_PRODUCCION"))</f>
        <v/>
      </c>
      <c r="I156" s="6">
        <f>IF(B156 &gt; MAX('04_LOG_FIELD_ENTRIES'!$B:$B), "", SUMIFS(H$2:H156, C$2:C156, C156))</f>
        <v/>
      </c>
      <c r="J156" s="6">
        <f>IF(B156 &gt; MAX('04_LOG_FIELD_ENTRIES'!$B:$B), "", SUMIFS('04_LOG_FIELD_ENTRIES'!$J:$J, '04_LOG_FIELD_ENTRIES'!$B:$B, B156, '04_LOG_FIELD_ENTRIES'!$D:$D, C156, '04_LOG_FIELD_ENTRIES'!$K:$K, "AC_*"))</f>
        <v/>
      </c>
      <c r="K156" s="6">
        <f>IF(B156 &gt; MAX('04_LOG_FIELD_ENTRIES'!$B:$B), "", SUMIFS(J$2:J156, C$2:C156, C156))</f>
        <v/>
      </c>
      <c r="L156" s="6">
        <f>IF(K156="", "", I156-K156)</f>
        <v/>
      </c>
      <c r="M156" s="6">
        <f>IF(I156="", "", I156-G156)</f>
        <v/>
      </c>
      <c r="N156" s="21">
        <f>IF(I156="", "", IF(G156&gt;0, I156/G156, 1))</f>
        <v/>
      </c>
      <c r="O156" s="21">
        <f>IF(I156="", "", IF(K156&gt;0, I156/K156, 1))</f>
        <v/>
      </c>
      <c r="P156" s="2">
        <f>IF(I156="", "", IF(AND(N156&gt;=0.95, O156&gt;=0.95), "SALUDABLE", IF(N156&lt;0.9, "ALERTA RETRASO", "ALERTA SOBRECOSTO")))</f>
        <v/>
      </c>
    </row>
    <row r="157" ht="19.95" customHeight="1">
      <c r="A157" s="4" t="n">
        <v>39</v>
      </c>
      <c r="B157" s="31" t="n">
        <v>46273</v>
      </c>
      <c r="C157" s="2" t="inlineStr">
        <is>
          <t>WBS-400</t>
        </is>
      </c>
      <c r="D157" s="3" t="inlineStr">
        <is>
          <t>Pruebas Hidráulicas, Desinfección y Entrega</t>
        </is>
      </c>
      <c r="E157" s="6">
        <f>SUM('01_PRESUPUESTO_CRONOGRAMA_BASE'!G12:G12)</f>
        <v/>
      </c>
      <c r="F157" s="6">
        <f>SUMIFS('02_CRONOGRAMA_PV_DIARIO'!E:E, '02_CRONOGRAMA_PV_DIARIO'!A:A, A157, '02_CRONOGRAMA_PV_DIARIO'!C:C, C157)</f>
        <v/>
      </c>
      <c r="G157" s="6">
        <f>SUMIFS(F$2:F157, C$2:C157, C157)</f>
        <v/>
      </c>
      <c r="H157" s="6">
        <f>IF(B157 &gt; MAX('04_LOG_FIELD_ENTRIES'!$B:$B), "", SUMIFS('04_LOG_FIELD_ENTRIES'!$J:$J, '04_LOG_FIELD_ENTRIES'!$B:$B, B157, '04_LOG_FIELD_ENTRIES'!$D:$D, C157, '04_LOG_FIELD_ENTRIES'!$K:$K, "EV_PRODUCCION"))</f>
        <v/>
      </c>
      <c r="I157" s="6">
        <f>IF(B157 &gt; MAX('04_LOG_FIELD_ENTRIES'!$B:$B), "", SUMIFS(H$2:H157, C$2:C157, C157))</f>
        <v/>
      </c>
      <c r="J157" s="6">
        <f>IF(B157 &gt; MAX('04_LOG_FIELD_ENTRIES'!$B:$B), "", SUMIFS('04_LOG_FIELD_ENTRIES'!$J:$J, '04_LOG_FIELD_ENTRIES'!$B:$B, B157, '04_LOG_FIELD_ENTRIES'!$D:$D, C157, '04_LOG_FIELD_ENTRIES'!$K:$K, "AC_*"))</f>
        <v/>
      </c>
      <c r="K157" s="6">
        <f>IF(B157 &gt; MAX('04_LOG_FIELD_ENTRIES'!$B:$B), "", SUMIFS(J$2:J157, C$2:C157, C157))</f>
        <v/>
      </c>
      <c r="L157" s="6">
        <f>IF(K157="", "", I157-K157)</f>
        <v/>
      </c>
      <c r="M157" s="6">
        <f>IF(I157="", "", I157-G157)</f>
        <v/>
      </c>
      <c r="N157" s="21">
        <f>IF(I157="", "", IF(G157&gt;0, I157/G157, 1))</f>
        <v/>
      </c>
      <c r="O157" s="21">
        <f>IF(I157="", "", IF(K157&gt;0, I157/K157, 1))</f>
        <v/>
      </c>
      <c r="P157" s="2">
        <f>IF(I157="", "", IF(AND(N157&gt;=0.95, O157&gt;=0.95), "SALUDABLE", IF(N157&lt;0.9, "ALERTA RETRASO", "ALERTA SOBRECOSTO")))</f>
        <v/>
      </c>
    </row>
    <row r="158" ht="19.95" customHeight="1">
      <c r="A158" s="4" t="n">
        <v>40</v>
      </c>
      <c r="B158" s="31" t="n">
        <v>46274</v>
      </c>
      <c r="C158" s="2" t="inlineStr">
        <is>
          <t>WBS-100</t>
        </is>
      </c>
      <c r="D158" s="3" t="inlineStr">
        <is>
          <t>Obras Preliminares, Trazo y Movilización</t>
        </is>
      </c>
      <c r="E158" s="6">
        <f>SUM('01_PRESUPUESTO_CRONOGRAMA_BASE'!G2:G3)</f>
        <v/>
      </c>
      <c r="F158" s="6">
        <f>SUMIFS('02_CRONOGRAMA_PV_DIARIO'!E:E, '02_CRONOGRAMA_PV_DIARIO'!A:A, A158, '02_CRONOGRAMA_PV_DIARIO'!C:C, C158)</f>
        <v/>
      </c>
      <c r="G158" s="6">
        <f>SUMIFS(F$2:F158, C$2:C158, C158)</f>
        <v/>
      </c>
      <c r="H158" s="6">
        <f>IF(B158 &gt; MAX('04_LOG_FIELD_ENTRIES'!$B:$B), "", SUMIFS('04_LOG_FIELD_ENTRIES'!$J:$J, '04_LOG_FIELD_ENTRIES'!$B:$B, B158, '04_LOG_FIELD_ENTRIES'!$D:$D, C158, '04_LOG_FIELD_ENTRIES'!$K:$K, "EV_PRODUCCION"))</f>
        <v/>
      </c>
      <c r="I158" s="6">
        <f>IF(B158 &gt; MAX('04_LOG_FIELD_ENTRIES'!$B:$B), "", SUMIFS(H$2:H158, C$2:C158, C158))</f>
        <v/>
      </c>
      <c r="J158" s="6">
        <f>IF(B158 &gt; MAX('04_LOG_FIELD_ENTRIES'!$B:$B), "", SUMIFS('04_LOG_FIELD_ENTRIES'!$J:$J, '04_LOG_FIELD_ENTRIES'!$B:$B, B158, '04_LOG_FIELD_ENTRIES'!$D:$D, C158, '04_LOG_FIELD_ENTRIES'!$K:$K, "AC_*"))</f>
        <v/>
      </c>
      <c r="K158" s="6">
        <f>IF(B158 &gt; MAX('04_LOG_FIELD_ENTRIES'!$B:$B), "", SUMIFS(J$2:J158, C$2:C158, C158))</f>
        <v/>
      </c>
      <c r="L158" s="6">
        <f>IF(K158="", "", I158-K158)</f>
        <v/>
      </c>
      <c r="M158" s="6">
        <f>IF(I158="", "", I158-G158)</f>
        <v/>
      </c>
      <c r="N158" s="21">
        <f>IF(I158="", "", IF(G158&gt;0, I158/G158, 1))</f>
        <v/>
      </c>
      <c r="O158" s="21">
        <f>IF(I158="", "", IF(K158&gt;0, I158/K158, 1))</f>
        <v/>
      </c>
      <c r="P158" s="2">
        <f>IF(I158="", "", IF(AND(N158&gt;=0.95, O158&gt;=0.95), "SALUDABLE", IF(N158&lt;0.9, "ALERTA RETRASO", "ALERTA SOBRECOSTO")))</f>
        <v/>
      </c>
    </row>
    <row r="159" ht="19.95" customHeight="1">
      <c r="A159" s="4" t="n">
        <v>40</v>
      </c>
      <c r="B159" s="31" t="n">
        <v>46274</v>
      </c>
      <c r="C159" s="2" t="inlineStr">
        <is>
          <t>WBS-200</t>
        </is>
      </c>
      <c r="D159" s="3" t="inlineStr">
        <is>
          <t>Red de Alcantarillado, Zanjas y Buzones</t>
        </is>
      </c>
      <c r="E159" s="6">
        <f>SUM('01_PRESUPUESTO_CRONOGRAMA_BASE'!G4:G9)</f>
        <v/>
      </c>
      <c r="F159" s="6">
        <f>SUMIFS('02_CRONOGRAMA_PV_DIARIO'!E:E, '02_CRONOGRAMA_PV_DIARIO'!A:A, A159, '02_CRONOGRAMA_PV_DIARIO'!C:C, C159)</f>
        <v/>
      </c>
      <c r="G159" s="6">
        <f>SUMIFS(F$2:F159, C$2:C159, C159)</f>
        <v/>
      </c>
      <c r="H159" s="6">
        <f>IF(B159 &gt; MAX('04_LOG_FIELD_ENTRIES'!$B:$B), "", SUMIFS('04_LOG_FIELD_ENTRIES'!$J:$J, '04_LOG_FIELD_ENTRIES'!$B:$B, B159, '04_LOG_FIELD_ENTRIES'!$D:$D, C159, '04_LOG_FIELD_ENTRIES'!$K:$K, "EV_PRODUCCION"))</f>
        <v/>
      </c>
      <c r="I159" s="6">
        <f>IF(B159 &gt; MAX('04_LOG_FIELD_ENTRIES'!$B:$B), "", SUMIFS(H$2:H159, C$2:C159, C159))</f>
        <v/>
      </c>
      <c r="J159" s="6">
        <f>IF(B159 &gt; MAX('04_LOG_FIELD_ENTRIES'!$B:$B), "", SUMIFS('04_LOG_FIELD_ENTRIES'!$J:$J, '04_LOG_FIELD_ENTRIES'!$B:$B, B159, '04_LOG_FIELD_ENTRIES'!$D:$D, C159, '04_LOG_FIELD_ENTRIES'!$K:$K, "AC_*"))</f>
        <v/>
      </c>
      <c r="K159" s="6">
        <f>IF(B159 &gt; MAX('04_LOG_FIELD_ENTRIES'!$B:$B), "", SUMIFS(J$2:J159, C$2:C159, C159))</f>
        <v/>
      </c>
      <c r="L159" s="6">
        <f>IF(K159="", "", I159-K159)</f>
        <v/>
      </c>
      <c r="M159" s="6">
        <f>IF(I159="", "", I159-G159)</f>
        <v/>
      </c>
      <c r="N159" s="21">
        <f>IF(I159="", "", IF(G159&gt;0, I159/G159, 1))</f>
        <v/>
      </c>
      <c r="O159" s="21">
        <f>IF(I159="", "", IF(K159&gt;0, I159/K159, 1))</f>
        <v/>
      </c>
      <c r="P159" s="2">
        <f>IF(I159="", "", IF(AND(N159&gt;=0.95, O159&gt;=0.95), "SALUDABLE", IF(N159&lt;0.9, "ALERTA RETRASO", "ALERTA SOBRECOSTO")))</f>
        <v/>
      </c>
    </row>
    <row r="160" ht="19.95" customHeight="1">
      <c r="A160" s="4" t="n">
        <v>40</v>
      </c>
      <c r="B160" s="31" t="n">
        <v>46274</v>
      </c>
      <c r="C160" s="2" t="inlineStr">
        <is>
          <t>WBS-300</t>
        </is>
      </c>
      <c r="D160" s="3" t="inlineStr">
        <is>
          <t>Red de Agua Potable y Conexiones Domiciliarias</t>
        </is>
      </c>
      <c r="E160" s="6">
        <f>SUM('01_PRESUPUESTO_CRONOGRAMA_BASE'!G10:G11)</f>
        <v/>
      </c>
      <c r="F160" s="6">
        <f>SUMIFS('02_CRONOGRAMA_PV_DIARIO'!E:E, '02_CRONOGRAMA_PV_DIARIO'!A:A, A160, '02_CRONOGRAMA_PV_DIARIO'!C:C, C160)</f>
        <v/>
      </c>
      <c r="G160" s="6">
        <f>SUMIFS(F$2:F160, C$2:C160, C160)</f>
        <v/>
      </c>
      <c r="H160" s="6">
        <f>IF(B160 &gt; MAX('04_LOG_FIELD_ENTRIES'!$B:$B), "", SUMIFS('04_LOG_FIELD_ENTRIES'!$J:$J, '04_LOG_FIELD_ENTRIES'!$B:$B, B160, '04_LOG_FIELD_ENTRIES'!$D:$D, C160, '04_LOG_FIELD_ENTRIES'!$K:$K, "EV_PRODUCCION"))</f>
        <v/>
      </c>
      <c r="I160" s="6">
        <f>IF(B160 &gt; MAX('04_LOG_FIELD_ENTRIES'!$B:$B), "", SUMIFS(H$2:H160, C$2:C160, C160))</f>
        <v/>
      </c>
      <c r="J160" s="6">
        <f>IF(B160 &gt; MAX('04_LOG_FIELD_ENTRIES'!$B:$B), "", SUMIFS('04_LOG_FIELD_ENTRIES'!$J:$J, '04_LOG_FIELD_ENTRIES'!$B:$B, B160, '04_LOG_FIELD_ENTRIES'!$D:$D, C160, '04_LOG_FIELD_ENTRIES'!$K:$K, "AC_*"))</f>
        <v/>
      </c>
      <c r="K160" s="6">
        <f>IF(B160 &gt; MAX('04_LOG_FIELD_ENTRIES'!$B:$B), "", SUMIFS(J$2:J160, C$2:C160, C160))</f>
        <v/>
      </c>
      <c r="L160" s="6">
        <f>IF(K160="", "", I160-K160)</f>
        <v/>
      </c>
      <c r="M160" s="6">
        <f>IF(I160="", "", I160-G160)</f>
        <v/>
      </c>
      <c r="N160" s="21">
        <f>IF(I160="", "", IF(G160&gt;0, I160/G160, 1))</f>
        <v/>
      </c>
      <c r="O160" s="21">
        <f>IF(I160="", "", IF(K160&gt;0, I160/K160, 1))</f>
        <v/>
      </c>
      <c r="P160" s="2">
        <f>IF(I160="", "", IF(AND(N160&gt;=0.95, O160&gt;=0.95), "SALUDABLE", IF(N160&lt;0.9, "ALERTA RETRASO", "ALERTA SOBRECOSTO")))</f>
        <v/>
      </c>
    </row>
    <row r="161" ht="19.95" customHeight="1">
      <c r="A161" s="4" t="n">
        <v>40</v>
      </c>
      <c r="B161" s="31" t="n">
        <v>46274</v>
      </c>
      <c r="C161" s="2" t="inlineStr">
        <is>
          <t>WBS-400</t>
        </is>
      </c>
      <c r="D161" s="3" t="inlineStr">
        <is>
          <t>Pruebas Hidráulicas, Desinfección y Entrega</t>
        </is>
      </c>
      <c r="E161" s="6">
        <f>SUM('01_PRESUPUESTO_CRONOGRAMA_BASE'!G12:G12)</f>
        <v/>
      </c>
      <c r="F161" s="6">
        <f>SUMIFS('02_CRONOGRAMA_PV_DIARIO'!E:E, '02_CRONOGRAMA_PV_DIARIO'!A:A, A161, '02_CRONOGRAMA_PV_DIARIO'!C:C, C161)</f>
        <v/>
      </c>
      <c r="G161" s="6">
        <f>SUMIFS(F$2:F161, C$2:C161, C161)</f>
        <v/>
      </c>
      <c r="H161" s="6">
        <f>IF(B161 &gt; MAX('04_LOG_FIELD_ENTRIES'!$B:$B), "", SUMIFS('04_LOG_FIELD_ENTRIES'!$J:$J, '04_LOG_FIELD_ENTRIES'!$B:$B, B161, '04_LOG_FIELD_ENTRIES'!$D:$D, C161, '04_LOG_FIELD_ENTRIES'!$K:$K, "EV_PRODUCCION"))</f>
        <v/>
      </c>
      <c r="I161" s="6">
        <f>IF(B161 &gt; MAX('04_LOG_FIELD_ENTRIES'!$B:$B), "", SUMIFS(H$2:H161, C$2:C161, C161))</f>
        <v/>
      </c>
      <c r="J161" s="6">
        <f>IF(B161 &gt; MAX('04_LOG_FIELD_ENTRIES'!$B:$B), "", SUMIFS('04_LOG_FIELD_ENTRIES'!$J:$J, '04_LOG_FIELD_ENTRIES'!$B:$B, B161, '04_LOG_FIELD_ENTRIES'!$D:$D, C161, '04_LOG_FIELD_ENTRIES'!$K:$K, "AC_*"))</f>
        <v/>
      </c>
      <c r="K161" s="6">
        <f>IF(B161 &gt; MAX('04_LOG_FIELD_ENTRIES'!$B:$B), "", SUMIFS(J$2:J161, C$2:C161, C161))</f>
        <v/>
      </c>
      <c r="L161" s="6">
        <f>IF(K161="", "", I161-K161)</f>
        <v/>
      </c>
      <c r="M161" s="6">
        <f>IF(I161="", "", I161-G161)</f>
        <v/>
      </c>
      <c r="N161" s="21">
        <f>IF(I161="", "", IF(G161&gt;0, I161/G161, 1))</f>
        <v/>
      </c>
      <c r="O161" s="21">
        <f>IF(I161="", "", IF(K161&gt;0, I161/K161, 1))</f>
        <v/>
      </c>
      <c r="P161" s="2">
        <f>IF(I161="", "", IF(AND(N161&gt;=0.95, O161&gt;=0.95), "SALUDABLE", IF(N161&lt;0.9, "ALERTA RETRASO", "ALERTA SOBRECOSTO")))</f>
        <v/>
      </c>
    </row>
    <row r="162" ht="19.95" customHeight="1">
      <c r="A162" s="4" t="n">
        <v>41</v>
      </c>
      <c r="B162" s="31" t="n">
        <v>46275</v>
      </c>
      <c r="C162" s="2" t="inlineStr">
        <is>
          <t>WBS-100</t>
        </is>
      </c>
      <c r="D162" s="3" t="inlineStr">
        <is>
          <t>Obras Preliminares, Trazo y Movilización</t>
        </is>
      </c>
      <c r="E162" s="6">
        <f>SUM('01_PRESUPUESTO_CRONOGRAMA_BASE'!G2:G3)</f>
        <v/>
      </c>
      <c r="F162" s="6">
        <f>SUMIFS('02_CRONOGRAMA_PV_DIARIO'!E:E, '02_CRONOGRAMA_PV_DIARIO'!A:A, A162, '02_CRONOGRAMA_PV_DIARIO'!C:C, C162)</f>
        <v/>
      </c>
      <c r="G162" s="6">
        <f>SUMIFS(F$2:F162, C$2:C162, C162)</f>
        <v/>
      </c>
      <c r="H162" s="6">
        <f>IF(B162 &gt; MAX('04_LOG_FIELD_ENTRIES'!$B:$B), "", SUMIFS('04_LOG_FIELD_ENTRIES'!$J:$J, '04_LOG_FIELD_ENTRIES'!$B:$B, B162, '04_LOG_FIELD_ENTRIES'!$D:$D, C162, '04_LOG_FIELD_ENTRIES'!$K:$K, "EV_PRODUCCION"))</f>
        <v/>
      </c>
      <c r="I162" s="6">
        <f>IF(B162 &gt; MAX('04_LOG_FIELD_ENTRIES'!$B:$B), "", SUMIFS(H$2:H162, C$2:C162, C162))</f>
        <v/>
      </c>
      <c r="J162" s="6">
        <f>IF(B162 &gt; MAX('04_LOG_FIELD_ENTRIES'!$B:$B), "", SUMIFS('04_LOG_FIELD_ENTRIES'!$J:$J, '04_LOG_FIELD_ENTRIES'!$B:$B, B162, '04_LOG_FIELD_ENTRIES'!$D:$D, C162, '04_LOG_FIELD_ENTRIES'!$K:$K, "AC_*"))</f>
        <v/>
      </c>
      <c r="K162" s="6">
        <f>IF(B162 &gt; MAX('04_LOG_FIELD_ENTRIES'!$B:$B), "", SUMIFS(J$2:J162, C$2:C162, C162))</f>
        <v/>
      </c>
      <c r="L162" s="6">
        <f>IF(K162="", "", I162-K162)</f>
        <v/>
      </c>
      <c r="M162" s="6">
        <f>IF(I162="", "", I162-G162)</f>
        <v/>
      </c>
      <c r="N162" s="21">
        <f>IF(I162="", "", IF(G162&gt;0, I162/G162, 1))</f>
        <v/>
      </c>
      <c r="O162" s="21">
        <f>IF(I162="", "", IF(K162&gt;0, I162/K162, 1))</f>
        <v/>
      </c>
      <c r="P162" s="2">
        <f>IF(I162="", "", IF(AND(N162&gt;=0.95, O162&gt;=0.95), "SALUDABLE", IF(N162&lt;0.9, "ALERTA RETRASO", "ALERTA SOBRECOSTO")))</f>
        <v/>
      </c>
    </row>
    <row r="163" ht="19.95" customHeight="1">
      <c r="A163" s="4" t="n">
        <v>41</v>
      </c>
      <c r="B163" s="31" t="n">
        <v>46275</v>
      </c>
      <c r="C163" s="2" t="inlineStr">
        <is>
          <t>WBS-200</t>
        </is>
      </c>
      <c r="D163" s="3" t="inlineStr">
        <is>
          <t>Red de Alcantarillado, Zanjas y Buzones</t>
        </is>
      </c>
      <c r="E163" s="6">
        <f>SUM('01_PRESUPUESTO_CRONOGRAMA_BASE'!G4:G9)</f>
        <v/>
      </c>
      <c r="F163" s="6">
        <f>SUMIFS('02_CRONOGRAMA_PV_DIARIO'!E:E, '02_CRONOGRAMA_PV_DIARIO'!A:A, A163, '02_CRONOGRAMA_PV_DIARIO'!C:C, C163)</f>
        <v/>
      </c>
      <c r="G163" s="6">
        <f>SUMIFS(F$2:F163, C$2:C163, C163)</f>
        <v/>
      </c>
      <c r="H163" s="6">
        <f>IF(B163 &gt; MAX('04_LOG_FIELD_ENTRIES'!$B:$B), "", SUMIFS('04_LOG_FIELD_ENTRIES'!$J:$J, '04_LOG_FIELD_ENTRIES'!$B:$B, B163, '04_LOG_FIELD_ENTRIES'!$D:$D, C163, '04_LOG_FIELD_ENTRIES'!$K:$K, "EV_PRODUCCION"))</f>
        <v/>
      </c>
      <c r="I163" s="6">
        <f>IF(B163 &gt; MAX('04_LOG_FIELD_ENTRIES'!$B:$B), "", SUMIFS(H$2:H163, C$2:C163, C163))</f>
        <v/>
      </c>
      <c r="J163" s="6">
        <f>IF(B163 &gt; MAX('04_LOG_FIELD_ENTRIES'!$B:$B), "", SUMIFS('04_LOG_FIELD_ENTRIES'!$J:$J, '04_LOG_FIELD_ENTRIES'!$B:$B, B163, '04_LOG_FIELD_ENTRIES'!$D:$D, C163, '04_LOG_FIELD_ENTRIES'!$K:$K, "AC_*"))</f>
        <v/>
      </c>
      <c r="K163" s="6">
        <f>IF(B163 &gt; MAX('04_LOG_FIELD_ENTRIES'!$B:$B), "", SUMIFS(J$2:J163, C$2:C163, C163))</f>
        <v/>
      </c>
      <c r="L163" s="6">
        <f>IF(K163="", "", I163-K163)</f>
        <v/>
      </c>
      <c r="M163" s="6">
        <f>IF(I163="", "", I163-G163)</f>
        <v/>
      </c>
      <c r="N163" s="21">
        <f>IF(I163="", "", IF(G163&gt;0, I163/G163, 1))</f>
        <v/>
      </c>
      <c r="O163" s="21">
        <f>IF(I163="", "", IF(K163&gt;0, I163/K163, 1))</f>
        <v/>
      </c>
      <c r="P163" s="2">
        <f>IF(I163="", "", IF(AND(N163&gt;=0.95, O163&gt;=0.95), "SALUDABLE", IF(N163&lt;0.9, "ALERTA RETRASO", "ALERTA SOBRECOSTO")))</f>
        <v/>
      </c>
    </row>
    <row r="164" ht="19.95" customHeight="1">
      <c r="A164" s="4" t="n">
        <v>41</v>
      </c>
      <c r="B164" s="31" t="n">
        <v>46275</v>
      </c>
      <c r="C164" s="2" t="inlineStr">
        <is>
          <t>WBS-300</t>
        </is>
      </c>
      <c r="D164" s="3" t="inlineStr">
        <is>
          <t>Red de Agua Potable y Conexiones Domiciliarias</t>
        </is>
      </c>
      <c r="E164" s="6">
        <f>SUM('01_PRESUPUESTO_CRONOGRAMA_BASE'!G10:G11)</f>
        <v/>
      </c>
      <c r="F164" s="6">
        <f>SUMIFS('02_CRONOGRAMA_PV_DIARIO'!E:E, '02_CRONOGRAMA_PV_DIARIO'!A:A, A164, '02_CRONOGRAMA_PV_DIARIO'!C:C, C164)</f>
        <v/>
      </c>
      <c r="G164" s="6">
        <f>SUMIFS(F$2:F164, C$2:C164, C164)</f>
        <v/>
      </c>
      <c r="H164" s="6">
        <f>IF(B164 &gt; MAX('04_LOG_FIELD_ENTRIES'!$B:$B), "", SUMIFS('04_LOG_FIELD_ENTRIES'!$J:$J, '04_LOG_FIELD_ENTRIES'!$B:$B, B164, '04_LOG_FIELD_ENTRIES'!$D:$D, C164, '04_LOG_FIELD_ENTRIES'!$K:$K, "EV_PRODUCCION"))</f>
        <v/>
      </c>
      <c r="I164" s="6">
        <f>IF(B164 &gt; MAX('04_LOG_FIELD_ENTRIES'!$B:$B), "", SUMIFS(H$2:H164, C$2:C164, C164))</f>
        <v/>
      </c>
      <c r="J164" s="6">
        <f>IF(B164 &gt; MAX('04_LOG_FIELD_ENTRIES'!$B:$B), "", SUMIFS('04_LOG_FIELD_ENTRIES'!$J:$J, '04_LOG_FIELD_ENTRIES'!$B:$B, B164, '04_LOG_FIELD_ENTRIES'!$D:$D, C164, '04_LOG_FIELD_ENTRIES'!$K:$K, "AC_*"))</f>
        <v/>
      </c>
      <c r="K164" s="6">
        <f>IF(B164 &gt; MAX('04_LOG_FIELD_ENTRIES'!$B:$B), "", SUMIFS(J$2:J164, C$2:C164, C164))</f>
        <v/>
      </c>
      <c r="L164" s="6">
        <f>IF(K164="", "", I164-K164)</f>
        <v/>
      </c>
      <c r="M164" s="6">
        <f>IF(I164="", "", I164-G164)</f>
        <v/>
      </c>
      <c r="N164" s="21">
        <f>IF(I164="", "", IF(G164&gt;0, I164/G164, 1))</f>
        <v/>
      </c>
      <c r="O164" s="21">
        <f>IF(I164="", "", IF(K164&gt;0, I164/K164, 1))</f>
        <v/>
      </c>
      <c r="P164" s="2">
        <f>IF(I164="", "", IF(AND(N164&gt;=0.95, O164&gt;=0.95), "SALUDABLE", IF(N164&lt;0.9, "ALERTA RETRASO", "ALERTA SOBRECOSTO")))</f>
        <v/>
      </c>
    </row>
    <row r="165" ht="19.95" customHeight="1">
      <c r="A165" s="4" t="n">
        <v>41</v>
      </c>
      <c r="B165" s="31" t="n">
        <v>46275</v>
      </c>
      <c r="C165" s="2" t="inlineStr">
        <is>
          <t>WBS-400</t>
        </is>
      </c>
      <c r="D165" s="3" t="inlineStr">
        <is>
          <t>Pruebas Hidráulicas, Desinfección y Entrega</t>
        </is>
      </c>
      <c r="E165" s="6">
        <f>SUM('01_PRESUPUESTO_CRONOGRAMA_BASE'!G12:G12)</f>
        <v/>
      </c>
      <c r="F165" s="6">
        <f>SUMIFS('02_CRONOGRAMA_PV_DIARIO'!E:E, '02_CRONOGRAMA_PV_DIARIO'!A:A, A165, '02_CRONOGRAMA_PV_DIARIO'!C:C, C165)</f>
        <v/>
      </c>
      <c r="G165" s="6">
        <f>SUMIFS(F$2:F165, C$2:C165, C165)</f>
        <v/>
      </c>
      <c r="H165" s="6">
        <f>IF(B165 &gt; MAX('04_LOG_FIELD_ENTRIES'!$B:$B), "", SUMIFS('04_LOG_FIELD_ENTRIES'!$J:$J, '04_LOG_FIELD_ENTRIES'!$B:$B, B165, '04_LOG_FIELD_ENTRIES'!$D:$D, C165, '04_LOG_FIELD_ENTRIES'!$K:$K, "EV_PRODUCCION"))</f>
        <v/>
      </c>
      <c r="I165" s="6">
        <f>IF(B165 &gt; MAX('04_LOG_FIELD_ENTRIES'!$B:$B), "", SUMIFS(H$2:H165, C$2:C165, C165))</f>
        <v/>
      </c>
      <c r="J165" s="6">
        <f>IF(B165 &gt; MAX('04_LOG_FIELD_ENTRIES'!$B:$B), "", SUMIFS('04_LOG_FIELD_ENTRIES'!$J:$J, '04_LOG_FIELD_ENTRIES'!$B:$B, B165, '04_LOG_FIELD_ENTRIES'!$D:$D, C165, '04_LOG_FIELD_ENTRIES'!$K:$K, "AC_*"))</f>
        <v/>
      </c>
      <c r="K165" s="6">
        <f>IF(B165 &gt; MAX('04_LOG_FIELD_ENTRIES'!$B:$B), "", SUMIFS(J$2:J165, C$2:C165, C165))</f>
        <v/>
      </c>
      <c r="L165" s="6">
        <f>IF(K165="", "", I165-K165)</f>
        <v/>
      </c>
      <c r="M165" s="6">
        <f>IF(I165="", "", I165-G165)</f>
        <v/>
      </c>
      <c r="N165" s="21">
        <f>IF(I165="", "", IF(G165&gt;0, I165/G165, 1))</f>
        <v/>
      </c>
      <c r="O165" s="21">
        <f>IF(I165="", "", IF(K165&gt;0, I165/K165, 1))</f>
        <v/>
      </c>
      <c r="P165" s="2">
        <f>IF(I165="", "", IF(AND(N165&gt;=0.95, O165&gt;=0.95), "SALUDABLE", IF(N165&lt;0.9, "ALERTA RETRASO", "ALERTA SOBRECOSTO")))</f>
        <v/>
      </c>
    </row>
    <row r="166" ht="19.95" customHeight="1">
      <c r="A166" s="4" t="n">
        <v>42</v>
      </c>
      <c r="B166" s="31" t="n">
        <v>46276</v>
      </c>
      <c r="C166" s="2" t="inlineStr">
        <is>
          <t>WBS-100</t>
        </is>
      </c>
      <c r="D166" s="3" t="inlineStr">
        <is>
          <t>Obras Preliminares, Trazo y Movilización</t>
        </is>
      </c>
      <c r="E166" s="6">
        <f>SUM('01_PRESUPUESTO_CRONOGRAMA_BASE'!G2:G3)</f>
        <v/>
      </c>
      <c r="F166" s="6">
        <f>SUMIFS('02_CRONOGRAMA_PV_DIARIO'!E:E, '02_CRONOGRAMA_PV_DIARIO'!A:A, A166, '02_CRONOGRAMA_PV_DIARIO'!C:C, C166)</f>
        <v/>
      </c>
      <c r="G166" s="6">
        <f>SUMIFS(F$2:F166, C$2:C166, C166)</f>
        <v/>
      </c>
      <c r="H166" s="6">
        <f>IF(B166 &gt; MAX('04_LOG_FIELD_ENTRIES'!$B:$B), "", SUMIFS('04_LOG_FIELD_ENTRIES'!$J:$J, '04_LOG_FIELD_ENTRIES'!$B:$B, B166, '04_LOG_FIELD_ENTRIES'!$D:$D, C166, '04_LOG_FIELD_ENTRIES'!$K:$K, "EV_PRODUCCION"))</f>
        <v/>
      </c>
      <c r="I166" s="6">
        <f>IF(B166 &gt; MAX('04_LOG_FIELD_ENTRIES'!$B:$B), "", SUMIFS(H$2:H166, C$2:C166, C166))</f>
        <v/>
      </c>
      <c r="J166" s="6">
        <f>IF(B166 &gt; MAX('04_LOG_FIELD_ENTRIES'!$B:$B), "", SUMIFS('04_LOG_FIELD_ENTRIES'!$J:$J, '04_LOG_FIELD_ENTRIES'!$B:$B, B166, '04_LOG_FIELD_ENTRIES'!$D:$D, C166, '04_LOG_FIELD_ENTRIES'!$K:$K, "AC_*"))</f>
        <v/>
      </c>
      <c r="K166" s="6">
        <f>IF(B166 &gt; MAX('04_LOG_FIELD_ENTRIES'!$B:$B), "", SUMIFS(J$2:J166, C$2:C166, C166))</f>
        <v/>
      </c>
      <c r="L166" s="6">
        <f>IF(K166="", "", I166-K166)</f>
        <v/>
      </c>
      <c r="M166" s="6">
        <f>IF(I166="", "", I166-G166)</f>
        <v/>
      </c>
      <c r="N166" s="21">
        <f>IF(I166="", "", IF(G166&gt;0, I166/G166, 1))</f>
        <v/>
      </c>
      <c r="O166" s="21">
        <f>IF(I166="", "", IF(K166&gt;0, I166/K166, 1))</f>
        <v/>
      </c>
      <c r="P166" s="2">
        <f>IF(I166="", "", IF(AND(N166&gt;=0.95, O166&gt;=0.95), "SALUDABLE", IF(N166&lt;0.9, "ALERTA RETRASO", "ALERTA SOBRECOSTO")))</f>
        <v/>
      </c>
    </row>
    <row r="167" ht="19.95" customHeight="1">
      <c r="A167" s="4" t="n">
        <v>42</v>
      </c>
      <c r="B167" s="31" t="n">
        <v>46276</v>
      </c>
      <c r="C167" s="2" t="inlineStr">
        <is>
          <t>WBS-200</t>
        </is>
      </c>
      <c r="D167" s="3" t="inlineStr">
        <is>
          <t>Red de Alcantarillado, Zanjas y Buzones</t>
        </is>
      </c>
      <c r="E167" s="6">
        <f>SUM('01_PRESUPUESTO_CRONOGRAMA_BASE'!G4:G9)</f>
        <v/>
      </c>
      <c r="F167" s="6">
        <f>SUMIFS('02_CRONOGRAMA_PV_DIARIO'!E:E, '02_CRONOGRAMA_PV_DIARIO'!A:A, A167, '02_CRONOGRAMA_PV_DIARIO'!C:C, C167)</f>
        <v/>
      </c>
      <c r="G167" s="6">
        <f>SUMIFS(F$2:F167, C$2:C167, C167)</f>
        <v/>
      </c>
      <c r="H167" s="6">
        <f>IF(B167 &gt; MAX('04_LOG_FIELD_ENTRIES'!$B:$B), "", SUMIFS('04_LOG_FIELD_ENTRIES'!$J:$J, '04_LOG_FIELD_ENTRIES'!$B:$B, B167, '04_LOG_FIELD_ENTRIES'!$D:$D, C167, '04_LOG_FIELD_ENTRIES'!$K:$K, "EV_PRODUCCION"))</f>
        <v/>
      </c>
      <c r="I167" s="6">
        <f>IF(B167 &gt; MAX('04_LOG_FIELD_ENTRIES'!$B:$B), "", SUMIFS(H$2:H167, C$2:C167, C167))</f>
        <v/>
      </c>
      <c r="J167" s="6">
        <f>IF(B167 &gt; MAX('04_LOG_FIELD_ENTRIES'!$B:$B), "", SUMIFS('04_LOG_FIELD_ENTRIES'!$J:$J, '04_LOG_FIELD_ENTRIES'!$B:$B, B167, '04_LOG_FIELD_ENTRIES'!$D:$D, C167, '04_LOG_FIELD_ENTRIES'!$K:$K, "AC_*"))</f>
        <v/>
      </c>
      <c r="K167" s="6">
        <f>IF(B167 &gt; MAX('04_LOG_FIELD_ENTRIES'!$B:$B), "", SUMIFS(J$2:J167, C$2:C167, C167))</f>
        <v/>
      </c>
      <c r="L167" s="6">
        <f>IF(K167="", "", I167-K167)</f>
        <v/>
      </c>
      <c r="M167" s="6">
        <f>IF(I167="", "", I167-G167)</f>
        <v/>
      </c>
      <c r="N167" s="21">
        <f>IF(I167="", "", IF(G167&gt;0, I167/G167, 1))</f>
        <v/>
      </c>
      <c r="O167" s="21">
        <f>IF(I167="", "", IF(K167&gt;0, I167/K167, 1))</f>
        <v/>
      </c>
      <c r="P167" s="2">
        <f>IF(I167="", "", IF(AND(N167&gt;=0.95, O167&gt;=0.95), "SALUDABLE", IF(N167&lt;0.9, "ALERTA RETRASO", "ALERTA SOBRECOSTO")))</f>
        <v/>
      </c>
    </row>
    <row r="168" ht="19.95" customHeight="1">
      <c r="A168" s="4" t="n">
        <v>42</v>
      </c>
      <c r="B168" s="31" t="n">
        <v>46276</v>
      </c>
      <c r="C168" s="2" t="inlineStr">
        <is>
          <t>WBS-300</t>
        </is>
      </c>
      <c r="D168" s="3" t="inlineStr">
        <is>
          <t>Red de Agua Potable y Conexiones Domiciliarias</t>
        </is>
      </c>
      <c r="E168" s="6">
        <f>SUM('01_PRESUPUESTO_CRONOGRAMA_BASE'!G10:G11)</f>
        <v/>
      </c>
      <c r="F168" s="6">
        <f>SUMIFS('02_CRONOGRAMA_PV_DIARIO'!E:E, '02_CRONOGRAMA_PV_DIARIO'!A:A, A168, '02_CRONOGRAMA_PV_DIARIO'!C:C, C168)</f>
        <v/>
      </c>
      <c r="G168" s="6">
        <f>SUMIFS(F$2:F168, C$2:C168, C168)</f>
        <v/>
      </c>
      <c r="H168" s="6">
        <f>IF(B168 &gt; MAX('04_LOG_FIELD_ENTRIES'!$B:$B), "", SUMIFS('04_LOG_FIELD_ENTRIES'!$J:$J, '04_LOG_FIELD_ENTRIES'!$B:$B, B168, '04_LOG_FIELD_ENTRIES'!$D:$D, C168, '04_LOG_FIELD_ENTRIES'!$K:$K, "EV_PRODUCCION"))</f>
        <v/>
      </c>
      <c r="I168" s="6">
        <f>IF(B168 &gt; MAX('04_LOG_FIELD_ENTRIES'!$B:$B), "", SUMIFS(H$2:H168, C$2:C168, C168))</f>
        <v/>
      </c>
      <c r="J168" s="6">
        <f>IF(B168 &gt; MAX('04_LOG_FIELD_ENTRIES'!$B:$B), "", SUMIFS('04_LOG_FIELD_ENTRIES'!$J:$J, '04_LOG_FIELD_ENTRIES'!$B:$B, B168, '04_LOG_FIELD_ENTRIES'!$D:$D, C168, '04_LOG_FIELD_ENTRIES'!$K:$K, "AC_*"))</f>
        <v/>
      </c>
      <c r="K168" s="6">
        <f>IF(B168 &gt; MAX('04_LOG_FIELD_ENTRIES'!$B:$B), "", SUMIFS(J$2:J168, C$2:C168, C168))</f>
        <v/>
      </c>
      <c r="L168" s="6">
        <f>IF(K168="", "", I168-K168)</f>
        <v/>
      </c>
      <c r="M168" s="6">
        <f>IF(I168="", "", I168-G168)</f>
        <v/>
      </c>
      <c r="N168" s="21">
        <f>IF(I168="", "", IF(G168&gt;0, I168/G168, 1))</f>
        <v/>
      </c>
      <c r="O168" s="21">
        <f>IF(I168="", "", IF(K168&gt;0, I168/K168, 1))</f>
        <v/>
      </c>
      <c r="P168" s="2">
        <f>IF(I168="", "", IF(AND(N168&gt;=0.95, O168&gt;=0.95), "SALUDABLE", IF(N168&lt;0.9, "ALERTA RETRASO", "ALERTA SOBRECOSTO")))</f>
        <v/>
      </c>
    </row>
    <row r="169" ht="19.95" customHeight="1">
      <c r="A169" s="4" t="n">
        <v>42</v>
      </c>
      <c r="B169" s="31" t="n">
        <v>46276</v>
      </c>
      <c r="C169" s="2" t="inlineStr">
        <is>
          <t>WBS-400</t>
        </is>
      </c>
      <c r="D169" s="3" t="inlineStr">
        <is>
          <t>Pruebas Hidráulicas, Desinfección y Entrega</t>
        </is>
      </c>
      <c r="E169" s="6">
        <f>SUM('01_PRESUPUESTO_CRONOGRAMA_BASE'!G12:G12)</f>
        <v/>
      </c>
      <c r="F169" s="6">
        <f>SUMIFS('02_CRONOGRAMA_PV_DIARIO'!E:E, '02_CRONOGRAMA_PV_DIARIO'!A:A, A169, '02_CRONOGRAMA_PV_DIARIO'!C:C, C169)</f>
        <v/>
      </c>
      <c r="G169" s="6">
        <f>SUMIFS(F$2:F169, C$2:C169, C169)</f>
        <v/>
      </c>
      <c r="H169" s="6">
        <f>IF(B169 &gt; MAX('04_LOG_FIELD_ENTRIES'!$B:$B), "", SUMIFS('04_LOG_FIELD_ENTRIES'!$J:$J, '04_LOG_FIELD_ENTRIES'!$B:$B, B169, '04_LOG_FIELD_ENTRIES'!$D:$D, C169, '04_LOG_FIELD_ENTRIES'!$K:$K, "EV_PRODUCCION"))</f>
        <v/>
      </c>
      <c r="I169" s="6">
        <f>IF(B169 &gt; MAX('04_LOG_FIELD_ENTRIES'!$B:$B), "", SUMIFS(H$2:H169, C$2:C169, C169))</f>
        <v/>
      </c>
      <c r="J169" s="6">
        <f>IF(B169 &gt; MAX('04_LOG_FIELD_ENTRIES'!$B:$B), "", SUMIFS('04_LOG_FIELD_ENTRIES'!$J:$J, '04_LOG_FIELD_ENTRIES'!$B:$B, B169, '04_LOG_FIELD_ENTRIES'!$D:$D, C169, '04_LOG_FIELD_ENTRIES'!$K:$K, "AC_*"))</f>
        <v/>
      </c>
      <c r="K169" s="6">
        <f>IF(B169 &gt; MAX('04_LOG_FIELD_ENTRIES'!$B:$B), "", SUMIFS(J$2:J169, C$2:C169, C169))</f>
        <v/>
      </c>
      <c r="L169" s="6">
        <f>IF(K169="", "", I169-K169)</f>
        <v/>
      </c>
      <c r="M169" s="6">
        <f>IF(I169="", "", I169-G169)</f>
        <v/>
      </c>
      <c r="N169" s="21">
        <f>IF(I169="", "", IF(G169&gt;0, I169/G169, 1))</f>
        <v/>
      </c>
      <c r="O169" s="21">
        <f>IF(I169="", "", IF(K169&gt;0, I169/K169, 1))</f>
        <v/>
      </c>
      <c r="P169" s="2">
        <f>IF(I169="", "", IF(AND(N169&gt;=0.95, O169&gt;=0.95), "SALUDABLE", IF(N169&lt;0.9, "ALERTA RETRASO", "ALERTA SOBRECOSTO")))</f>
        <v/>
      </c>
    </row>
    <row r="170" ht="19.95" customHeight="1">
      <c r="A170" s="4" t="n">
        <v>43</v>
      </c>
      <c r="B170" s="31" t="n">
        <v>46277</v>
      </c>
      <c r="C170" s="2" t="inlineStr">
        <is>
          <t>WBS-100</t>
        </is>
      </c>
      <c r="D170" s="3" t="inlineStr">
        <is>
          <t>Obras Preliminares, Trazo y Movilización</t>
        </is>
      </c>
      <c r="E170" s="6">
        <f>SUM('01_PRESUPUESTO_CRONOGRAMA_BASE'!G2:G3)</f>
        <v/>
      </c>
      <c r="F170" s="6">
        <f>SUMIFS('02_CRONOGRAMA_PV_DIARIO'!E:E, '02_CRONOGRAMA_PV_DIARIO'!A:A, A170, '02_CRONOGRAMA_PV_DIARIO'!C:C, C170)</f>
        <v/>
      </c>
      <c r="G170" s="6">
        <f>SUMIFS(F$2:F170, C$2:C170, C170)</f>
        <v/>
      </c>
      <c r="H170" s="6">
        <f>IF(B170 &gt; MAX('04_LOG_FIELD_ENTRIES'!$B:$B), "", SUMIFS('04_LOG_FIELD_ENTRIES'!$J:$J, '04_LOG_FIELD_ENTRIES'!$B:$B, B170, '04_LOG_FIELD_ENTRIES'!$D:$D, C170, '04_LOG_FIELD_ENTRIES'!$K:$K, "EV_PRODUCCION"))</f>
        <v/>
      </c>
      <c r="I170" s="6">
        <f>IF(B170 &gt; MAX('04_LOG_FIELD_ENTRIES'!$B:$B), "", SUMIFS(H$2:H170, C$2:C170, C170))</f>
        <v/>
      </c>
      <c r="J170" s="6">
        <f>IF(B170 &gt; MAX('04_LOG_FIELD_ENTRIES'!$B:$B), "", SUMIFS('04_LOG_FIELD_ENTRIES'!$J:$J, '04_LOG_FIELD_ENTRIES'!$B:$B, B170, '04_LOG_FIELD_ENTRIES'!$D:$D, C170, '04_LOG_FIELD_ENTRIES'!$K:$K, "AC_*"))</f>
        <v/>
      </c>
      <c r="K170" s="6">
        <f>IF(B170 &gt; MAX('04_LOG_FIELD_ENTRIES'!$B:$B), "", SUMIFS(J$2:J170, C$2:C170, C170))</f>
        <v/>
      </c>
      <c r="L170" s="6">
        <f>IF(K170="", "", I170-K170)</f>
        <v/>
      </c>
      <c r="M170" s="6">
        <f>IF(I170="", "", I170-G170)</f>
        <v/>
      </c>
      <c r="N170" s="21">
        <f>IF(I170="", "", IF(G170&gt;0, I170/G170, 1))</f>
        <v/>
      </c>
      <c r="O170" s="21">
        <f>IF(I170="", "", IF(K170&gt;0, I170/K170, 1))</f>
        <v/>
      </c>
      <c r="P170" s="2">
        <f>IF(I170="", "", IF(AND(N170&gt;=0.95, O170&gt;=0.95), "SALUDABLE", IF(N170&lt;0.9, "ALERTA RETRASO", "ALERTA SOBRECOSTO")))</f>
        <v/>
      </c>
    </row>
    <row r="171" ht="19.95" customHeight="1">
      <c r="A171" s="4" t="n">
        <v>43</v>
      </c>
      <c r="B171" s="31" t="n">
        <v>46277</v>
      </c>
      <c r="C171" s="2" t="inlineStr">
        <is>
          <t>WBS-200</t>
        </is>
      </c>
      <c r="D171" s="3" t="inlineStr">
        <is>
          <t>Red de Alcantarillado, Zanjas y Buzones</t>
        </is>
      </c>
      <c r="E171" s="6">
        <f>SUM('01_PRESUPUESTO_CRONOGRAMA_BASE'!G4:G9)</f>
        <v/>
      </c>
      <c r="F171" s="6">
        <f>SUMIFS('02_CRONOGRAMA_PV_DIARIO'!E:E, '02_CRONOGRAMA_PV_DIARIO'!A:A, A171, '02_CRONOGRAMA_PV_DIARIO'!C:C, C171)</f>
        <v/>
      </c>
      <c r="G171" s="6">
        <f>SUMIFS(F$2:F171, C$2:C171, C171)</f>
        <v/>
      </c>
      <c r="H171" s="6">
        <f>IF(B171 &gt; MAX('04_LOG_FIELD_ENTRIES'!$B:$B), "", SUMIFS('04_LOG_FIELD_ENTRIES'!$J:$J, '04_LOG_FIELD_ENTRIES'!$B:$B, B171, '04_LOG_FIELD_ENTRIES'!$D:$D, C171, '04_LOG_FIELD_ENTRIES'!$K:$K, "EV_PRODUCCION"))</f>
        <v/>
      </c>
      <c r="I171" s="6">
        <f>IF(B171 &gt; MAX('04_LOG_FIELD_ENTRIES'!$B:$B), "", SUMIFS(H$2:H171, C$2:C171, C171))</f>
        <v/>
      </c>
      <c r="J171" s="6">
        <f>IF(B171 &gt; MAX('04_LOG_FIELD_ENTRIES'!$B:$B), "", SUMIFS('04_LOG_FIELD_ENTRIES'!$J:$J, '04_LOG_FIELD_ENTRIES'!$B:$B, B171, '04_LOG_FIELD_ENTRIES'!$D:$D, C171, '04_LOG_FIELD_ENTRIES'!$K:$K, "AC_*"))</f>
        <v/>
      </c>
      <c r="K171" s="6">
        <f>IF(B171 &gt; MAX('04_LOG_FIELD_ENTRIES'!$B:$B), "", SUMIFS(J$2:J171, C$2:C171, C171))</f>
        <v/>
      </c>
      <c r="L171" s="6">
        <f>IF(K171="", "", I171-K171)</f>
        <v/>
      </c>
      <c r="M171" s="6">
        <f>IF(I171="", "", I171-G171)</f>
        <v/>
      </c>
      <c r="N171" s="21">
        <f>IF(I171="", "", IF(G171&gt;0, I171/G171, 1))</f>
        <v/>
      </c>
      <c r="O171" s="21">
        <f>IF(I171="", "", IF(K171&gt;0, I171/K171, 1))</f>
        <v/>
      </c>
      <c r="P171" s="2">
        <f>IF(I171="", "", IF(AND(N171&gt;=0.95, O171&gt;=0.95), "SALUDABLE", IF(N171&lt;0.9, "ALERTA RETRASO", "ALERTA SOBRECOSTO")))</f>
        <v/>
      </c>
    </row>
    <row r="172" ht="19.95" customHeight="1">
      <c r="A172" s="4" t="n">
        <v>43</v>
      </c>
      <c r="B172" s="31" t="n">
        <v>46277</v>
      </c>
      <c r="C172" s="2" t="inlineStr">
        <is>
          <t>WBS-300</t>
        </is>
      </c>
      <c r="D172" s="3" t="inlineStr">
        <is>
          <t>Red de Agua Potable y Conexiones Domiciliarias</t>
        </is>
      </c>
      <c r="E172" s="6">
        <f>SUM('01_PRESUPUESTO_CRONOGRAMA_BASE'!G10:G11)</f>
        <v/>
      </c>
      <c r="F172" s="6">
        <f>SUMIFS('02_CRONOGRAMA_PV_DIARIO'!E:E, '02_CRONOGRAMA_PV_DIARIO'!A:A, A172, '02_CRONOGRAMA_PV_DIARIO'!C:C, C172)</f>
        <v/>
      </c>
      <c r="G172" s="6">
        <f>SUMIFS(F$2:F172, C$2:C172, C172)</f>
        <v/>
      </c>
      <c r="H172" s="6">
        <f>IF(B172 &gt; MAX('04_LOG_FIELD_ENTRIES'!$B:$B), "", SUMIFS('04_LOG_FIELD_ENTRIES'!$J:$J, '04_LOG_FIELD_ENTRIES'!$B:$B, B172, '04_LOG_FIELD_ENTRIES'!$D:$D, C172, '04_LOG_FIELD_ENTRIES'!$K:$K, "EV_PRODUCCION"))</f>
        <v/>
      </c>
      <c r="I172" s="6">
        <f>IF(B172 &gt; MAX('04_LOG_FIELD_ENTRIES'!$B:$B), "", SUMIFS(H$2:H172, C$2:C172, C172))</f>
        <v/>
      </c>
      <c r="J172" s="6">
        <f>IF(B172 &gt; MAX('04_LOG_FIELD_ENTRIES'!$B:$B), "", SUMIFS('04_LOG_FIELD_ENTRIES'!$J:$J, '04_LOG_FIELD_ENTRIES'!$B:$B, B172, '04_LOG_FIELD_ENTRIES'!$D:$D, C172, '04_LOG_FIELD_ENTRIES'!$K:$K, "AC_*"))</f>
        <v/>
      </c>
      <c r="K172" s="6">
        <f>IF(B172 &gt; MAX('04_LOG_FIELD_ENTRIES'!$B:$B), "", SUMIFS(J$2:J172, C$2:C172, C172))</f>
        <v/>
      </c>
      <c r="L172" s="6">
        <f>IF(K172="", "", I172-K172)</f>
        <v/>
      </c>
      <c r="M172" s="6">
        <f>IF(I172="", "", I172-G172)</f>
        <v/>
      </c>
      <c r="N172" s="21">
        <f>IF(I172="", "", IF(G172&gt;0, I172/G172, 1))</f>
        <v/>
      </c>
      <c r="O172" s="21">
        <f>IF(I172="", "", IF(K172&gt;0, I172/K172, 1))</f>
        <v/>
      </c>
      <c r="P172" s="2">
        <f>IF(I172="", "", IF(AND(N172&gt;=0.95, O172&gt;=0.95), "SALUDABLE", IF(N172&lt;0.9, "ALERTA RETRASO", "ALERTA SOBRECOSTO")))</f>
        <v/>
      </c>
    </row>
    <row r="173" ht="19.95" customHeight="1">
      <c r="A173" s="4" t="n">
        <v>43</v>
      </c>
      <c r="B173" s="31" t="n">
        <v>46277</v>
      </c>
      <c r="C173" s="2" t="inlineStr">
        <is>
          <t>WBS-400</t>
        </is>
      </c>
      <c r="D173" s="3" t="inlineStr">
        <is>
          <t>Pruebas Hidráulicas, Desinfección y Entrega</t>
        </is>
      </c>
      <c r="E173" s="6">
        <f>SUM('01_PRESUPUESTO_CRONOGRAMA_BASE'!G12:G12)</f>
        <v/>
      </c>
      <c r="F173" s="6">
        <f>SUMIFS('02_CRONOGRAMA_PV_DIARIO'!E:E, '02_CRONOGRAMA_PV_DIARIO'!A:A, A173, '02_CRONOGRAMA_PV_DIARIO'!C:C, C173)</f>
        <v/>
      </c>
      <c r="G173" s="6">
        <f>SUMIFS(F$2:F173, C$2:C173, C173)</f>
        <v/>
      </c>
      <c r="H173" s="6">
        <f>IF(B173 &gt; MAX('04_LOG_FIELD_ENTRIES'!$B:$B), "", SUMIFS('04_LOG_FIELD_ENTRIES'!$J:$J, '04_LOG_FIELD_ENTRIES'!$B:$B, B173, '04_LOG_FIELD_ENTRIES'!$D:$D, C173, '04_LOG_FIELD_ENTRIES'!$K:$K, "EV_PRODUCCION"))</f>
        <v/>
      </c>
      <c r="I173" s="6">
        <f>IF(B173 &gt; MAX('04_LOG_FIELD_ENTRIES'!$B:$B), "", SUMIFS(H$2:H173, C$2:C173, C173))</f>
        <v/>
      </c>
      <c r="J173" s="6">
        <f>IF(B173 &gt; MAX('04_LOG_FIELD_ENTRIES'!$B:$B), "", SUMIFS('04_LOG_FIELD_ENTRIES'!$J:$J, '04_LOG_FIELD_ENTRIES'!$B:$B, B173, '04_LOG_FIELD_ENTRIES'!$D:$D, C173, '04_LOG_FIELD_ENTRIES'!$K:$K, "AC_*"))</f>
        <v/>
      </c>
      <c r="K173" s="6">
        <f>IF(B173 &gt; MAX('04_LOG_FIELD_ENTRIES'!$B:$B), "", SUMIFS(J$2:J173, C$2:C173, C173))</f>
        <v/>
      </c>
      <c r="L173" s="6">
        <f>IF(K173="", "", I173-K173)</f>
        <v/>
      </c>
      <c r="M173" s="6">
        <f>IF(I173="", "", I173-G173)</f>
        <v/>
      </c>
      <c r="N173" s="21">
        <f>IF(I173="", "", IF(G173&gt;0, I173/G173, 1))</f>
        <v/>
      </c>
      <c r="O173" s="21">
        <f>IF(I173="", "", IF(K173&gt;0, I173/K173, 1))</f>
        <v/>
      </c>
      <c r="P173" s="2">
        <f>IF(I173="", "", IF(AND(N173&gt;=0.95, O173&gt;=0.95), "SALUDABLE", IF(N173&lt;0.9, "ALERTA RETRASO", "ALERTA SOBRECOSTO")))</f>
        <v/>
      </c>
    </row>
    <row r="174" ht="19.95" customHeight="1">
      <c r="A174" s="4" t="n">
        <v>44</v>
      </c>
      <c r="B174" s="31" t="n">
        <v>46278</v>
      </c>
      <c r="C174" s="2" t="inlineStr">
        <is>
          <t>WBS-100</t>
        </is>
      </c>
      <c r="D174" s="3" t="inlineStr">
        <is>
          <t>Obras Preliminares, Trazo y Movilización</t>
        </is>
      </c>
      <c r="E174" s="6">
        <f>SUM('01_PRESUPUESTO_CRONOGRAMA_BASE'!G2:G3)</f>
        <v/>
      </c>
      <c r="F174" s="6">
        <f>SUMIFS('02_CRONOGRAMA_PV_DIARIO'!E:E, '02_CRONOGRAMA_PV_DIARIO'!A:A, A174, '02_CRONOGRAMA_PV_DIARIO'!C:C, C174)</f>
        <v/>
      </c>
      <c r="G174" s="6">
        <f>SUMIFS(F$2:F174, C$2:C174, C174)</f>
        <v/>
      </c>
      <c r="H174" s="6">
        <f>IF(B174 &gt; MAX('04_LOG_FIELD_ENTRIES'!$B:$B), "", SUMIFS('04_LOG_FIELD_ENTRIES'!$J:$J, '04_LOG_FIELD_ENTRIES'!$B:$B, B174, '04_LOG_FIELD_ENTRIES'!$D:$D, C174, '04_LOG_FIELD_ENTRIES'!$K:$K, "EV_PRODUCCION"))</f>
        <v/>
      </c>
      <c r="I174" s="6">
        <f>IF(B174 &gt; MAX('04_LOG_FIELD_ENTRIES'!$B:$B), "", SUMIFS(H$2:H174, C$2:C174, C174))</f>
        <v/>
      </c>
      <c r="J174" s="6">
        <f>IF(B174 &gt; MAX('04_LOG_FIELD_ENTRIES'!$B:$B), "", SUMIFS('04_LOG_FIELD_ENTRIES'!$J:$J, '04_LOG_FIELD_ENTRIES'!$B:$B, B174, '04_LOG_FIELD_ENTRIES'!$D:$D, C174, '04_LOG_FIELD_ENTRIES'!$K:$K, "AC_*"))</f>
        <v/>
      </c>
      <c r="K174" s="6">
        <f>IF(B174 &gt; MAX('04_LOG_FIELD_ENTRIES'!$B:$B), "", SUMIFS(J$2:J174, C$2:C174, C174))</f>
        <v/>
      </c>
      <c r="L174" s="6">
        <f>IF(K174="", "", I174-K174)</f>
        <v/>
      </c>
      <c r="M174" s="6">
        <f>IF(I174="", "", I174-G174)</f>
        <v/>
      </c>
      <c r="N174" s="21">
        <f>IF(I174="", "", IF(G174&gt;0, I174/G174, 1))</f>
        <v/>
      </c>
      <c r="O174" s="21">
        <f>IF(I174="", "", IF(K174&gt;0, I174/K174, 1))</f>
        <v/>
      </c>
      <c r="P174" s="2">
        <f>IF(I174="", "", IF(AND(N174&gt;=0.95, O174&gt;=0.95), "SALUDABLE", IF(N174&lt;0.9, "ALERTA RETRASO", "ALERTA SOBRECOSTO")))</f>
        <v/>
      </c>
    </row>
    <row r="175" ht="19.95" customHeight="1">
      <c r="A175" s="4" t="n">
        <v>44</v>
      </c>
      <c r="B175" s="31" t="n">
        <v>46278</v>
      </c>
      <c r="C175" s="2" t="inlineStr">
        <is>
          <t>WBS-200</t>
        </is>
      </c>
      <c r="D175" s="3" t="inlineStr">
        <is>
          <t>Red de Alcantarillado, Zanjas y Buzones</t>
        </is>
      </c>
      <c r="E175" s="6">
        <f>SUM('01_PRESUPUESTO_CRONOGRAMA_BASE'!G4:G9)</f>
        <v/>
      </c>
      <c r="F175" s="6">
        <f>SUMIFS('02_CRONOGRAMA_PV_DIARIO'!E:E, '02_CRONOGRAMA_PV_DIARIO'!A:A, A175, '02_CRONOGRAMA_PV_DIARIO'!C:C, C175)</f>
        <v/>
      </c>
      <c r="G175" s="6">
        <f>SUMIFS(F$2:F175, C$2:C175, C175)</f>
        <v/>
      </c>
      <c r="H175" s="6">
        <f>IF(B175 &gt; MAX('04_LOG_FIELD_ENTRIES'!$B:$B), "", SUMIFS('04_LOG_FIELD_ENTRIES'!$J:$J, '04_LOG_FIELD_ENTRIES'!$B:$B, B175, '04_LOG_FIELD_ENTRIES'!$D:$D, C175, '04_LOG_FIELD_ENTRIES'!$K:$K, "EV_PRODUCCION"))</f>
        <v/>
      </c>
      <c r="I175" s="6">
        <f>IF(B175 &gt; MAX('04_LOG_FIELD_ENTRIES'!$B:$B), "", SUMIFS(H$2:H175, C$2:C175, C175))</f>
        <v/>
      </c>
      <c r="J175" s="6">
        <f>IF(B175 &gt; MAX('04_LOG_FIELD_ENTRIES'!$B:$B), "", SUMIFS('04_LOG_FIELD_ENTRIES'!$J:$J, '04_LOG_FIELD_ENTRIES'!$B:$B, B175, '04_LOG_FIELD_ENTRIES'!$D:$D, C175, '04_LOG_FIELD_ENTRIES'!$K:$K, "AC_*"))</f>
        <v/>
      </c>
      <c r="K175" s="6">
        <f>IF(B175 &gt; MAX('04_LOG_FIELD_ENTRIES'!$B:$B), "", SUMIFS(J$2:J175, C$2:C175, C175))</f>
        <v/>
      </c>
      <c r="L175" s="6">
        <f>IF(K175="", "", I175-K175)</f>
        <v/>
      </c>
      <c r="M175" s="6">
        <f>IF(I175="", "", I175-G175)</f>
        <v/>
      </c>
      <c r="N175" s="21">
        <f>IF(I175="", "", IF(G175&gt;0, I175/G175, 1))</f>
        <v/>
      </c>
      <c r="O175" s="21">
        <f>IF(I175="", "", IF(K175&gt;0, I175/K175, 1))</f>
        <v/>
      </c>
      <c r="P175" s="2">
        <f>IF(I175="", "", IF(AND(N175&gt;=0.95, O175&gt;=0.95), "SALUDABLE", IF(N175&lt;0.9, "ALERTA RETRASO", "ALERTA SOBRECOSTO")))</f>
        <v/>
      </c>
    </row>
    <row r="176" ht="19.95" customHeight="1">
      <c r="A176" s="4" t="n">
        <v>44</v>
      </c>
      <c r="B176" s="31" t="n">
        <v>46278</v>
      </c>
      <c r="C176" s="2" t="inlineStr">
        <is>
          <t>WBS-300</t>
        </is>
      </c>
      <c r="D176" s="3" t="inlineStr">
        <is>
          <t>Red de Agua Potable y Conexiones Domiciliarias</t>
        </is>
      </c>
      <c r="E176" s="6">
        <f>SUM('01_PRESUPUESTO_CRONOGRAMA_BASE'!G10:G11)</f>
        <v/>
      </c>
      <c r="F176" s="6">
        <f>SUMIFS('02_CRONOGRAMA_PV_DIARIO'!E:E, '02_CRONOGRAMA_PV_DIARIO'!A:A, A176, '02_CRONOGRAMA_PV_DIARIO'!C:C, C176)</f>
        <v/>
      </c>
      <c r="G176" s="6">
        <f>SUMIFS(F$2:F176, C$2:C176, C176)</f>
        <v/>
      </c>
      <c r="H176" s="6">
        <f>IF(B176 &gt; MAX('04_LOG_FIELD_ENTRIES'!$B:$B), "", SUMIFS('04_LOG_FIELD_ENTRIES'!$J:$J, '04_LOG_FIELD_ENTRIES'!$B:$B, B176, '04_LOG_FIELD_ENTRIES'!$D:$D, C176, '04_LOG_FIELD_ENTRIES'!$K:$K, "EV_PRODUCCION"))</f>
        <v/>
      </c>
      <c r="I176" s="6">
        <f>IF(B176 &gt; MAX('04_LOG_FIELD_ENTRIES'!$B:$B), "", SUMIFS(H$2:H176, C$2:C176, C176))</f>
        <v/>
      </c>
      <c r="J176" s="6">
        <f>IF(B176 &gt; MAX('04_LOG_FIELD_ENTRIES'!$B:$B), "", SUMIFS('04_LOG_FIELD_ENTRIES'!$J:$J, '04_LOG_FIELD_ENTRIES'!$B:$B, B176, '04_LOG_FIELD_ENTRIES'!$D:$D, C176, '04_LOG_FIELD_ENTRIES'!$K:$K, "AC_*"))</f>
        <v/>
      </c>
      <c r="K176" s="6">
        <f>IF(B176 &gt; MAX('04_LOG_FIELD_ENTRIES'!$B:$B), "", SUMIFS(J$2:J176, C$2:C176, C176))</f>
        <v/>
      </c>
      <c r="L176" s="6">
        <f>IF(K176="", "", I176-K176)</f>
        <v/>
      </c>
      <c r="M176" s="6">
        <f>IF(I176="", "", I176-G176)</f>
        <v/>
      </c>
      <c r="N176" s="21">
        <f>IF(I176="", "", IF(G176&gt;0, I176/G176, 1))</f>
        <v/>
      </c>
      <c r="O176" s="21">
        <f>IF(I176="", "", IF(K176&gt;0, I176/K176, 1))</f>
        <v/>
      </c>
      <c r="P176" s="2">
        <f>IF(I176="", "", IF(AND(N176&gt;=0.95, O176&gt;=0.95), "SALUDABLE", IF(N176&lt;0.9, "ALERTA RETRASO", "ALERTA SOBRECOSTO")))</f>
        <v/>
      </c>
    </row>
    <row r="177" ht="19.95" customHeight="1">
      <c r="A177" s="4" t="n">
        <v>44</v>
      </c>
      <c r="B177" s="31" t="n">
        <v>46278</v>
      </c>
      <c r="C177" s="2" t="inlineStr">
        <is>
          <t>WBS-400</t>
        </is>
      </c>
      <c r="D177" s="3" t="inlineStr">
        <is>
          <t>Pruebas Hidráulicas, Desinfección y Entrega</t>
        </is>
      </c>
      <c r="E177" s="6">
        <f>SUM('01_PRESUPUESTO_CRONOGRAMA_BASE'!G12:G12)</f>
        <v/>
      </c>
      <c r="F177" s="6">
        <f>SUMIFS('02_CRONOGRAMA_PV_DIARIO'!E:E, '02_CRONOGRAMA_PV_DIARIO'!A:A, A177, '02_CRONOGRAMA_PV_DIARIO'!C:C, C177)</f>
        <v/>
      </c>
      <c r="G177" s="6">
        <f>SUMIFS(F$2:F177, C$2:C177, C177)</f>
        <v/>
      </c>
      <c r="H177" s="6">
        <f>IF(B177 &gt; MAX('04_LOG_FIELD_ENTRIES'!$B:$B), "", SUMIFS('04_LOG_FIELD_ENTRIES'!$J:$J, '04_LOG_FIELD_ENTRIES'!$B:$B, B177, '04_LOG_FIELD_ENTRIES'!$D:$D, C177, '04_LOG_FIELD_ENTRIES'!$K:$K, "EV_PRODUCCION"))</f>
        <v/>
      </c>
      <c r="I177" s="6">
        <f>IF(B177 &gt; MAX('04_LOG_FIELD_ENTRIES'!$B:$B), "", SUMIFS(H$2:H177, C$2:C177, C177))</f>
        <v/>
      </c>
      <c r="J177" s="6">
        <f>IF(B177 &gt; MAX('04_LOG_FIELD_ENTRIES'!$B:$B), "", SUMIFS('04_LOG_FIELD_ENTRIES'!$J:$J, '04_LOG_FIELD_ENTRIES'!$B:$B, B177, '04_LOG_FIELD_ENTRIES'!$D:$D, C177, '04_LOG_FIELD_ENTRIES'!$K:$K, "AC_*"))</f>
        <v/>
      </c>
      <c r="K177" s="6">
        <f>IF(B177 &gt; MAX('04_LOG_FIELD_ENTRIES'!$B:$B), "", SUMIFS(J$2:J177, C$2:C177, C177))</f>
        <v/>
      </c>
      <c r="L177" s="6">
        <f>IF(K177="", "", I177-K177)</f>
        <v/>
      </c>
      <c r="M177" s="6">
        <f>IF(I177="", "", I177-G177)</f>
        <v/>
      </c>
      <c r="N177" s="21">
        <f>IF(I177="", "", IF(G177&gt;0, I177/G177, 1))</f>
        <v/>
      </c>
      <c r="O177" s="21">
        <f>IF(I177="", "", IF(K177&gt;0, I177/K177, 1))</f>
        <v/>
      </c>
      <c r="P177" s="2">
        <f>IF(I177="", "", IF(AND(N177&gt;=0.95, O177&gt;=0.95), "SALUDABLE", IF(N177&lt;0.9, "ALERTA RETRASO", "ALERTA SOBRECOSTO")))</f>
        <v/>
      </c>
    </row>
    <row r="178" ht="19.95" customHeight="1">
      <c r="A178" s="4" t="n">
        <v>45</v>
      </c>
      <c r="B178" s="31" t="n">
        <v>46279</v>
      </c>
      <c r="C178" s="2" t="inlineStr">
        <is>
          <t>WBS-100</t>
        </is>
      </c>
      <c r="D178" s="3" t="inlineStr">
        <is>
          <t>Obras Preliminares, Trazo y Movilización</t>
        </is>
      </c>
      <c r="E178" s="6">
        <f>SUM('01_PRESUPUESTO_CRONOGRAMA_BASE'!G2:G3)</f>
        <v/>
      </c>
      <c r="F178" s="6">
        <f>SUMIFS('02_CRONOGRAMA_PV_DIARIO'!E:E, '02_CRONOGRAMA_PV_DIARIO'!A:A, A178, '02_CRONOGRAMA_PV_DIARIO'!C:C, C178)</f>
        <v/>
      </c>
      <c r="G178" s="6">
        <f>SUMIFS(F$2:F178, C$2:C178, C178)</f>
        <v/>
      </c>
      <c r="H178" s="6">
        <f>IF(B178 &gt; MAX('04_LOG_FIELD_ENTRIES'!$B:$B), "", SUMIFS('04_LOG_FIELD_ENTRIES'!$J:$J, '04_LOG_FIELD_ENTRIES'!$B:$B, B178, '04_LOG_FIELD_ENTRIES'!$D:$D, C178, '04_LOG_FIELD_ENTRIES'!$K:$K, "EV_PRODUCCION"))</f>
        <v/>
      </c>
      <c r="I178" s="6">
        <f>IF(B178 &gt; MAX('04_LOG_FIELD_ENTRIES'!$B:$B), "", SUMIFS(H$2:H178, C$2:C178, C178))</f>
        <v/>
      </c>
      <c r="J178" s="6">
        <f>IF(B178 &gt; MAX('04_LOG_FIELD_ENTRIES'!$B:$B), "", SUMIFS('04_LOG_FIELD_ENTRIES'!$J:$J, '04_LOG_FIELD_ENTRIES'!$B:$B, B178, '04_LOG_FIELD_ENTRIES'!$D:$D, C178, '04_LOG_FIELD_ENTRIES'!$K:$K, "AC_*"))</f>
        <v/>
      </c>
      <c r="K178" s="6">
        <f>IF(B178 &gt; MAX('04_LOG_FIELD_ENTRIES'!$B:$B), "", SUMIFS(J$2:J178, C$2:C178, C178))</f>
        <v/>
      </c>
      <c r="L178" s="6">
        <f>IF(K178="", "", I178-K178)</f>
        <v/>
      </c>
      <c r="M178" s="6">
        <f>IF(I178="", "", I178-G178)</f>
        <v/>
      </c>
      <c r="N178" s="21">
        <f>IF(I178="", "", IF(G178&gt;0, I178/G178, 1))</f>
        <v/>
      </c>
      <c r="O178" s="21">
        <f>IF(I178="", "", IF(K178&gt;0, I178/K178, 1))</f>
        <v/>
      </c>
      <c r="P178" s="2">
        <f>IF(I178="", "", IF(AND(N178&gt;=0.95, O178&gt;=0.95), "SALUDABLE", IF(N178&lt;0.9, "ALERTA RETRASO", "ALERTA SOBRECOSTO")))</f>
        <v/>
      </c>
    </row>
    <row r="179" ht="19.95" customHeight="1">
      <c r="A179" s="4" t="n">
        <v>45</v>
      </c>
      <c r="B179" s="31" t="n">
        <v>46279</v>
      </c>
      <c r="C179" s="2" t="inlineStr">
        <is>
          <t>WBS-200</t>
        </is>
      </c>
      <c r="D179" s="3" t="inlineStr">
        <is>
          <t>Red de Alcantarillado, Zanjas y Buzones</t>
        </is>
      </c>
      <c r="E179" s="6">
        <f>SUM('01_PRESUPUESTO_CRONOGRAMA_BASE'!G4:G9)</f>
        <v/>
      </c>
      <c r="F179" s="6">
        <f>SUMIFS('02_CRONOGRAMA_PV_DIARIO'!E:E, '02_CRONOGRAMA_PV_DIARIO'!A:A, A179, '02_CRONOGRAMA_PV_DIARIO'!C:C, C179)</f>
        <v/>
      </c>
      <c r="G179" s="6">
        <f>SUMIFS(F$2:F179, C$2:C179, C179)</f>
        <v/>
      </c>
      <c r="H179" s="6">
        <f>IF(B179 &gt; MAX('04_LOG_FIELD_ENTRIES'!$B:$B), "", SUMIFS('04_LOG_FIELD_ENTRIES'!$J:$J, '04_LOG_FIELD_ENTRIES'!$B:$B, B179, '04_LOG_FIELD_ENTRIES'!$D:$D, C179, '04_LOG_FIELD_ENTRIES'!$K:$K, "EV_PRODUCCION"))</f>
        <v/>
      </c>
      <c r="I179" s="6">
        <f>IF(B179 &gt; MAX('04_LOG_FIELD_ENTRIES'!$B:$B), "", SUMIFS(H$2:H179, C$2:C179, C179))</f>
        <v/>
      </c>
      <c r="J179" s="6">
        <f>IF(B179 &gt; MAX('04_LOG_FIELD_ENTRIES'!$B:$B), "", SUMIFS('04_LOG_FIELD_ENTRIES'!$J:$J, '04_LOG_FIELD_ENTRIES'!$B:$B, B179, '04_LOG_FIELD_ENTRIES'!$D:$D, C179, '04_LOG_FIELD_ENTRIES'!$K:$K, "AC_*"))</f>
        <v/>
      </c>
      <c r="K179" s="6">
        <f>IF(B179 &gt; MAX('04_LOG_FIELD_ENTRIES'!$B:$B), "", SUMIFS(J$2:J179, C$2:C179, C179))</f>
        <v/>
      </c>
      <c r="L179" s="6">
        <f>IF(K179="", "", I179-K179)</f>
        <v/>
      </c>
      <c r="M179" s="6">
        <f>IF(I179="", "", I179-G179)</f>
        <v/>
      </c>
      <c r="N179" s="21">
        <f>IF(I179="", "", IF(G179&gt;0, I179/G179, 1))</f>
        <v/>
      </c>
      <c r="O179" s="21">
        <f>IF(I179="", "", IF(K179&gt;0, I179/K179, 1))</f>
        <v/>
      </c>
      <c r="P179" s="2">
        <f>IF(I179="", "", IF(AND(N179&gt;=0.95, O179&gt;=0.95), "SALUDABLE", IF(N179&lt;0.9, "ALERTA RETRASO", "ALERTA SOBRECOSTO")))</f>
        <v/>
      </c>
    </row>
    <row r="180" ht="19.95" customHeight="1">
      <c r="A180" s="4" t="n">
        <v>45</v>
      </c>
      <c r="B180" s="31" t="n">
        <v>46279</v>
      </c>
      <c r="C180" s="2" t="inlineStr">
        <is>
          <t>WBS-300</t>
        </is>
      </c>
      <c r="D180" s="3" t="inlineStr">
        <is>
          <t>Red de Agua Potable y Conexiones Domiciliarias</t>
        </is>
      </c>
      <c r="E180" s="6">
        <f>SUM('01_PRESUPUESTO_CRONOGRAMA_BASE'!G10:G11)</f>
        <v/>
      </c>
      <c r="F180" s="6">
        <f>SUMIFS('02_CRONOGRAMA_PV_DIARIO'!E:E, '02_CRONOGRAMA_PV_DIARIO'!A:A, A180, '02_CRONOGRAMA_PV_DIARIO'!C:C, C180)</f>
        <v/>
      </c>
      <c r="G180" s="6">
        <f>SUMIFS(F$2:F180, C$2:C180, C180)</f>
        <v/>
      </c>
      <c r="H180" s="6">
        <f>IF(B180 &gt; MAX('04_LOG_FIELD_ENTRIES'!$B:$B), "", SUMIFS('04_LOG_FIELD_ENTRIES'!$J:$J, '04_LOG_FIELD_ENTRIES'!$B:$B, B180, '04_LOG_FIELD_ENTRIES'!$D:$D, C180, '04_LOG_FIELD_ENTRIES'!$K:$K, "EV_PRODUCCION"))</f>
        <v/>
      </c>
      <c r="I180" s="6">
        <f>IF(B180 &gt; MAX('04_LOG_FIELD_ENTRIES'!$B:$B), "", SUMIFS(H$2:H180, C$2:C180, C180))</f>
        <v/>
      </c>
      <c r="J180" s="6">
        <f>IF(B180 &gt; MAX('04_LOG_FIELD_ENTRIES'!$B:$B), "", SUMIFS('04_LOG_FIELD_ENTRIES'!$J:$J, '04_LOG_FIELD_ENTRIES'!$B:$B, B180, '04_LOG_FIELD_ENTRIES'!$D:$D, C180, '04_LOG_FIELD_ENTRIES'!$K:$K, "AC_*"))</f>
        <v/>
      </c>
      <c r="K180" s="6">
        <f>IF(B180 &gt; MAX('04_LOG_FIELD_ENTRIES'!$B:$B), "", SUMIFS(J$2:J180, C$2:C180, C180))</f>
        <v/>
      </c>
      <c r="L180" s="6">
        <f>IF(K180="", "", I180-K180)</f>
        <v/>
      </c>
      <c r="M180" s="6">
        <f>IF(I180="", "", I180-G180)</f>
        <v/>
      </c>
      <c r="N180" s="21">
        <f>IF(I180="", "", IF(G180&gt;0, I180/G180, 1))</f>
        <v/>
      </c>
      <c r="O180" s="21">
        <f>IF(I180="", "", IF(K180&gt;0, I180/K180, 1))</f>
        <v/>
      </c>
      <c r="P180" s="2">
        <f>IF(I180="", "", IF(AND(N180&gt;=0.95, O180&gt;=0.95), "SALUDABLE", IF(N180&lt;0.9, "ALERTA RETRASO", "ALERTA SOBRECOSTO")))</f>
        <v/>
      </c>
    </row>
    <row r="181" ht="19.95" customHeight="1">
      <c r="A181" s="4" t="n">
        <v>45</v>
      </c>
      <c r="B181" s="31" t="n">
        <v>46279</v>
      </c>
      <c r="C181" s="2" t="inlineStr">
        <is>
          <t>WBS-400</t>
        </is>
      </c>
      <c r="D181" s="3" t="inlineStr">
        <is>
          <t>Pruebas Hidráulicas, Desinfección y Entrega</t>
        </is>
      </c>
      <c r="E181" s="6">
        <f>SUM('01_PRESUPUESTO_CRONOGRAMA_BASE'!G12:G12)</f>
        <v/>
      </c>
      <c r="F181" s="6">
        <f>SUMIFS('02_CRONOGRAMA_PV_DIARIO'!E:E, '02_CRONOGRAMA_PV_DIARIO'!A:A, A181, '02_CRONOGRAMA_PV_DIARIO'!C:C, C181)</f>
        <v/>
      </c>
      <c r="G181" s="6">
        <f>SUMIFS(F$2:F181, C$2:C181, C181)</f>
        <v/>
      </c>
      <c r="H181" s="6">
        <f>IF(B181 &gt; MAX('04_LOG_FIELD_ENTRIES'!$B:$B), "", SUMIFS('04_LOG_FIELD_ENTRIES'!$J:$J, '04_LOG_FIELD_ENTRIES'!$B:$B, B181, '04_LOG_FIELD_ENTRIES'!$D:$D, C181, '04_LOG_FIELD_ENTRIES'!$K:$K, "EV_PRODUCCION"))</f>
        <v/>
      </c>
      <c r="I181" s="6">
        <f>IF(B181 &gt; MAX('04_LOG_FIELD_ENTRIES'!$B:$B), "", SUMIFS(H$2:H181, C$2:C181, C181))</f>
        <v/>
      </c>
      <c r="J181" s="6">
        <f>IF(B181 &gt; MAX('04_LOG_FIELD_ENTRIES'!$B:$B), "", SUMIFS('04_LOG_FIELD_ENTRIES'!$J:$J, '04_LOG_FIELD_ENTRIES'!$B:$B, B181, '04_LOG_FIELD_ENTRIES'!$D:$D, C181, '04_LOG_FIELD_ENTRIES'!$K:$K, "AC_*"))</f>
        <v/>
      </c>
      <c r="K181" s="6">
        <f>IF(B181 &gt; MAX('04_LOG_FIELD_ENTRIES'!$B:$B), "", SUMIFS(J$2:J181, C$2:C181, C181))</f>
        <v/>
      </c>
      <c r="L181" s="6">
        <f>IF(K181="", "", I181-K181)</f>
        <v/>
      </c>
      <c r="M181" s="6">
        <f>IF(I181="", "", I181-G181)</f>
        <v/>
      </c>
      <c r="N181" s="21">
        <f>IF(I181="", "", IF(G181&gt;0, I181/G181, 1))</f>
        <v/>
      </c>
      <c r="O181" s="21">
        <f>IF(I181="", "", IF(K181&gt;0, I181/K181, 1))</f>
        <v/>
      </c>
      <c r="P181" s="2">
        <f>IF(I181="", "", IF(AND(N181&gt;=0.95, O181&gt;=0.95), "SALUDABLE", IF(N181&lt;0.9, "ALERTA RETRASO", "ALERTA SOBRECOSTO")))</f>
        <v/>
      </c>
    </row>
    <row r="182" ht="19.95" customHeight="1">
      <c r="A182" s="4" t="n">
        <v>46</v>
      </c>
      <c r="B182" s="31" t="n">
        <v>46280</v>
      </c>
      <c r="C182" s="2" t="inlineStr">
        <is>
          <t>WBS-100</t>
        </is>
      </c>
      <c r="D182" s="3" t="inlineStr">
        <is>
          <t>Obras Preliminares, Trazo y Movilización</t>
        </is>
      </c>
      <c r="E182" s="6">
        <f>SUM('01_PRESUPUESTO_CRONOGRAMA_BASE'!G2:G3)</f>
        <v/>
      </c>
      <c r="F182" s="6">
        <f>SUMIFS('02_CRONOGRAMA_PV_DIARIO'!E:E, '02_CRONOGRAMA_PV_DIARIO'!A:A, A182, '02_CRONOGRAMA_PV_DIARIO'!C:C, C182)</f>
        <v/>
      </c>
      <c r="G182" s="6">
        <f>SUMIFS(F$2:F182, C$2:C182, C182)</f>
        <v/>
      </c>
      <c r="H182" s="6">
        <f>IF(B182 &gt; MAX('04_LOG_FIELD_ENTRIES'!$B:$B), "", SUMIFS('04_LOG_FIELD_ENTRIES'!$J:$J, '04_LOG_FIELD_ENTRIES'!$B:$B, B182, '04_LOG_FIELD_ENTRIES'!$D:$D, C182, '04_LOG_FIELD_ENTRIES'!$K:$K, "EV_PRODUCCION"))</f>
        <v/>
      </c>
      <c r="I182" s="6">
        <f>IF(B182 &gt; MAX('04_LOG_FIELD_ENTRIES'!$B:$B), "", SUMIFS(H$2:H182, C$2:C182, C182))</f>
        <v/>
      </c>
      <c r="J182" s="6">
        <f>IF(B182 &gt; MAX('04_LOG_FIELD_ENTRIES'!$B:$B), "", SUMIFS('04_LOG_FIELD_ENTRIES'!$J:$J, '04_LOG_FIELD_ENTRIES'!$B:$B, B182, '04_LOG_FIELD_ENTRIES'!$D:$D, C182, '04_LOG_FIELD_ENTRIES'!$K:$K, "AC_*"))</f>
        <v/>
      </c>
      <c r="K182" s="6">
        <f>IF(B182 &gt; MAX('04_LOG_FIELD_ENTRIES'!$B:$B), "", SUMIFS(J$2:J182, C$2:C182, C182))</f>
        <v/>
      </c>
      <c r="L182" s="6">
        <f>IF(K182="", "", I182-K182)</f>
        <v/>
      </c>
      <c r="M182" s="6">
        <f>IF(I182="", "", I182-G182)</f>
        <v/>
      </c>
      <c r="N182" s="21">
        <f>IF(I182="", "", IF(G182&gt;0, I182/G182, 1))</f>
        <v/>
      </c>
      <c r="O182" s="21">
        <f>IF(I182="", "", IF(K182&gt;0, I182/K182, 1))</f>
        <v/>
      </c>
      <c r="P182" s="2">
        <f>IF(I182="", "", IF(AND(N182&gt;=0.95, O182&gt;=0.95), "SALUDABLE", IF(N182&lt;0.9, "ALERTA RETRASO", "ALERTA SOBRECOSTO")))</f>
        <v/>
      </c>
    </row>
    <row r="183" ht="19.95" customHeight="1">
      <c r="A183" s="4" t="n">
        <v>46</v>
      </c>
      <c r="B183" s="31" t="n">
        <v>46280</v>
      </c>
      <c r="C183" s="2" t="inlineStr">
        <is>
          <t>WBS-200</t>
        </is>
      </c>
      <c r="D183" s="3" t="inlineStr">
        <is>
          <t>Red de Alcantarillado, Zanjas y Buzones</t>
        </is>
      </c>
      <c r="E183" s="6">
        <f>SUM('01_PRESUPUESTO_CRONOGRAMA_BASE'!G4:G9)</f>
        <v/>
      </c>
      <c r="F183" s="6">
        <f>SUMIFS('02_CRONOGRAMA_PV_DIARIO'!E:E, '02_CRONOGRAMA_PV_DIARIO'!A:A, A183, '02_CRONOGRAMA_PV_DIARIO'!C:C, C183)</f>
        <v/>
      </c>
      <c r="G183" s="6">
        <f>SUMIFS(F$2:F183, C$2:C183, C183)</f>
        <v/>
      </c>
      <c r="H183" s="6">
        <f>IF(B183 &gt; MAX('04_LOG_FIELD_ENTRIES'!$B:$B), "", SUMIFS('04_LOG_FIELD_ENTRIES'!$J:$J, '04_LOG_FIELD_ENTRIES'!$B:$B, B183, '04_LOG_FIELD_ENTRIES'!$D:$D, C183, '04_LOG_FIELD_ENTRIES'!$K:$K, "EV_PRODUCCION"))</f>
        <v/>
      </c>
      <c r="I183" s="6">
        <f>IF(B183 &gt; MAX('04_LOG_FIELD_ENTRIES'!$B:$B), "", SUMIFS(H$2:H183, C$2:C183, C183))</f>
        <v/>
      </c>
      <c r="J183" s="6">
        <f>IF(B183 &gt; MAX('04_LOG_FIELD_ENTRIES'!$B:$B), "", SUMIFS('04_LOG_FIELD_ENTRIES'!$J:$J, '04_LOG_FIELD_ENTRIES'!$B:$B, B183, '04_LOG_FIELD_ENTRIES'!$D:$D, C183, '04_LOG_FIELD_ENTRIES'!$K:$K, "AC_*"))</f>
        <v/>
      </c>
      <c r="K183" s="6">
        <f>IF(B183 &gt; MAX('04_LOG_FIELD_ENTRIES'!$B:$B), "", SUMIFS(J$2:J183, C$2:C183, C183))</f>
        <v/>
      </c>
      <c r="L183" s="6">
        <f>IF(K183="", "", I183-K183)</f>
        <v/>
      </c>
      <c r="M183" s="6">
        <f>IF(I183="", "", I183-G183)</f>
        <v/>
      </c>
      <c r="N183" s="21">
        <f>IF(I183="", "", IF(G183&gt;0, I183/G183, 1))</f>
        <v/>
      </c>
      <c r="O183" s="21">
        <f>IF(I183="", "", IF(K183&gt;0, I183/K183, 1))</f>
        <v/>
      </c>
      <c r="P183" s="2">
        <f>IF(I183="", "", IF(AND(N183&gt;=0.95, O183&gt;=0.95), "SALUDABLE", IF(N183&lt;0.9, "ALERTA RETRASO", "ALERTA SOBRECOSTO")))</f>
        <v/>
      </c>
    </row>
    <row r="184" ht="19.95" customHeight="1">
      <c r="A184" s="4" t="n">
        <v>46</v>
      </c>
      <c r="B184" s="31" t="n">
        <v>46280</v>
      </c>
      <c r="C184" s="2" t="inlineStr">
        <is>
          <t>WBS-300</t>
        </is>
      </c>
      <c r="D184" s="3" t="inlineStr">
        <is>
          <t>Red de Agua Potable y Conexiones Domiciliarias</t>
        </is>
      </c>
      <c r="E184" s="6">
        <f>SUM('01_PRESUPUESTO_CRONOGRAMA_BASE'!G10:G11)</f>
        <v/>
      </c>
      <c r="F184" s="6">
        <f>SUMIFS('02_CRONOGRAMA_PV_DIARIO'!E:E, '02_CRONOGRAMA_PV_DIARIO'!A:A, A184, '02_CRONOGRAMA_PV_DIARIO'!C:C, C184)</f>
        <v/>
      </c>
      <c r="G184" s="6">
        <f>SUMIFS(F$2:F184, C$2:C184, C184)</f>
        <v/>
      </c>
      <c r="H184" s="6">
        <f>IF(B184 &gt; MAX('04_LOG_FIELD_ENTRIES'!$B:$B), "", SUMIFS('04_LOG_FIELD_ENTRIES'!$J:$J, '04_LOG_FIELD_ENTRIES'!$B:$B, B184, '04_LOG_FIELD_ENTRIES'!$D:$D, C184, '04_LOG_FIELD_ENTRIES'!$K:$K, "EV_PRODUCCION"))</f>
        <v/>
      </c>
      <c r="I184" s="6">
        <f>IF(B184 &gt; MAX('04_LOG_FIELD_ENTRIES'!$B:$B), "", SUMIFS(H$2:H184, C$2:C184, C184))</f>
        <v/>
      </c>
      <c r="J184" s="6">
        <f>IF(B184 &gt; MAX('04_LOG_FIELD_ENTRIES'!$B:$B), "", SUMIFS('04_LOG_FIELD_ENTRIES'!$J:$J, '04_LOG_FIELD_ENTRIES'!$B:$B, B184, '04_LOG_FIELD_ENTRIES'!$D:$D, C184, '04_LOG_FIELD_ENTRIES'!$K:$K, "AC_*"))</f>
        <v/>
      </c>
      <c r="K184" s="6">
        <f>IF(B184 &gt; MAX('04_LOG_FIELD_ENTRIES'!$B:$B), "", SUMIFS(J$2:J184, C$2:C184, C184))</f>
        <v/>
      </c>
      <c r="L184" s="6">
        <f>IF(K184="", "", I184-K184)</f>
        <v/>
      </c>
      <c r="M184" s="6">
        <f>IF(I184="", "", I184-G184)</f>
        <v/>
      </c>
      <c r="N184" s="21">
        <f>IF(I184="", "", IF(G184&gt;0, I184/G184, 1))</f>
        <v/>
      </c>
      <c r="O184" s="21">
        <f>IF(I184="", "", IF(K184&gt;0, I184/K184, 1))</f>
        <v/>
      </c>
      <c r="P184" s="2">
        <f>IF(I184="", "", IF(AND(N184&gt;=0.95, O184&gt;=0.95), "SALUDABLE", IF(N184&lt;0.9, "ALERTA RETRASO", "ALERTA SOBRECOSTO")))</f>
        <v/>
      </c>
    </row>
    <row r="185" ht="19.95" customHeight="1">
      <c r="A185" s="4" t="n">
        <v>46</v>
      </c>
      <c r="B185" s="31" t="n">
        <v>46280</v>
      </c>
      <c r="C185" s="2" t="inlineStr">
        <is>
          <t>WBS-400</t>
        </is>
      </c>
      <c r="D185" s="3" t="inlineStr">
        <is>
          <t>Pruebas Hidráulicas, Desinfección y Entrega</t>
        </is>
      </c>
      <c r="E185" s="6">
        <f>SUM('01_PRESUPUESTO_CRONOGRAMA_BASE'!G12:G12)</f>
        <v/>
      </c>
      <c r="F185" s="6">
        <f>SUMIFS('02_CRONOGRAMA_PV_DIARIO'!E:E, '02_CRONOGRAMA_PV_DIARIO'!A:A, A185, '02_CRONOGRAMA_PV_DIARIO'!C:C, C185)</f>
        <v/>
      </c>
      <c r="G185" s="6">
        <f>SUMIFS(F$2:F185, C$2:C185, C185)</f>
        <v/>
      </c>
      <c r="H185" s="6">
        <f>IF(B185 &gt; MAX('04_LOG_FIELD_ENTRIES'!$B:$B), "", SUMIFS('04_LOG_FIELD_ENTRIES'!$J:$J, '04_LOG_FIELD_ENTRIES'!$B:$B, B185, '04_LOG_FIELD_ENTRIES'!$D:$D, C185, '04_LOG_FIELD_ENTRIES'!$K:$K, "EV_PRODUCCION"))</f>
        <v/>
      </c>
      <c r="I185" s="6">
        <f>IF(B185 &gt; MAX('04_LOG_FIELD_ENTRIES'!$B:$B), "", SUMIFS(H$2:H185, C$2:C185, C185))</f>
        <v/>
      </c>
      <c r="J185" s="6">
        <f>IF(B185 &gt; MAX('04_LOG_FIELD_ENTRIES'!$B:$B), "", SUMIFS('04_LOG_FIELD_ENTRIES'!$J:$J, '04_LOG_FIELD_ENTRIES'!$B:$B, B185, '04_LOG_FIELD_ENTRIES'!$D:$D, C185, '04_LOG_FIELD_ENTRIES'!$K:$K, "AC_*"))</f>
        <v/>
      </c>
      <c r="K185" s="6">
        <f>IF(B185 &gt; MAX('04_LOG_FIELD_ENTRIES'!$B:$B), "", SUMIFS(J$2:J185, C$2:C185, C185))</f>
        <v/>
      </c>
      <c r="L185" s="6">
        <f>IF(K185="", "", I185-K185)</f>
        <v/>
      </c>
      <c r="M185" s="6">
        <f>IF(I185="", "", I185-G185)</f>
        <v/>
      </c>
      <c r="N185" s="21">
        <f>IF(I185="", "", IF(G185&gt;0, I185/G185, 1))</f>
        <v/>
      </c>
      <c r="O185" s="21">
        <f>IF(I185="", "", IF(K185&gt;0, I185/K185, 1))</f>
        <v/>
      </c>
      <c r="P185" s="2">
        <f>IF(I185="", "", IF(AND(N185&gt;=0.95, O185&gt;=0.95), "SALUDABLE", IF(N185&lt;0.9, "ALERTA RETRASO", "ALERTA SOBRECOSTO")))</f>
        <v/>
      </c>
    </row>
    <row r="186" ht="19.95" customHeight="1">
      <c r="A186" s="4" t="n">
        <v>47</v>
      </c>
      <c r="B186" s="31" t="n">
        <v>46281</v>
      </c>
      <c r="C186" s="2" t="inlineStr">
        <is>
          <t>WBS-100</t>
        </is>
      </c>
      <c r="D186" s="3" t="inlineStr">
        <is>
          <t>Obras Preliminares, Trazo y Movilización</t>
        </is>
      </c>
      <c r="E186" s="6">
        <f>SUM('01_PRESUPUESTO_CRONOGRAMA_BASE'!G2:G3)</f>
        <v/>
      </c>
      <c r="F186" s="6">
        <f>SUMIFS('02_CRONOGRAMA_PV_DIARIO'!E:E, '02_CRONOGRAMA_PV_DIARIO'!A:A, A186, '02_CRONOGRAMA_PV_DIARIO'!C:C, C186)</f>
        <v/>
      </c>
      <c r="G186" s="6">
        <f>SUMIFS(F$2:F186, C$2:C186, C186)</f>
        <v/>
      </c>
      <c r="H186" s="6">
        <f>IF(B186 &gt; MAX('04_LOG_FIELD_ENTRIES'!$B:$B), "", SUMIFS('04_LOG_FIELD_ENTRIES'!$J:$J, '04_LOG_FIELD_ENTRIES'!$B:$B, B186, '04_LOG_FIELD_ENTRIES'!$D:$D, C186, '04_LOG_FIELD_ENTRIES'!$K:$K, "EV_PRODUCCION"))</f>
        <v/>
      </c>
      <c r="I186" s="6">
        <f>IF(B186 &gt; MAX('04_LOG_FIELD_ENTRIES'!$B:$B), "", SUMIFS(H$2:H186, C$2:C186, C186))</f>
        <v/>
      </c>
      <c r="J186" s="6">
        <f>IF(B186 &gt; MAX('04_LOG_FIELD_ENTRIES'!$B:$B), "", SUMIFS('04_LOG_FIELD_ENTRIES'!$J:$J, '04_LOG_FIELD_ENTRIES'!$B:$B, B186, '04_LOG_FIELD_ENTRIES'!$D:$D, C186, '04_LOG_FIELD_ENTRIES'!$K:$K, "AC_*"))</f>
        <v/>
      </c>
      <c r="K186" s="6">
        <f>IF(B186 &gt; MAX('04_LOG_FIELD_ENTRIES'!$B:$B), "", SUMIFS(J$2:J186, C$2:C186, C186))</f>
        <v/>
      </c>
      <c r="L186" s="6">
        <f>IF(K186="", "", I186-K186)</f>
        <v/>
      </c>
      <c r="M186" s="6">
        <f>IF(I186="", "", I186-G186)</f>
        <v/>
      </c>
      <c r="N186" s="21">
        <f>IF(I186="", "", IF(G186&gt;0, I186/G186, 1))</f>
        <v/>
      </c>
      <c r="O186" s="21">
        <f>IF(I186="", "", IF(K186&gt;0, I186/K186, 1))</f>
        <v/>
      </c>
      <c r="P186" s="2">
        <f>IF(I186="", "", IF(AND(N186&gt;=0.95, O186&gt;=0.95), "SALUDABLE", IF(N186&lt;0.9, "ALERTA RETRASO", "ALERTA SOBRECOSTO")))</f>
        <v/>
      </c>
    </row>
    <row r="187" ht="19.95" customHeight="1">
      <c r="A187" s="4" t="n">
        <v>47</v>
      </c>
      <c r="B187" s="31" t="n">
        <v>46281</v>
      </c>
      <c r="C187" s="2" t="inlineStr">
        <is>
          <t>WBS-200</t>
        </is>
      </c>
      <c r="D187" s="3" t="inlineStr">
        <is>
          <t>Red de Alcantarillado, Zanjas y Buzones</t>
        </is>
      </c>
      <c r="E187" s="6">
        <f>SUM('01_PRESUPUESTO_CRONOGRAMA_BASE'!G4:G9)</f>
        <v/>
      </c>
      <c r="F187" s="6">
        <f>SUMIFS('02_CRONOGRAMA_PV_DIARIO'!E:E, '02_CRONOGRAMA_PV_DIARIO'!A:A, A187, '02_CRONOGRAMA_PV_DIARIO'!C:C, C187)</f>
        <v/>
      </c>
      <c r="G187" s="6">
        <f>SUMIFS(F$2:F187, C$2:C187, C187)</f>
        <v/>
      </c>
      <c r="H187" s="6">
        <f>IF(B187 &gt; MAX('04_LOG_FIELD_ENTRIES'!$B:$B), "", SUMIFS('04_LOG_FIELD_ENTRIES'!$J:$J, '04_LOG_FIELD_ENTRIES'!$B:$B, B187, '04_LOG_FIELD_ENTRIES'!$D:$D, C187, '04_LOG_FIELD_ENTRIES'!$K:$K, "EV_PRODUCCION"))</f>
        <v/>
      </c>
      <c r="I187" s="6">
        <f>IF(B187 &gt; MAX('04_LOG_FIELD_ENTRIES'!$B:$B), "", SUMIFS(H$2:H187, C$2:C187, C187))</f>
        <v/>
      </c>
      <c r="J187" s="6">
        <f>IF(B187 &gt; MAX('04_LOG_FIELD_ENTRIES'!$B:$B), "", SUMIFS('04_LOG_FIELD_ENTRIES'!$J:$J, '04_LOG_FIELD_ENTRIES'!$B:$B, B187, '04_LOG_FIELD_ENTRIES'!$D:$D, C187, '04_LOG_FIELD_ENTRIES'!$K:$K, "AC_*"))</f>
        <v/>
      </c>
      <c r="K187" s="6">
        <f>IF(B187 &gt; MAX('04_LOG_FIELD_ENTRIES'!$B:$B), "", SUMIFS(J$2:J187, C$2:C187, C187))</f>
        <v/>
      </c>
      <c r="L187" s="6">
        <f>IF(K187="", "", I187-K187)</f>
        <v/>
      </c>
      <c r="M187" s="6">
        <f>IF(I187="", "", I187-G187)</f>
        <v/>
      </c>
      <c r="N187" s="21">
        <f>IF(I187="", "", IF(G187&gt;0, I187/G187, 1))</f>
        <v/>
      </c>
      <c r="O187" s="21">
        <f>IF(I187="", "", IF(K187&gt;0, I187/K187, 1))</f>
        <v/>
      </c>
      <c r="P187" s="2">
        <f>IF(I187="", "", IF(AND(N187&gt;=0.95, O187&gt;=0.95), "SALUDABLE", IF(N187&lt;0.9, "ALERTA RETRASO", "ALERTA SOBRECOSTO")))</f>
        <v/>
      </c>
    </row>
    <row r="188" ht="19.95" customHeight="1">
      <c r="A188" s="4" t="n">
        <v>47</v>
      </c>
      <c r="B188" s="31" t="n">
        <v>46281</v>
      </c>
      <c r="C188" s="2" t="inlineStr">
        <is>
          <t>WBS-300</t>
        </is>
      </c>
      <c r="D188" s="3" t="inlineStr">
        <is>
          <t>Red de Agua Potable y Conexiones Domiciliarias</t>
        </is>
      </c>
      <c r="E188" s="6">
        <f>SUM('01_PRESUPUESTO_CRONOGRAMA_BASE'!G10:G11)</f>
        <v/>
      </c>
      <c r="F188" s="6">
        <f>SUMIFS('02_CRONOGRAMA_PV_DIARIO'!E:E, '02_CRONOGRAMA_PV_DIARIO'!A:A, A188, '02_CRONOGRAMA_PV_DIARIO'!C:C, C188)</f>
        <v/>
      </c>
      <c r="G188" s="6">
        <f>SUMIFS(F$2:F188, C$2:C188, C188)</f>
        <v/>
      </c>
      <c r="H188" s="6">
        <f>IF(B188 &gt; MAX('04_LOG_FIELD_ENTRIES'!$B:$B), "", SUMIFS('04_LOG_FIELD_ENTRIES'!$J:$J, '04_LOG_FIELD_ENTRIES'!$B:$B, B188, '04_LOG_FIELD_ENTRIES'!$D:$D, C188, '04_LOG_FIELD_ENTRIES'!$K:$K, "EV_PRODUCCION"))</f>
        <v/>
      </c>
      <c r="I188" s="6">
        <f>IF(B188 &gt; MAX('04_LOG_FIELD_ENTRIES'!$B:$B), "", SUMIFS(H$2:H188, C$2:C188, C188))</f>
        <v/>
      </c>
      <c r="J188" s="6">
        <f>IF(B188 &gt; MAX('04_LOG_FIELD_ENTRIES'!$B:$B), "", SUMIFS('04_LOG_FIELD_ENTRIES'!$J:$J, '04_LOG_FIELD_ENTRIES'!$B:$B, B188, '04_LOG_FIELD_ENTRIES'!$D:$D, C188, '04_LOG_FIELD_ENTRIES'!$K:$K, "AC_*"))</f>
        <v/>
      </c>
      <c r="K188" s="6">
        <f>IF(B188 &gt; MAX('04_LOG_FIELD_ENTRIES'!$B:$B), "", SUMIFS(J$2:J188, C$2:C188, C188))</f>
        <v/>
      </c>
      <c r="L188" s="6">
        <f>IF(K188="", "", I188-K188)</f>
        <v/>
      </c>
      <c r="M188" s="6">
        <f>IF(I188="", "", I188-G188)</f>
        <v/>
      </c>
      <c r="N188" s="21">
        <f>IF(I188="", "", IF(G188&gt;0, I188/G188, 1))</f>
        <v/>
      </c>
      <c r="O188" s="21">
        <f>IF(I188="", "", IF(K188&gt;0, I188/K188, 1))</f>
        <v/>
      </c>
      <c r="P188" s="2">
        <f>IF(I188="", "", IF(AND(N188&gt;=0.95, O188&gt;=0.95), "SALUDABLE", IF(N188&lt;0.9, "ALERTA RETRASO", "ALERTA SOBRECOSTO")))</f>
        <v/>
      </c>
    </row>
    <row r="189" ht="19.95" customHeight="1">
      <c r="A189" s="4" t="n">
        <v>47</v>
      </c>
      <c r="B189" s="31" t="n">
        <v>46281</v>
      </c>
      <c r="C189" s="2" t="inlineStr">
        <is>
          <t>WBS-400</t>
        </is>
      </c>
      <c r="D189" s="3" t="inlineStr">
        <is>
          <t>Pruebas Hidráulicas, Desinfección y Entrega</t>
        </is>
      </c>
      <c r="E189" s="6">
        <f>SUM('01_PRESUPUESTO_CRONOGRAMA_BASE'!G12:G12)</f>
        <v/>
      </c>
      <c r="F189" s="6">
        <f>SUMIFS('02_CRONOGRAMA_PV_DIARIO'!E:E, '02_CRONOGRAMA_PV_DIARIO'!A:A, A189, '02_CRONOGRAMA_PV_DIARIO'!C:C, C189)</f>
        <v/>
      </c>
      <c r="G189" s="6">
        <f>SUMIFS(F$2:F189, C$2:C189, C189)</f>
        <v/>
      </c>
      <c r="H189" s="6">
        <f>IF(B189 &gt; MAX('04_LOG_FIELD_ENTRIES'!$B:$B), "", SUMIFS('04_LOG_FIELD_ENTRIES'!$J:$J, '04_LOG_FIELD_ENTRIES'!$B:$B, B189, '04_LOG_FIELD_ENTRIES'!$D:$D, C189, '04_LOG_FIELD_ENTRIES'!$K:$K, "EV_PRODUCCION"))</f>
        <v/>
      </c>
      <c r="I189" s="6">
        <f>IF(B189 &gt; MAX('04_LOG_FIELD_ENTRIES'!$B:$B), "", SUMIFS(H$2:H189, C$2:C189, C189))</f>
        <v/>
      </c>
      <c r="J189" s="6">
        <f>IF(B189 &gt; MAX('04_LOG_FIELD_ENTRIES'!$B:$B), "", SUMIFS('04_LOG_FIELD_ENTRIES'!$J:$J, '04_LOG_FIELD_ENTRIES'!$B:$B, B189, '04_LOG_FIELD_ENTRIES'!$D:$D, C189, '04_LOG_FIELD_ENTRIES'!$K:$K, "AC_*"))</f>
        <v/>
      </c>
      <c r="K189" s="6">
        <f>IF(B189 &gt; MAX('04_LOG_FIELD_ENTRIES'!$B:$B), "", SUMIFS(J$2:J189, C$2:C189, C189))</f>
        <v/>
      </c>
      <c r="L189" s="6">
        <f>IF(K189="", "", I189-K189)</f>
        <v/>
      </c>
      <c r="M189" s="6">
        <f>IF(I189="", "", I189-G189)</f>
        <v/>
      </c>
      <c r="N189" s="21">
        <f>IF(I189="", "", IF(G189&gt;0, I189/G189, 1))</f>
        <v/>
      </c>
      <c r="O189" s="21">
        <f>IF(I189="", "", IF(K189&gt;0, I189/K189, 1))</f>
        <v/>
      </c>
      <c r="P189" s="2">
        <f>IF(I189="", "", IF(AND(N189&gt;=0.95, O189&gt;=0.95), "SALUDABLE", IF(N189&lt;0.9, "ALERTA RETRASO", "ALERTA SOBRECOSTO")))</f>
        <v/>
      </c>
    </row>
    <row r="190" ht="19.95" customHeight="1">
      <c r="A190" s="4" t="n">
        <v>48</v>
      </c>
      <c r="B190" s="31" t="n">
        <v>46282</v>
      </c>
      <c r="C190" s="2" t="inlineStr">
        <is>
          <t>WBS-100</t>
        </is>
      </c>
      <c r="D190" s="3" t="inlineStr">
        <is>
          <t>Obras Preliminares, Trazo y Movilización</t>
        </is>
      </c>
      <c r="E190" s="6">
        <f>SUM('01_PRESUPUESTO_CRONOGRAMA_BASE'!G2:G3)</f>
        <v/>
      </c>
      <c r="F190" s="6">
        <f>SUMIFS('02_CRONOGRAMA_PV_DIARIO'!E:E, '02_CRONOGRAMA_PV_DIARIO'!A:A, A190, '02_CRONOGRAMA_PV_DIARIO'!C:C, C190)</f>
        <v/>
      </c>
      <c r="G190" s="6">
        <f>SUMIFS(F$2:F190, C$2:C190, C190)</f>
        <v/>
      </c>
      <c r="H190" s="6">
        <f>IF(B190 &gt; MAX('04_LOG_FIELD_ENTRIES'!$B:$B), "", SUMIFS('04_LOG_FIELD_ENTRIES'!$J:$J, '04_LOG_FIELD_ENTRIES'!$B:$B, B190, '04_LOG_FIELD_ENTRIES'!$D:$D, C190, '04_LOG_FIELD_ENTRIES'!$K:$K, "EV_PRODUCCION"))</f>
        <v/>
      </c>
      <c r="I190" s="6">
        <f>IF(B190 &gt; MAX('04_LOG_FIELD_ENTRIES'!$B:$B), "", SUMIFS(H$2:H190, C$2:C190, C190))</f>
        <v/>
      </c>
      <c r="J190" s="6">
        <f>IF(B190 &gt; MAX('04_LOG_FIELD_ENTRIES'!$B:$B), "", SUMIFS('04_LOG_FIELD_ENTRIES'!$J:$J, '04_LOG_FIELD_ENTRIES'!$B:$B, B190, '04_LOG_FIELD_ENTRIES'!$D:$D, C190, '04_LOG_FIELD_ENTRIES'!$K:$K, "AC_*"))</f>
        <v/>
      </c>
      <c r="K190" s="6">
        <f>IF(B190 &gt; MAX('04_LOG_FIELD_ENTRIES'!$B:$B), "", SUMIFS(J$2:J190, C$2:C190, C190))</f>
        <v/>
      </c>
      <c r="L190" s="6">
        <f>IF(K190="", "", I190-K190)</f>
        <v/>
      </c>
      <c r="M190" s="6">
        <f>IF(I190="", "", I190-G190)</f>
        <v/>
      </c>
      <c r="N190" s="21">
        <f>IF(I190="", "", IF(G190&gt;0, I190/G190, 1))</f>
        <v/>
      </c>
      <c r="O190" s="21">
        <f>IF(I190="", "", IF(K190&gt;0, I190/K190, 1))</f>
        <v/>
      </c>
      <c r="P190" s="2">
        <f>IF(I190="", "", IF(AND(N190&gt;=0.95, O190&gt;=0.95), "SALUDABLE", IF(N190&lt;0.9, "ALERTA RETRASO", "ALERTA SOBRECOSTO")))</f>
        <v/>
      </c>
    </row>
    <row r="191" ht="19.95" customHeight="1">
      <c r="A191" s="4" t="n">
        <v>48</v>
      </c>
      <c r="B191" s="31" t="n">
        <v>46282</v>
      </c>
      <c r="C191" s="2" t="inlineStr">
        <is>
          <t>WBS-200</t>
        </is>
      </c>
      <c r="D191" s="3" t="inlineStr">
        <is>
          <t>Red de Alcantarillado, Zanjas y Buzones</t>
        </is>
      </c>
      <c r="E191" s="6">
        <f>SUM('01_PRESUPUESTO_CRONOGRAMA_BASE'!G4:G9)</f>
        <v/>
      </c>
      <c r="F191" s="6">
        <f>SUMIFS('02_CRONOGRAMA_PV_DIARIO'!E:E, '02_CRONOGRAMA_PV_DIARIO'!A:A, A191, '02_CRONOGRAMA_PV_DIARIO'!C:C, C191)</f>
        <v/>
      </c>
      <c r="G191" s="6">
        <f>SUMIFS(F$2:F191, C$2:C191, C191)</f>
        <v/>
      </c>
      <c r="H191" s="6">
        <f>IF(B191 &gt; MAX('04_LOG_FIELD_ENTRIES'!$B:$B), "", SUMIFS('04_LOG_FIELD_ENTRIES'!$J:$J, '04_LOG_FIELD_ENTRIES'!$B:$B, B191, '04_LOG_FIELD_ENTRIES'!$D:$D, C191, '04_LOG_FIELD_ENTRIES'!$K:$K, "EV_PRODUCCION"))</f>
        <v/>
      </c>
      <c r="I191" s="6">
        <f>IF(B191 &gt; MAX('04_LOG_FIELD_ENTRIES'!$B:$B), "", SUMIFS(H$2:H191, C$2:C191, C191))</f>
        <v/>
      </c>
      <c r="J191" s="6">
        <f>IF(B191 &gt; MAX('04_LOG_FIELD_ENTRIES'!$B:$B), "", SUMIFS('04_LOG_FIELD_ENTRIES'!$J:$J, '04_LOG_FIELD_ENTRIES'!$B:$B, B191, '04_LOG_FIELD_ENTRIES'!$D:$D, C191, '04_LOG_FIELD_ENTRIES'!$K:$K, "AC_*"))</f>
        <v/>
      </c>
      <c r="K191" s="6">
        <f>IF(B191 &gt; MAX('04_LOG_FIELD_ENTRIES'!$B:$B), "", SUMIFS(J$2:J191, C$2:C191, C191))</f>
        <v/>
      </c>
      <c r="L191" s="6">
        <f>IF(K191="", "", I191-K191)</f>
        <v/>
      </c>
      <c r="M191" s="6">
        <f>IF(I191="", "", I191-G191)</f>
        <v/>
      </c>
      <c r="N191" s="21">
        <f>IF(I191="", "", IF(G191&gt;0, I191/G191, 1))</f>
        <v/>
      </c>
      <c r="O191" s="21">
        <f>IF(I191="", "", IF(K191&gt;0, I191/K191, 1))</f>
        <v/>
      </c>
      <c r="P191" s="2">
        <f>IF(I191="", "", IF(AND(N191&gt;=0.95, O191&gt;=0.95), "SALUDABLE", IF(N191&lt;0.9, "ALERTA RETRASO", "ALERTA SOBRECOSTO")))</f>
        <v/>
      </c>
    </row>
    <row r="192" ht="19.95" customHeight="1">
      <c r="A192" s="4" t="n">
        <v>48</v>
      </c>
      <c r="B192" s="31" t="n">
        <v>46282</v>
      </c>
      <c r="C192" s="2" t="inlineStr">
        <is>
          <t>WBS-300</t>
        </is>
      </c>
      <c r="D192" s="3" t="inlineStr">
        <is>
          <t>Red de Agua Potable y Conexiones Domiciliarias</t>
        </is>
      </c>
      <c r="E192" s="6">
        <f>SUM('01_PRESUPUESTO_CRONOGRAMA_BASE'!G10:G11)</f>
        <v/>
      </c>
      <c r="F192" s="6">
        <f>SUMIFS('02_CRONOGRAMA_PV_DIARIO'!E:E, '02_CRONOGRAMA_PV_DIARIO'!A:A, A192, '02_CRONOGRAMA_PV_DIARIO'!C:C, C192)</f>
        <v/>
      </c>
      <c r="G192" s="6">
        <f>SUMIFS(F$2:F192, C$2:C192, C192)</f>
        <v/>
      </c>
      <c r="H192" s="6">
        <f>IF(B192 &gt; MAX('04_LOG_FIELD_ENTRIES'!$B:$B), "", SUMIFS('04_LOG_FIELD_ENTRIES'!$J:$J, '04_LOG_FIELD_ENTRIES'!$B:$B, B192, '04_LOG_FIELD_ENTRIES'!$D:$D, C192, '04_LOG_FIELD_ENTRIES'!$K:$K, "EV_PRODUCCION"))</f>
        <v/>
      </c>
      <c r="I192" s="6">
        <f>IF(B192 &gt; MAX('04_LOG_FIELD_ENTRIES'!$B:$B), "", SUMIFS(H$2:H192, C$2:C192, C192))</f>
        <v/>
      </c>
      <c r="J192" s="6">
        <f>IF(B192 &gt; MAX('04_LOG_FIELD_ENTRIES'!$B:$B), "", SUMIFS('04_LOG_FIELD_ENTRIES'!$J:$J, '04_LOG_FIELD_ENTRIES'!$B:$B, B192, '04_LOG_FIELD_ENTRIES'!$D:$D, C192, '04_LOG_FIELD_ENTRIES'!$K:$K, "AC_*"))</f>
        <v/>
      </c>
      <c r="K192" s="6">
        <f>IF(B192 &gt; MAX('04_LOG_FIELD_ENTRIES'!$B:$B), "", SUMIFS(J$2:J192, C$2:C192, C192))</f>
        <v/>
      </c>
      <c r="L192" s="6">
        <f>IF(K192="", "", I192-K192)</f>
        <v/>
      </c>
      <c r="M192" s="6">
        <f>IF(I192="", "", I192-G192)</f>
        <v/>
      </c>
      <c r="N192" s="21">
        <f>IF(I192="", "", IF(G192&gt;0, I192/G192, 1))</f>
        <v/>
      </c>
      <c r="O192" s="21">
        <f>IF(I192="", "", IF(K192&gt;0, I192/K192, 1))</f>
        <v/>
      </c>
      <c r="P192" s="2">
        <f>IF(I192="", "", IF(AND(N192&gt;=0.95, O192&gt;=0.95), "SALUDABLE", IF(N192&lt;0.9, "ALERTA RETRASO", "ALERTA SOBRECOSTO")))</f>
        <v/>
      </c>
    </row>
    <row r="193" ht="19.95" customHeight="1">
      <c r="A193" s="4" t="n">
        <v>48</v>
      </c>
      <c r="B193" s="31" t="n">
        <v>46282</v>
      </c>
      <c r="C193" s="2" t="inlineStr">
        <is>
          <t>WBS-400</t>
        </is>
      </c>
      <c r="D193" s="3" t="inlineStr">
        <is>
          <t>Pruebas Hidráulicas, Desinfección y Entrega</t>
        </is>
      </c>
      <c r="E193" s="6">
        <f>SUM('01_PRESUPUESTO_CRONOGRAMA_BASE'!G12:G12)</f>
        <v/>
      </c>
      <c r="F193" s="6">
        <f>SUMIFS('02_CRONOGRAMA_PV_DIARIO'!E:E, '02_CRONOGRAMA_PV_DIARIO'!A:A, A193, '02_CRONOGRAMA_PV_DIARIO'!C:C, C193)</f>
        <v/>
      </c>
      <c r="G193" s="6">
        <f>SUMIFS(F$2:F193, C$2:C193, C193)</f>
        <v/>
      </c>
      <c r="H193" s="6">
        <f>IF(B193 &gt; MAX('04_LOG_FIELD_ENTRIES'!$B:$B), "", SUMIFS('04_LOG_FIELD_ENTRIES'!$J:$J, '04_LOG_FIELD_ENTRIES'!$B:$B, B193, '04_LOG_FIELD_ENTRIES'!$D:$D, C193, '04_LOG_FIELD_ENTRIES'!$K:$K, "EV_PRODUCCION"))</f>
        <v/>
      </c>
      <c r="I193" s="6">
        <f>IF(B193 &gt; MAX('04_LOG_FIELD_ENTRIES'!$B:$B), "", SUMIFS(H$2:H193, C$2:C193, C193))</f>
        <v/>
      </c>
      <c r="J193" s="6">
        <f>IF(B193 &gt; MAX('04_LOG_FIELD_ENTRIES'!$B:$B), "", SUMIFS('04_LOG_FIELD_ENTRIES'!$J:$J, '04_LOG_FIELD_ENTRIES'!$B:$B, B193, '04_LOG_FIELD_ENTRIES'!$D:$D, C193, '04_LOG_FIELD_ENTRIES'!$K:$K, "AC_*"))</f>
        <v/>
      </c>
      <c r="K193" s="6">
        <f>IF(B193 &gt; MAX('04_LOG_FIELD_ENTRIES'!$B:$B), "", SUMIFS(J$2:J193, C$2:C193, C193))</f>
        <v/>
      </c>
      <c r="L193" s="6">
        <f>IF(K193="", "", I193-K193)</f>
        <v/>
      </c>
      <c r="M193" s="6">
        <f>IF(I193="", "", I193-G193)</f>
        <v/>
      </c>
      <c r="N193" s="21">
        <f>IF(I193="", "", IF(G193&gt;0, I193/G193, 1))</f>
        <v/>
      </c>
      <c r="O193" s="21">
        <f>IF(I193="", "", IF(K193&gt;0, I193/K193, 1))</f>
        <v/>
      </c>
      <c r="P193" s="2">
        <f>IF(I193="", "", IF(AND(N193&gt;=0.95, O193&gt;=0.95), "SALUDABLE", IF(N193&lt;0.9, "ALERTA RETRASO", "ALERTA SOBRECOSTO")))</f>
        <v/>
      </c>
    </row>
    <row r="194" ht="19.95" customHeight="1">
      <c r="A194" s="4" t="n">
        <v>49</v>
      </c>
      <c r="B194" s="31" t="n">
        <v>46283</v>
      </c>
      <c r="C194" s="2" t="inlineStr">
        <is>
          <t>WBS-100</t>
        </is>
      </c>
      <c r="D194" s="3" t="inlineStr">
        <is>
          <t>Obras Preliminares, Trazo y Movilización</t>
        </is>
      </c>
      <c r="E194" s="6">
        <f>SUM('01_PRESUPUESTO_CRONOGRAMA_BASE'!G2:G3)</f>
        <v/>
      </c>
      <c r="F194" s="6">
        <f>SUMIFS('02_CRONOGRAMA_PV_DIARIO'!E:E, '02_CRONOGRAMA_PV_DIARIO'!A:A, A194, '02_CRONOGRAMA_PV_DIARIO'!C:C, C194)</f>
        <v/>
      </c>
      <c r="G194" s="6">
        <f>SUMIFS(F$2:F194, C$2:C194, C194)</f>
        <v/>
      </c>
      <c r="H194" s="6">
        <f>IF(B194 &gt; MAX('04_LOG_FIELD_ENTRIES'!$B:$B), "", SUMIFS('04_LOG_FIELD_ENTRIES'!$J:$J, '04_LOG_FIELD_ENTRIES'!$B:$B, B194, '04_LOG_FIELD_ENTRIES'!$D:$D, C194, '04_LOG_FIELD_ENTRIES'!$K:$K, "EV_PRODUCCION"))</f>
        <v/>
      </c>
      <c r="I194" s="6">
        <f>IF(B194 &gt; MAX('04_LOG_FIELD_ENTRIES'!$B:$B), "", SUMIFS(H$2:H194, C$2:C194, C194))</f>
        <v/>
      </c>
      <c r="J194" s="6">
        <f>IF(B194 &gt; MAX('04_LOG_FIELD_ENTRIES'!$B:$B), "", SUMIFS('04_LOG_FIELD_ENTRIES'!$J:$J, '04_LOG_FIELD_ENTRIES'!$B:$B, B194, '04_LOG_FIELD_ENTRIES'!$D:$D, C194, '04_LOG_FIELD_ENTRIES'!$K:$K, "AC_*"))</f>
        <v/>
      </c>
      <c r="K194" s="6">
        <f>IF(B194 &gt; MAX('04_LOG_FIELD_ENTRIES'!$B:$B), "", SUMIFS(J$2:J194, C$2:C194, C194))</f>
        <v/>
      </c>
      <c r="L194" s="6">
        <f>IF(K194="", "", I194-K194)</f>
        <v/>
      </c>
      <c r="M194" s="6">
        <f>IF(I194="", "", I194-G194)</f>
        <v/>
      </c>
      <c r="N194" s="21">
        <f>IF(I194="", "", IF(G194&gt;0, I194/G194, 1))</f>
        <v/>
      </c>
      <c r="O194" s="21">
        <f>IF(I194="", "", IF(K194&gt;0, I194/K194, 1))</f>
        <v/>
      </c>
      <c r="P194" s="2">
        <f>IF(I194="", "", IF(AND(N194&gt;=0.95, O194&gt;=0.95), "SALUDABLE", IF(N194&lt;0.9, "ALERTA RETRASO", "ALERTA SOBRECOSTO")))</f>
        <v/>
      </c>
    </row>
    <row r="195" ht="19.95" customHeight="1">
      <c r="A195" s="4" t="n">
        <v>49</v>
      </c>
      <c r="B195" s="31" t="n">
        <v>46283</v>
      </c>
      <c r="C195" s="2" t="inlineStr">
        <is>
          <t>WBS-200</t>
        </is>
      </c>
      <c r="D195" s="3" t="inlineStr">
        <is>
          <t>Red de Alcantarillado, Zanjas y Buzones</t>
        </is>
      </c>
      <c r="E195" s="6">
        <f>SUM('01_PRESUPUESTO_CRONOGRAMA_BASE'!G4:G9)</f>
        <v/>
      </c>
      <c r="F195" s="6">
        <f>SUMIFS('02_CRONOGRAMA_PV_DIARIO'!E:E, '02_CRONOGRAMA_PV_DIARIO'!A:A, A195, '02_CRONOGRAMA_PV_DIARIO'!C:C, C195)</f>
        <v/>
      </c>
      <c r="G195" s="6">
        <f>SUMIFS(F$2:F195, C$2:C195, C195)</f>
        <v/>
      </c>
      <c r="H195" s="6">
        <f>IF(B195 &gt; MAX('04_LOG_FIELD_ENTRIES'!$B:$B), "", SUMIFS('04_LOG_FIELD_ENTRIES'!$J:$J, '04_LOG_FIELD_ENTRIES'!$B:$B, B195, '04_LOG_FIELD_ENTRIES'!$D:$D, C195, '04_LOG_FIELD_ENTRIES'!$K:$K, "EV_PRODUCCION"))</f>
        <v/>
      </c>
      <c r="I195" s="6">
        <f>IF(B195 &gt; MAX('04_LOG_FIELD_ENTRIES'!$B:$B), "", SUMIFS(H$2:H195, C$2:C195, C195))</f>
        <v/>
      </c>
      <c r="J195" s="6">
        <f>IF(B195 &gt; MAX('04_LOG_FIELD_ENTRIES'!$B:$B), "", SUMIFS('04_LOG_FIELD_ENTRIES'!$J:$J, '04_LOG_FIELD_ENTRIES'!$B:$B, B195, '04_LOG_FIELD_ENTRIES'!$D:$D, C195, '04_LOG_FIELD_ENTRIES'!$K:$K, "AC_*"))</f>
        <v/>
      </c>
      <c r="K195" s="6">
        <f>IF(B195 &gt; MAX('04_LOG_FIELD_ENTRIES'!$B:$B), "", SUMIFS(J$2:J195, C$2:C195, C195))</f>
        <v/>
      </c>
      <c r="L195" s="6">
        <f>IF(K195="", "", I195-K195)</f>
        <v/>
      </c>
      <c r="M195" s="6">
        <f>IF(I195="", "", I195-G195)</f>
        <v/>
      </c>
      <c r="N195" s="21">
        <f>IF(I195="", "", IF(G195&gt;0, I195/G195, 1))</f>
        <v/>
      </c>
      <c r="O195" s="21">
        <f>IF(I195="", "", IF(K195&gt;0, I195/K195, 1))</f>
        <v/>
      </c>
      <c r="P195" s="2">
        <f>IF(I195="", "", IF(AND(N195&gt;=0.95, O195&gt;=0.95), "SALUDABLE", IF(N195&lt;0.9, "ALERTA RETRASO", "ALERTA SOBRECOSTO")))</f>
        <v/>
      </c>
    </row>
    <row r="196" ht="19.95" customHeight="1">
      <c r="A196" s="4" t="n">
        <v>49</v>
      </c>
      <c r="B196" s="31" t="n">
        <v>46283</v>
      </c>
      <c r="C196" s="2" t="inlineStr">
        <is>
          <t>WBS-300</t>
        </is>
      </c>
      <c r="D196" s="3" t="inlineStr">
        <is>
          <t>Red de Agua Potable y Conexiones Domiciliarias</t>
        </is>
      </c>
      <c r="E196" s="6">
        <f>SUM('01_PRESUPUESTO_CRONOGRAMA_BASE'!G10:G11)</f>
        <v/>
      </c>
      <c r="F196" s="6">
        <f>SUMIFS('02_CRONOGRAMA_PV_DIARIO'!E:E, '02_CRONOGRAMA_PV_DIARIO'!A:A, A196, '02_CRONOGRAMA_PV_DIARIO'!C:C, C196)</f>
        <v/>
      </c>
      <c r="G196" s="6">
        <f>SUMIFS(F$2:F196, C$2:C196, C196)</f>
        <v/>
      </c>
      <c r="H196" s="6">
        <f>IF(B196 &gt; MAX('04_LOG_FIELD_ENTRIES'!$B:$B), "", SUMIFS('04_LOG_FIELD_ENTRIES'!$J:$J, '04_LOG_FIELD_ENTRIES'!$B:$B, B196, '04_LOG_FIELD_ENTRIES'!$D:$D, C196, '04_LOG_FIELD_ENTRIES'!$K:$K, "EV_PRODUCCION"))</f>
        <v/>
      </c>
      <c r="I196" s="6">
        <f>IF(B196 &gt; MAX('04_LOG_FIELD_ENTRIES'!$B:$B), "", SUMIFS(H$2:H196, C$2:C196, C196))</f>
        <v/>
      </c>
      <c r="J196" s="6">
        <f>IF(B196 &gt; MAX('04_LOG_FIELD_ENTRIES'!$B:$B), "", SUMIFS('04_LOG_FIELD_ENTRIES'!$J:$J, '04_LOG_FIELD_ENTRIES'!$B:$B, B196, '04_LOG_FIELD_ENTRIES'!$D:$D, C196, '04_LOG_FIELD_ENTRIES'!$K:$K, "AC_*"))</f>
        <v/>
      </c>
      <c r="K196" s="6">
        <f>IF(B196 &gt; MAX('04_LOG_FIELD_ENTRIES'!$B:$B), "", SUMIFS(J$2:J196, C$2:C196, C196))</f>
        <v/>
      </c>
      <c r="L196" s="6">
        <f>IF(K196="", "", I196-K196)</f>
        <v/>
      </c>
      <c r="M196" s="6">
        <f>IF(I196="", "", I196-G196)</f>
        <v/>
      </c>
      <c r="N196" s="21">
        <f>IF(I196="", "", IF(G196&gt;0, I196/G196, 1))</f>
        <v/>
      </c>
      <c r="O196" s="21">
        <f>IF(I196="", "", IF(K196&gt;0, I196/K196, 1))</f>
        <v/>
      </c>
      <c r="P196" s="2">
        <f>IF(I196="", "", IF(AND(N196&gt;=0.95, O196&gt;=0.95), "SALUDABLE", IF(N196&lt;0.9, "ALERTA RETRASO", "ALERTA SOBRECOSTO")))</f>
        <v/>
      </c>
    </row>
    <row r="197" ht="19.95" customHeight="1">
      <c r="A197" s="4" t="n">
        <v>49</v>
      </c>
      <c r="B197" s="31" t="n">
        <v>46283</v>
      </c>
      <c r="C197" s="2" t="inlineStr">
        <is>
          <t>WBS-400</t>
        </is>
      </c>
      <c r="D197" s="3" t="inlineStr">
        <is>
          <t>Pruebas Hidráulicas, Desinfección y Entrega</t>
        </is>
      </c>
      <c r="E197" s="6">
        <f>SUM('01_PRESUPUESTO_CRONOGRAMA_BASE'!G12:G12)</f>
        <v/>
      </c>
      <c r="F197" s="6">
        <f>SUMIFS('02_CRONOGRAMA_PV_DIARIO'!E:E, '02_CRONOGRAMA_PV_DIARIO'!A:A, A197, '02_CRONOGRAMA_PV_DIARIO'!C:C, C197)</f>
        <v/>
      </c>
      <c r="G197" s="6">
        <f>SUMIFS(F$2:F197, C$2:C197, C197)</f>
        <v/>
      </c>
      <c r="H197" s="6">
        <f>IF(B197 &gt; MAX('04_LOG_FIELD_ENTRIES'!$B:$B), "", SUMIFS('04_LOG_FIELD_ENTRIES'!$J:$J, '04_LOG_FIELD_ENTRIES'!$B:$B, B197, '04_LOG_FIELD_ENTRIES'!$D:$D, C197, '04_LOG_FIELD_ENTRIES'!$K:$K, "EV_PRODUCCION"))</f>
        <v/>
      </c>
      <c r="I197" s="6">
        <f>IF(B197 &gt; MAX('04_LOG_FIELD_ENTRIES'!$B:$B), "", SUMIFS(H$2:H197, C$2:C197, C197))</f>
        <v/>
      </c>
      <c r="J197" s="6">
        <f>IF(B197 &gt; MAX('04_LOG_FIELD_ENTRIES'!$B:$B), "", SUMIFS('04_LOG_FIELD_ENTRIES'!$J:$J, '04_LOG_FIELD_ENTRIES'!$B:$B, B197, '04_LOG_FIELD_ENTRIES'!$D:$D, C197, '04_LOG_FIELD_ENTRIES'!$K:$K, "AC_*"))</f>
        <v/>
      </c>
      <c r="K197" s="6">
        <f>IF(B197 &gt; MAX('04_LOG_FIELD_ENTRIES'!$B:$B), "", SUMIFS(J$2:J197, C$2:C197, C197))</f>
        <v/>
      </c>
      <c r="L197" s="6">
        <f>IF(K197="", "", I197-K197)</f>
        <v/>
      </c>
      <c r="M197" s="6">
        <f>IF(I197="", "", I197-G197)</f>
        <v/>
      </c>
      <c r="N197" s="21">
        <f>IF(I197="", "", IF(G197&gt;0, I197/G197, 1))</f>
        <v/>
      </c>
      <c r="O197" s="21">
        <f>IF(I197="", "", IF(K197&gt;0, I197/K197, 1))</f>
        <v/>
      </c>
      <c r="P197" s="2">
        <f>IF(I197="", "", IF(AND(N197&gt;=0.95, O197&gt;=0.95), "SALUDABLE", IF(N197&lt;0.9, "ALERTA RETRASO", "ALERTA SOBRECOSTO")))</f>
        <v/>
      </c>
    </row>
    <row r="198" ht="19.95" customHeight="1">
      <c r="A198" s="4" t="n">
        <v>50</v>
      </c>
      <c r="B198" s="31" t="n">
        <v>46284</v>
      </c>
      <c r="C198" s="2" t="inlineStr">
        <is>
          <t>WBS-100</t>
        </is>
      </c>
      <c r="D198" s="3" t="inlineStr">
        <is>
          <t>Obras Preliminares, Trazo y Movilización</t>
        </is>
      </c>
      <c r="E198" s="6">
        <f>SUM('01_PRESUPUESTO_CRONOGRAMA_BASE'!G2:G3)</f>
        <v/>
      </c>
      <c r="F198" s="6">
        <f>SUMIFS('02_CRONOGRAMA_PV_DIARIO'!E:E, '02_CRONOGRAMA_PV_DIARIO'!A:A, A198, '02_CRONOGRAMA_PV_DIARIO'!C:C, C198)</f>
        <v/>
      </c>
      <c r="G198" s="6">
        <f>SUMIFS(F$2:F198, C$2:C198, C198)</f>
        <v/>
      </c>
      <c r="H198" s="6">
        <f>IF(B198 &gt; MAX('04_LOG_FIELD_ENTRIES'!$B:$B), "", SUMIFS('04_LOG_FIELD_ENTRIES'!$J:$J, '04_LOG_FIELD_ENTRIES'!$B:$B, B198, '04_LOG_FIELD_ENTRIES'!$D:$D, C198, '04_LOG_FIELD_ENTRIES'!$K:$K, "EV_PRODUCCION"))</f>
        <v/>
      </c>
      <c r="I198" s="6">
        <f>IF(B198 &gt; MAX('04_LOG_FIELD_ENTRIES'!$B:$B), "", SUMIFS(H$2:H198, C$2:C198, C198))</f>
        <v/>
      </c>
      <c r="J198" s="6">
        <f>IF(B198 &gt; MAX('04_LOG_FIELD_ENTRIES'!$B:$B), "", SUMIFS('04_LOG_FIELD_ENTRIES'!$J:$J, '04_LOG_FIELD_ENTRIES'!$B:$B, B198, '04_LOG_FIELD_ENTRIES'!$D:$D, C198, '04_LOG_FIELD_ENTRIES'!$K:$K, "AC_*"))</f>
        <v/>
      </c>
      <c r="K198" s="6">
        <f>IF(B198 &gt; MAX('04_LOG_FIELD_ENTRIES'!$B:$B), "", SUMIFS(J$2:J198, C$2:C198, C198))</f>
        <v/>
      </c>
      <c r="L198" s="6">
        <f>IF(K198="", "", I198-K198)</f>
        <v/>
      </c>
      <c r="M198" s="6">
        <f>IF(I198="", "", I198-G198)</f>
        <v/>
      </c>
      <c r="N198" s="21">
        <f>IF(I198="", "", IF(G198&gt;0, I198/G198, 1))</f>
        <v/>
      </c>
      <c r="O198" s="21">
        <f>IF(I198="", "", IF(K198&gt;0, I198/K198, 1))</f>
        <v/>
      </c>
      <c r="P198" s="2">
        <f>IF(I198="", "", IF(AND(N198&gt;=0.95, O198&gt;=0.95), "SALUDABLE", IF(N198&lt;0.9, "ALERTA RETRASO", "ALERTA SOBRECOSTO")))</f>
        <v/>
      </c>
    </row>
    <row r="199" ht="19.95" customHeight="1">
      <c r="A199" s="4" t="n">
        <v>50</v>
      </c>
      <c r="B199" s="31" t="n">
        <v>46284</v>
      </c>
      <c r="C199" s="2" t="inlineStr">
        <is>
          <t>WBS-200</t>
        </is>
      </c>
      <c r="D199" s="3" t="inlineStr">
        <is>
          <t>Red de Alcantarillado, Zanjas y Buzones</t>
        </is>
      </c>
      <c r="E199" s="6">
        <f>SUM('01_PRESUPUESTO_CRONOGRAMA_BASE'!G4:G9)</f>
        <v/>
      </c>
      <c r="F199" s="6">
        <f>SUMIFS('02_CRONOGRAMA_PV_DIARIO'!E:E, '02_CRONOGRAMA_PV_DIARIO'!A:A, A199, '02_CRONOGRAMA_PV_DIARIO'!C:C, C199)</f>
        <v/>
      </c>
      <c r="G199" s="6">
        <f>SUMIFS(F$2:F199, C$2:C199, C199)</f>
        <v/>
      </c>
      <c r="H199" s="6">
        <f>IF(B199 &gt; MAX('04_LOG_FIELD_ENTRIES'!$B:$B), "", SUMIFS('04_LOG_FIELD_ENTRIES'!$J:$J, '04_LOG_FIELD_ENTRIES'!$B:$B, B199, '04_LOG_FIELD_ENTRIES'!$D:$D, C199, '04_LOG_FIELD_ENTRIES'!$K:$K, "EV_PRODUCCION"))</f>
        <v/>
      </c>
      <c r="I199" s="6">
        <f>IF(B199 &gt; MAX('04_LOG_FIELD_ENTRIES'!$B:$B), "", SUMIFS(H$2:H199, C$2:C199, C199))</f>
        <v/>
      </c>
      <c r="J199" s="6">
        <f>IF(B199 &gt; MAX('04_LOG_FIELD_ENTRIES'!$B:$B), "", SUMIFS('04_LOG_FIELD_ENTRIES'!$J:$J, '04_LOG_FIELD_ENTRIES'!$B:$B, B199, '04_LOG_FIELD_ENTRIES'!$D:$D, C199, '04_LOG_FIELD_ENTRIES'!$K:$K, "AC_*"))</f>
        <v/>
      </c>
      <c r="K199" s="6">
        <f>IF(B199 &gt; MAX('04_LOG_FIELD_ENTRIES'!$B:$B), "", SUMIFS(J$2:J199, C$2:C199, C199))</f>
        <v/>
      </c>
      <c r="L199" s="6">
        <f>IF(K199="", "", I199-K199)</f>
        <v/>
      </c>
      <c r="M199" s="6">
        <f>IF(I199="", "", I199-G199)</f>
        <v/>
      </c>
      <c r="N199" s="21">
        <f>IF(I199="", "", IF(G199&gt;0, I199/G199, 1))</f>
        <v/>
      </c>
      <c r="O199" s="21">
        <f>IF(I199="", "", IF(K199&gt;0, I199/K199, 1))</f>
        <v/>
      </c>
      <c r="P199" s="2">
        <f>IF(I199="", "", IF(AND(N199&gt;=0.95, O199&gt;=0.95), "SALUDABLE", IF(N199&lt;0.9, "ALERTA RETRASO", "ALERTA SOBRECOSTO")))</f>
        <v/>
      </c>
    </row>
    <row r="200" ht="19.95" customHeight="1">
      <c r="A200" s="4" t="n">
        <v>50</v>
      </c>
      <c r="B200" s="31" t="n">
        <v>46284</v>
      </c>
      <c r="C200" s="2" t="inlineStr">
        <is>
          <t>WBS-300</t>
        </is>
      </c>
      <c r="D200" s="3" t="inlineStr">
        <is>
          <t>Red de Agua Potable y Conexiones Domiciliarias</t>
        </is>
      </c>
      <c r="E200" s="6">
        <f>SUM('01_PRESUPUESTO_CRONOGRAMA_BASE'!G10:G11)</f>
        <v/>
      </c>
      <c r="F200" s="6">
        <f>SUMIFS('02_CRONOGRAMA_PV_DIARIO'!E:E, '02_CRONOGRAMA_PV_DIARIO'!A:A, A200, '02_CRONOGRAMA_PV_DIARIO'!C:C, C200)</f>
        <v/>
      </c>
      <c r="G200" s="6">
        <f>SUMIFS(F$2:F200, C$2:C200, C200)</f>
        <v/>
      </c>
      <c r="H200" s="6">
        <f>IF(B200 &gt; MAX('04_LOG_FIELD_ENTRIES'!$B:$B), "", SUMIFS('04_LOG_FIELD_ENTRIES'!$J:$J, '04_LOG_FIELD_ENTRIES'!$B:$B, B200, '04_LOG_FIELD_ENTRIES'!$D:$D, C200, '04_LOG_FIELD_ENTRIES'!$K:$K, "EV_PRODUCCION"))</f>
        <v/>
      </c>
      <c r="I200" s="6">
        <f>IF(B200 &gt; MAX('04_LOG_FIELD_ENTRIES'!$B:$B), "", SUMIFS(H$2:H200, C$2:C200, C200))</f>
        <v/>
      </c>
      <c r="J200" s="6">
        <f>IF(B200 &gt; MAX('04_LOG_FIELD_ENTRIES'!$B:$B), "", SUMIFS('04_LOG_FIELD_ENTRIES'!$J:$J, '04_LOG_FIELD_ENTRIES'!$B:$B, B200, '04_LOG_FIELD_ENTRIES'!$D:$D, C200, '04_LOG_FIELD_ENTRIES'!$K:$K, "AC_*"))</f>
        <v/>
      </c>
      <c r="K200" s="6">
        <f>IF(B200 &gt; MAX('04_LOG_FIELD_ENTRIES'!$B:$B), "", SUMIFS(J$2:J200, C$2:C200, C200))</f>
        <v/>
      </c>
      <c r="L200" s="6">
        <f>IF(K200="", "", I200-K200)</f>
        <v/>
      </c>
      <c r="M200" s="6">
        <f>IF(I200="", "", I200-G200)</f>
        <v/>
      </c>
      <c r="N200" s="21">
        <f>IF(I200="", "", IF(G200&gt;0, I200/G200, 1))</f>
        <v/>
      </c>
      <c r="O200" s="21">
        <f>IF(I200="", "", IF(K200&gt;0, I200/K200, 1))</f>
        <v/>
      </c>
      <c r="P200" s="2">
        <f>IF(I200="", "", IF(AND(N200&gt;=0.95, O200&gt;=0.95), "SALUDABLE", IF(N200&lt;0.9, "ALERTA RETRASO", "ALERTA SOBRECOSTO")))</f>
        <v/>
      </c>
    </row>
    <row r="201" ht="19.95" customHeight="1">
      <c r="A201" s="4" t="n">
        <v>50</v>
      </c>
      <c r="B201" s="31" t="n">
        <v>46284</v>
      </c>
      <c r="C201" s="2" t="inlineStr">
        <is>
          <t>WBS-400</t>
        </is>
      </c>
      <c r="D201" s="3" t="inlineStr">
        <is>
          <t>Pruebas Hidráulicas, Desinfección y Entrega</t>
        </is>
      </c>
      <c r="E201" s="6">
        <f>SUM('01_PRESUPUESTO_CRONOGRAMA_BASE'!G12:G12)</f>
        <v/>
      </c>
      <c r="F201" s="6">
        <f>SUMIFS('02_CRONOGRAMA_PV_DIARIO'!E:E, '02_CRONOGRAMA_PV_DIARIO'!A:A, A201, '02_CRONOGRAMA_PV_DIARIO'!C:C, C201)</f>
        <v/>
      </c>
      <c r="G201" s="6">
        <f>SUMIFS(F$2:F201, C$2:C201, C201)</f>
        <v/>
      </c>
      <c r="H201" s="6">
        <f>IF(B201 &gt; MAX('04_LOG_FIELD_ENTRIES'!$B:$B), "", SUMIFS('04_LOG_FIELD_ENTRIES'!$J:$J, '04_LOG_FIELD_ENTRIES'!$B:$B, B201, '04_LOG_FIELD_ENTRIES'!$D:$D, C201, '04_LOG_FIELD_ENTRIES'!$K:$K, "EV_PRODUCCION"))</f>
        <v/>
      </c>
      <c r="I201" s="6">
        <f>IF(B201 &gt; MAX('04_LOG_FIELD_ENTRIES'!$B:$B), "", SUMIFS(H$2:H201, C$2:C201, C201))</f>
        <v/>
      </c>
      <c r="J201" s="6">
        <f>IF(B201 &gt; MAX('04_LOG_FIELD_ENTRIES'!$B:$B), "", SUMIFS('04_LOG_FIELD_ENTRIES'!$J:$J, '04_LOG_FIELD_ENTRIES'!$B:$B, B201, '04_LOG_FIELD_ENTRIES'!$D:$D, C201, '04_LOG_FIELD_ENTRIES'!$K:$K, "AC_*"))</f>
        <v/>
      </c>
      <c r="K201" s="6">
        <f>IF(B201 &gt; MAX('04_LOG_FIELD_ENTRIES'!$B:$B), "", SUMIFS(J$2:J201, C$2:C201, C201))</f>
        <v/>
      </c>
      <c r="L201" s="6">
        <f>IF(K201="", "", I201-K201)</f>
        <v/>
      </c>
      <c r="M201" s="6">
        <f>IF(I201="", "", I201-G201)</f>
        <v/>
      </c>
      <c r="N201" s="21">
        <f>IF(I201="", "", IF(G201&gt;0, I201/G201, 1))</f>
        <v/>
      </c>
      <c r="O201" s="21">
        <f>IF(I201="", "", IF(K201&gt;0, I201/K201, 1))</f>
        <v/>
      </c>
      <c r="P201" s="2">
        <f>IF(I201="", "", IF(AND(N201&gt;=0.95, O201&gt;=0.95), "SALUDABLE", IF(N201&lt;0.9, "ALERTA RETRASO", "ALERTA SOBRECOSTO")))</f>
        <v/>
      </c>
    </row>
    <row r="202" ht="19.95" customHeight="1">
      <c r="A202" s="4" t="n">
        <v>51</v>
      </c>
      <c r="B202" s="31" t="n">
        <v>46285</v>
      </c>
      <c r="C202" s="2" t="inlineStr">
        <is>
          <t>WBS-100</t>
        </is>
      </c>
      <c r="D202" s="3" t="inlineStr">
        <is>
          <t>Obras Preliminares, Trazo y Movilización</t>
        </is>
      </c>
      <c r="E202" s="6">
        <f>SUM('01_PRESUPUESTO_CRONOGRAMA_BASE'!G2:G3)</f>
        <v/>
      </c>
      <c r="F202" s="6">
        <f>SUMIFS('02_CRONOGRAMA_PV_DIARIO'!E:E, '02_CRONOGRAMA_PV_DIARIO'!A:A, A202, '02_CRONOGRAMA_PV_DIARIO'!C:C, C202)</f>
        <v/>
      </c>
      <c r="G202" s="6">
        <f>SUMIFS(F$2:F202, C$2:C202, C202)</f>
        <v/>
      </c>
      <c r="H202" s="6">
        <f>IF(B202 &gt; MAX('04_LOG_FIELD_ENTRIES'!$B:$B), "", SUMIFS('04_LOG_FIELD_ENTRIES'!$J:$J, '04_LOG_FIELD_ENTRIES'!$B:$B, B202, '04_LOG_FIELD_ENTRIES'!$D:$D, C202, '04_LOG_FIELD_ENTRIES'!$K:$K, "EV_PRODUCCION"))</f>
        <v/>
      </c>
      <c r="I202" s="6">
        <f>IF(B202 &gt; MAX('04_LOG_FIELD_ENTRIES'!$B:$B), "", SUMIFS(H$2:H202, C$2:C202, C202))</f>
        <v/>
      </c>
      <c r="J202" s="6">
        <f>IF(B202 &gt; MAX('04_LOG_FIELD_ENTRIES'!$B:$B), "", SUMIFS('04_LOG_FIELD_ENTRIES'!$J:$J, '04_LOG_FIELD_ENTRIES'!$B:$B, B202, '04_LOG_FIELD_ENTRIES'!$D:$D, C202, '04_LOG_FIELD_ENTRIES'!$K:$K, "AC_*"))</f>
        <v/>
      </c>
      <c r="K202" s="6">
        <f>IF(B202 &gt; MAX('04_LOG_FIELD_ENTRIES'!$B:$B), "", SUMIFS(J$2:J202, C$2:C202, C202))</f>
        <v/>
      </c>
      <c r="L202" s="6">
        <f>IF(K202="", "", I202-K202)</f>
        <v/>
      </c>
      <c r="M202" s="6">
        <f>IF(I202="", "", I202-G202)</f>
        <v/>
      </c>
      <c r="N202" s="21">
        <f>IF(I202="", "", IF(G202&gt;0, I202/G202, 1))</f>
        <v/>
      </c>
      <c r="O202" s="21">
        <f>IF(I202="", "", IF(K202&gt;0, I202/K202, 1))</f>
        <v/>
      </c>
      <c r="P202" s="2">
        <f>IF(I202="", "", IF(AND(N202&gt;=0.95, O202&gt;=0.95), "SALUDABLE", IF(N202&lt;0.9, "ALERTA RETRASO", "ALERTA SOBRECOSTO")))</f>
        <v/>
      </c>
    </row>
    <row r="203" ht="19.95" customHeight="1">
      <c r="A203" s="4" t="n">
        <v>51</v>
      </c>
      <c r="B203" s="31" t="n">
        <v>46285</v>
      </c>
      <c r="C203" s="2" t="inlineStr">
        <is>
          <t>WBS-200</t>
        </is>
      </c>
      <c r="D203" s="3" t="inlineStr">
        <is>
          <t>Red de Alcantarillado, Zanjas y Buzones</t>
        </is>
      </c>
      <c r="E203" s="6">
        <f>SUM('01_PRESUPUESTO_CRONOGRAMA_BASE'!G4:G9)</f>
        <v/>
      </c>
      <c r="F203" s="6">
        <f>SUMIFS('02_CRONOGRAMA_PV_DIARIO'!E:E, '02_CRONOGRAMA_PV_DIARIO'!A:A, A203, '02_CRONOGRAMA_PV_DIARIO'!C:C, C203)</f>
        <v/>
      </c>
      <c r="G203" s="6">
        <f>SUMIFS(F$2:F203, C$2:C203, C203)</f>
        <v/>
      </c>
      <c r="H203" s="6">
        <f>IF(B203 &gt; MAX('04_LOG_FIELD_ENTRIES'!$B:$B), "", SUMIFS('04_LOG_FIELD_ENTRIES'!$J:$J, '04_LOG_FIELD_ENTRIES'!$B:$B, B203, '04_LOG_FIELD_ENTRIES'!$D:$D, C203, '04_LOG_FIELD_ENTRIES'!$K:$K, "EV_PRODUCCION"))</f>
        <v/>
      </c>
      <c r="I203" s="6">
        <f>IF(B203 &gt; MAX('04_LOG_FIELD_ENTRIES'!$B:$B), "", SUMIFS(H$2:H203, C$2:C203, C203))</f>
        <v/>
      </c>
      <c r="J203" s="6">
        <f>IF(B203 &gt; MAX('04_LOG_FIELD_ENTRIES'!$B:$B), "", SUMIFS('04_LOG_FIELD_ENTRIES'!$J:$J, '04_LOG_FIELD_ENTRIES'!$B:$B, B203, '04_LOG_FIELD_ENTRIES'!$D:$D, C203, '04_LOG_FIELD_ENTRIES'!$K:$K, "AC_*"))</f>
        <v/>
      </c>
      <c r="K203" s="6">
        <f>IF(B203 &gt; MAX('04_LOG_FIELD_ENTRIES'!$B:$B), "", SUMIFS(J$2:J203, C$2:C203, C203))</f>
        <v/>
      </c>
      <c r="L203" s="6">
        <f>IF(K203="", "", I203-K203)</f>
        <v/>
      </c>
      <c r="M203" s="6">
        <f>IF(I203="", "", I203-G203)</f>
        <v/>
      </c>
      <c r="N203" s="21">
        <f>IF(I203="", "", IF(G203&gt;0, I203/G203, 1))</f>
        <v/>
      </c>
      <c r="O203" s="21">
        <f>IF(I203="", "", IF(K203&gt;0, I203/K203, 1))</f>
        <v/>
      </c>
      <c r="P203" s="2">
        <f>IF(I203="", "", IF(AND(N203&gt;=0.95, O203&gt;=0.95), "SALUDABLE", IF(N203&lt;0.9, "ALERTA RETRASO", "ALERTA SOBRECOSTO")))</f>
        <v/>
      </c>
    </row>
    <row r="204" ht="19.95" customHeight="1">
      <c r="A204" s="4" t="n">
        <v>51</v>
      </c>
      <c r="B204" s="31" t="n">
        <v>46285</v>
      </c>
      <c r="C204" s="2" t="inlineStr">
        <is>
          <t>WBS-300</t>
        </is>
      </c>
      <c r="D204" s="3" t="inlineStr">
        <is>
          <t>Red de Agua Potable y Conexiones Domiciliarias</t>
        </is>
      </c>
      <c r="E204" s="6">
        <f>SUM('01_PRESUPUESTO_CRONOGRAMA_BASE'!G10:G11)</f>
        <v/>
      </c>
      <c r="F204" s="6">
        <f>SUMIFS('02_CRONOGRAMA_PV_DIARIO'!E:E, '02_CRONOGRAMA_PV_DIARIO'!A:A, A204, '02_CRONOGRAMA_PV_DIARIO'!C:C, C204)</f>
        <v/>
      </c>
      <c r="G204" s="6">
        <f>SUMIFS(F$2:F204, C$2:C204, C204)</f>
        <v/>
      </c>
      <c r="H204" s="6">
        <f>IF(B204 &gt; MAX('04_LOG_FIELD_ENTRIES'!$B:$B), "", SUMIFS('04_LOG_FIELD_ENTRIES'!$J:$J, '04_LOG_FIELD_ENTRIES'!$B:$B, B204, '04_LOG_FIELD_ENTRIES'!$D:$D, C204, '04_LOG_FIELD_ENTRIES'!$K:$K, "EV_PRODUCCION"))</f>
        <v/>
      </c>
      <c r="I204" s="6">
        <f>IF(B204 &gt; MAX('04_LOG_FIELD_ENTRIES'!$B:$B), "", SUMIFS(H$2:H204, C$2:C204, C204))</f>
        <v/>
      </c>
      <c r="J204" s="6">
        <f>IF(B204 &gt; MAX('04_LOG_FIELD_ENTRIES'!$B:$B), "", SUMIFS('04_LOG_FIELD_ENTRIES'!$J:$J, '04_LOG_FIELD_ENTRIES'!$B:$B, B204, '04_LOG_FIELD_ENTRIES'!$D:$D, C204, '04_LOG_FIELD_ENTRIES'!$K:$K, "AC_*"))</f>
        <v/>
      </c>
      <c r="K204" s="6">
        <f>IF(B204 &gt; MAX('04_LOG_FIELD_ENTRIES'!$B:$B), "", SUMIFS(J$2:J204, C$2:C204, C204))</f>
        <v/>
      </c>
      <c r="L204" s="6">
        <f>IF(K204="", "", I204-K204)</f>
        <v/>
      </c>
      <c r="M204" s="6">
        <f>IF(I204="", "", I204-G204)</f>
        <v/>
      </c>
      <c r="N204" s="21">
        <f>IF(I204="", "", IF(G204&gt;0, I204/G204, 1))</f>
        <v/>
      </c>
      <c r="O204" s="21">
        <f>IF(I204="", "", IF(K204&gt;0, I204/K204, 1))</f>
        <v/>
      </c>
      <c r="P204" s="2">
        <f>IF(I204="", "", IF(AND(N204&gt;=0.95, O204&gt;=0.95), "SALUDABLE", IF(N204&lt;0.9, "ALERTA RETRASO", "ALERTA SOBRECOSTO")))</f>
        <v/>
      </c>
    </row>
    <row r="205" ht="19.95" customHeight="1">
      <c r="A205" s="4" t="n">
        <v>51</v>
      </c>
      <c r="B205" s="31" t="n">
        <v>46285</v>
      </c>
      <c r="C205" s="2" t="inlineStr">
        <is>
          <t>WBS-400</t>
        </is>
      </c>
      <c r="D205" s="3" t="inlineStr">
        <is>
          <t>Pruebas Hidráulicas, Desinfección y Entrega</t>
        </is>
      </c>
      <c r="E205" s="6">
        <f>SUM('01_PRESUPUESTO_CRONOGRAMA_BASE'!G12:G12)</f>
        <v/>
      </c>
      <c r="F205" s="6">
        <f>SUMIFS('02_CRONOGRAMA_PV_DIARIO'!E:E, '02_CRONOGRAMA_PV_DIARIO'!A:A, A205, '02_CRONOGRAMA_PV_DIARIO'!C:C, C205)</f>
        <v/>
      </c>
      <c r="G205" s="6">
        <f>SUMIFS(F$2:F205, C$2:C205, C205)</f>
        <v/>
      </c>
      <c r="H205" s="6">
        <f>IF(B205 &gt; MAX('04_LOG_FIELD_ENTRIES'!$B:$B), "", SUMIFS('04_LOG_FIELD_ENTRIES'!$J:$J, '04_LOG_FIELD_ENTRIES'!$B:$B, B205, '04_LOG_FIELD_ENTRIES'!$D:$D, C205, '04_LOG_FIELD_ENTRIES'!$K:$K, "EV_PRODUCCION"))</f>
        <v/>
      </c>
      <c r="I205" s="6">
        <f>IF(B205 &gt; MAX('04_LOG_FIELD_ENTRIES'!$B:$B), "", SUMIFS(H$2:H205, C$2:C205, C205))</f>
        <v/>
      </c>
      <c r="J205" s="6">
        <f>IF(B205 &gt; MAX('04_LOG_FIELD_ENTRIES'!$B:$B), "", SUMIFS('04_LOG_FIELD_ENTRIES'!$J:$J, '04_LOG_FIELD_ENTRIES'!$B:$B, B205, '04_LOG_FIELD_ENTRIES'!$D:$D, C205, '04_LOG_FIELD_ENTRIES'!$K:$K, "AC_*"))</f>
        <v/>
      </c>
      <c r="K205" s="6">
        <f>IF(B205 &gt; MAX('04_LOG_FIELD_ENTRIES'!$B:$B), "", SUMIFS(J$2:J205, C$2:C205, C205))</f>
        <v/>
      </c>
      <c r="L205" s="6">
        <f>IF(K205="", "", I205-K205)</f>
        <v/>
      </c>
      <c r="M205" s="6">
        <f>IF(I205="", "", I205-G205)</f>
        <v/>
      </c>
      <c r="N205" s="21">
        <f>IF(I205="", "", IF(G205&gt;0, I205/G205, 1))</f>
        <v/>
      </c>
      <c r="O205" s="21">
        <f>IF(I205="", "", IF(K205&gt;0, I205/K205, 1))</f>
        <v/>
      </c>
      <c r="P205" s="2">
        <f>IF(I205="", "", IF(AND(N205&gt;=0.95, O205&gt;=0.95), "SALUDABLE", IF(N205&lt;0.9, "ALERTA RETRASO", "ALERTA SOBRECOSTO")))</f>
        <v/>
      </c>
    </row>
    <row r="206" ht="19.95" customHeight="1">
      <c r="A206" s="4" t="n">
        <v>52</v>
      </c>
      <c r="B206" s="31" t="n">
        <v>46286</v>
      </c>
      <c r="C206" s="2" t="inlineStr">
        <is>
          <t>WBS-100</t>
        </is>
      </c>
      <c r="D206" s="3" t="inlineStr">
        <is>
          <t>Obras Preliminares, Trazo y Movilización</t>
        </is>
      </c>
      <c r="E206" s="6">
        <f>SUM('01_PRESUPUESTO_CRONOGRAMA_BASE'!G2:G3)</f>
        <v/>
      </c>
      <c r="F206" s="6">
        <f>SUMIFS('02_CRONOGRAMA_PV_DIARIO'!E:E, '02_CRONOGRAMA_PV_DIARIO'!A:A, A206, '02_CRONOGRAMA_PV_DIARIO'!C:C, C206)</f>
        <v/>
      </c>
      <c r="G206" s="6">
        <f>SUMIFS(F$2:F206, C$2:C206, C206)</f>
        <v/>
      </c>
      <c r="H206" s="6">
        <f>IF(B206 &gt; MAX('04_LOG_FIELD_ENTRIES'!$B:$B), "", SUMIFS('04_LOG_FIELD_ENTRIES'!$J:$J, '04_LOG_FIELD_ENTRIES'!$B:$B, B206, '04_LOG_FIELD_ENTRIES'!$D:$D, C206, '04_LOG_FIELD_ENTRIES'!$K:$K, "EV_PRODUCCION"))</f>
        <v/>
      </c>
      <c r="I206" s="6">
        <f>IF(B206 &gt; MAX('04_LOG_FIELD_ENTRIES'!$B:$B), "", SUMIFS(H$2:H206, C$2:C206, C206))</f>
        <v/>
      </c>
      <c r="J206" s="6">
        <f>IF(B206 &gt; MAX('04_LOG_FIELD_ENTRIES'!$B:$B), "", SUMIFS('04_LOG_FIELD_ENTRIES'!$J:$J, '04_LOG_FIELD_ENTRIES'!$B:$B, B206, '04_LOG_FIELD_ENTRIES'!$D:$D, C206, '04_LOG_FIELD_ENTRIES'!$K:$K, "AC_*"))</f>
        <v/>
      </c>
      <c r="K206" s="6">
        <f>IF(B206 &gt; MAX('04_LOG_FIELD_ENTRIES'!$B:$B), "", SUMIFS(J$2:J206, C$2:C206, C206))</f>
        <v/>
      </c>
      <c r="L206" s="6">
        <f>IF(K206="", "", I206-K206)</f>
        <v/>
      </c>
      <c r="M206" s="6">
        <f>IF(I206="", "", I206-G206)</f>
        <v/>
      </c>
      <c r="N206" s="21">
        <f>IF(I206="", "", IF(G206&gt;0, I206/G206, 1))</f>
        <v/>
      </c>
      <c r="O206" s="21">
        <f>IF(I206="", "", IF(K206&gt;0, I206/K206, 1))</f>
        <v/>
      </c>
      <c r="P206" s="2">
        <f>IF(I206="", "", IF(AND(N206&gt;=0.95, O206&gt;=0.95), "SALUDABLE", IF(N206&lt;0.9, "ALERTA RETRASO", "ALERTA SOBRECOSTO")))</f>
        <v/>
      </c>
    </row>
    <row r="207" ht="19.95" customHeight="1">
      <c r="A207" s="4" t="n">
        <v>52</v>
      </c>
      <c r="B207" s="31" t="n">
        <v>46286</v>
      </c>
      <c r="C207" s="2" t="inlineStr">
        <is>
          <t>WBS-200</t>
        </is>
      </c>
      <c r="D207" s="3" t="inlineStr">
        <is>
          <t>Red de Alcantarillado, Zanjas y Buzones</t>
        </is>
      </c>
      <c r="E207" s="6">
        <f>SUM('01_PRESUPUESTO_CRONOGRAMA_BASE'!G4:G9)</f>
        <v/>
      </c>
      <c r="F207" s="6">
        <f>SUMIFS('02_CRONOGRAMA_PV_DIARIO'!E:E, '02_CRONOGRAMA_PV_DIARIO'!A:A, A207, '02_CRONOGRAMA_PV_DIARIO'!C:C, C207)</f>
        <v/>
      </c>
      <c r="G207" s="6">
        <f>SUMIFS(F$2:F207, C$2:C207, C207)</f>
        <v/>
      </c>
      <c r="H207" s="6">
        <f>IF(B207 &gt; MAX('04_LOG_FIELD_ENTRIES'!$B:$B), "", SUMIFS('04_LOG_FIELD_ENTRIES'!$J:$J, '04_LOG_FIELD_ENTRIES'!$B:$B, B207, '04_LOG_FIELD_ENTRIES'!$D:$D, C207, '04_LOG_FIELD_ENTRIES'!$K:$K, "EV_PRODUCCION"))</f>
        <v/>
      </c>
      <c r="I207" s="6">
        <f>IF(B207 &gt; MAX('04_LOG_FIELD_ENTRIES'!$B:$B), "", SUMIFS(H$2:H207, C$2:C207, C207))</f>
        <v/>
      </c>
      <c r="J207" s="6">
        <f>IF(B207 &gt; MAX('04_LOG_FIELD_ENTRIES'!$B:$B), "", SUMIFS('04_LOG_FIELD_ENTRIES'!$J:$J, '04_LOG_FIELD_ENTRIES'!$B:$B, B207, '04_LOG_FIELD_ENTRIES'!$D:$D, C207, '04_LOG_FIELD_ENTRIES'!$K:$K, "AC_*"))</f>
        <v/>
      </c>
      <c r="K207" s="6">
        <f>IF(B207 &gt; MAX('04_LOG_FIELD_ENTRIES'!$B:$B), "", SUMIFS(J$2:J207, C$2:C207, C207))</f>
        <v/>
      </c>
      <c r="L207" s="6">
        <f>IF(K207="", "", I207-K207)</f>
        <v/>
      </c>
      <c r="M207" s="6">
        <f>IF(I207="", "", I207-G207)</f>
        <v/>
      </c>
      <c r="N207" s="21">
        <f>IF(I207="", "", IF(G207&gt;0, I207/G207, 1))</f>
        <v/>
      </c>
      <c r="O207" s="21">
        <f>IF(I207="", "", IF(K207&gt;0, I207/K207, 1))</f>
        <v/>
      </c>
      <c r="P207" s="2">
        <f>IF(I207="", "", IF(AND(N207&gt;=0.95, O207&gt;=0.95), "SALUDABLE", IF(N207&lt;0.9, "ALERTA RETRASO", "ALERTA SOBRECOSTO")))</f>
        <v/>
      </c>
    </row>
    <row r="208" ht="19.95" customHeight="1">
      <c r="A208" s="4" t="n">
        <v>52</v>
      </c>
      <c r="B208" s="31" t="n">
        <v>46286</v>
      </c>
      <c r="C208" s="2" t="inlineStr">
        <is>
          <t>WBS-300</t>
        </is>
      </c>
      <c r="D208" s="3" t="inlineStr">
        <is>
          <t>Red de Agua Potable y Conexiones Domiciliarias</t>
        </is>
      </c>
      <c r="E208" s="6">
        <f>SUM('01_PRESUPUESTO_CRONOGRAMA_BASE'!G10:G11)</f>
        <v/>
      </c>
      <c r="F208" s="6">
        <f>SUMIFS('02_CRONOGRAMA_PV_DIARIO'!E:E, '02_CRONOGRAMA_PV_DIARIO'!A:A, A208, '02_CRONOGRAMA_PV_DIARIO'!C:C, C208)</f>
        <v/>
      </c>
      <c r="G208" s="6">
        <f>SUMIFS(F$2:F208, C$2:C208, C208)</f>
        <v/>
      </c>
      <c r="H208" s="6">
        <f>IF(B208 &gt; MAX('04_LOG_FIELD_ENTRIES'!$B:$B), "", SUMIFS('04_LOG_FIELD_ENTRIES'!$J:$J, '04_LOG_FIELD_ENTRIES'!$B:$B, B208, '04_LOG_FIELD_ENTRIES'!$D:$D, C208, '04_LOG_FIELD_ENTRIES'!$K:$K, "EV_PRODUCCION"))</f>
        <v/>
      </c>
      <c r="I208" s="6">
        <f>IF(B208 &gt; MAX('04_LOG_FIELD_ENTRIES'!$B:$B), "", SUMIFS(H$2:H208, C$2:C208, C208))</f>
        <v/>
      </c>
      <c r="J208" s="6">
        <f>IF(B208 &gt; MAX('04_LOG_FIELD_ENTRIES'!$B:$B), "", SUMIFS('04_LOG_FIELD_ENTRIES'!$J:$J, '04_LOG_FIELD_ENTRIES'!$B:$B, B208, '04_LOG_FIELD_ENTRIES'!$D:$D, C208, '04_LOG_FIELD_ENTRIES'!$K:$K, "AC_*"))</f>
        <v/>
      </c>
      <c r="K208" s="6">
        <f>IF(B208 &gt; MAX('04_LOG_FIELD_ENTRIES'!$B:$B), "", SUMIFS(J$2:J208, C$2:C208, C208))</f>
        <v/>
      </c>
      <c r="L208" s="6">
        <f>IF(K208="", "", I208-K208)</f>
        <v/>
      </c>
      <c r="M208" s="6">
        <f>IF(I208="", "", I208-G208)</f>
        <v/>
      </c>
      <c r="N208" s="21">
        <f>IF(I208="", "", IF(G208&gt;0, I208/G208, 1))</f>
        <v/>
      </c>
      <c r="O208" s="21">
        <f>IF(I208="", "", IF(K208&gt;0, I208/K208, 1))</f>
        <v/>
      </c>
      <c r="P208" s="2">
        <f>IF(I208="", "", IF(AND(N208&gt;=0.95, O208&gt;=0.95), "SALUDABLE", IF(N208&lt;0.9, "ALERTA RETRASO", "ALERTA SOBRECOSTO")))</f>
        <v/>
      </c>
    </row>
    <row r="209" ht="19.95" customHeight="1">
      <c r="A209" s="4" t="n">
        <v>52</v>
      </c>
      <c r="B209" s="31" t="n">
        <v>46286</v>
      </c>
      <c r="C209" s="2" t="inlineStr">
        <is>
          <t>WBS-400</t>
        </is>
      </c>
      <c r="D209" s="3" t="inlineStr">
        <is>
          <t>Pruebas Hidráulicas, Desinfección y Entrega</t>
        </is>
      </c>
      <c r="E209" s="6">
        <f>SUM('01_PRESUPUESTO_CRONOGRAMA_BASE'!G12:G12)</f>
        <v/>
      </c>
      <c r="F209" s="6">
        <f>SUMIFS('02_CRONOGRAMA_PV_DIARIO'!E:E, '02_CRONOGRAMA_PV_DIARIO'!A:A, A209, '02_CRONOGRAMA_PV_DIARIO'!C:C, C209)</f>
        <v/>
      </c>
      <c r="G209" s="6">
        <f>SUMIFS(F$2:F209, C$2:C209, C209)</f>
        <v/>
      </c>
      <c r="H209" s="6">
        <f>IF(B209 &gt; MAX('04_LOG_FIELD_ENTRIES'!$B:$B), "", SUMIFS('04_LOG_FIELD_ENTRIES'!$J:$J, '04_LOG_FIELD_ENTRIES'!$B:$B, B209, '04_LOG_FIELD_ENTRIES'!$D:$D, C209, '04_LOG_FIELD_ENTRIES'!$K:$K, "EV_PRODUCCION"))</f>
        <v/>
      </c>
      <c r="I209" s="6">
        <f>IF(B209 &gt; MAX('04_LOG_FIELD_ENTRIES'!$B:$B), "", SUMIFS(H$2:H209, C$2:C209, C209))</f>
        <v/>
      </c>
      <c r="J209" s="6">
        <f>IF(B209 &gt; MAX('04_LOG_FIELD_ENTRIES'!$B:$B), "", SUMIFS('04_LOG_FIELD_ENTRIES'!$J:$J, '04_LOG_FIELD_ENTRIES'!$B:$B, B209, '04_LOG_FIELD_ENTRIES'!$D:$D, C209, '04_LOG_FIELD_ENTRIES'!$K:$K, "AC_*"))</f>
        <v/>
      </c>
      <c r="K209" s="6">
        <f>IF(B209 &gt; MAX('04_LOG_FIELD_ENTRIES'!$B:$B), "", SUMIFS(J$2:J209, C$2:C209, C209))</f>
        <v/>
      </c>
      <c r="L209" s="6">
        <f>IF(K209="", "", I209-K209)</f>
        <v/>
      </c>
      <c r="M209" s="6">
        <f>IF(I209="", "", I209-G209)</f>
        <v/>
      </c>
      <c r="N209" s="21">
        <f>IF(I209="", "", IF(G209&gt;0, I209/G209, 1))</f>
        <v/>
      </c>
      <c r="O209" s="21">
        <f>IF(I209="", "", IF(K209&gt;0, I209/K209, 1))</f>
        <v/>
      </c>
      <c r="P209" s="2">
        <f>IF(I209="", "", IF(AND(N209&gt;=0.95, O209&gt;=0.95), "SALUDABLE", IF(N209&lt;0.9, "ALERTA RETRASO", "ALERTA SOBRECOSTO")))</f>
        <v/>
      </c>
    </row>
    <row r="210" ht="19.95" customHeight="1">
      <c r="A210" s="4" t="n">
        <v>53</v>
      </c>
      <c r="B210" s="31" t="n">
        <v>46287</v>
      </c>
      <c r="C210" s="2" t="inlineStr">
        <is>
          <t>WBS-100</t>
        </is>
      </c>
      <c r="D210" s="3" t="inlineStr">
        <is>
          <t>Obras Preliminares, Trazo y Movilización</t>
        </is>
      </c>
      <c r="E210" s="6">
        <f>SUM('01_PRESUPUESTO_CRONOGRAMA_BASE'!G2:G3)</f>
        <v/>
      </c>
      <c r="F210" s="6">
        <f>SUMIFS('02_CRONOGRAMA_PV_DIARIO'!E:E, '02_CRONOGRAMA_PV_DIARIO'!A:A, A210, '02_CRONOGRAMA_PV_DIARIO'!C:C, C210)</f>
        <v/>
      </c>
      <c r="G210" s="6">
        <f>SUMIFS(F$2:F210, C$2:C210, C210)</f>
        <v/>
      </c>
      <c r="H210" s="6">
        <f>IF(B210 &gt; MAX('04_LOG_FIELD_ENTRIES'!$B:$B), "", SUMIFS('04_LOG_FIELD_ENTRIES'!$J:$J, '04_LOG_FIELD_ENTRIES'!$B:$B, B210, '04_LOG_FIELD_ENTRIES'!$D:$D, C210, '04_LOG_FIELD_ENTRIES'!$K:$K, "EV_PRODUCCION"))</f>
        <v/>
      </c>
      <c r="I210" s="6">
        <f>IF(B210 &gt; MAX('04_LOG_FIELD_ENTRIES'!$B:$B), "", SUMIFS(H$2:H210, C$2:C210, C210))</f>
        <v/>
      </c>
      <c r="J210" s="6">
        <f>IF(B210 &gt; MAX('04_LOG_FIELD_ENTRIES'!$B:$B), "", SUMIFS('04_LOG_FIELD_ENTRIES'!$J:$J, '04_LOG_FIELD_ENTRIES'!$B:$B, B210, '04_LOG_FIELD_ENTRIES'!$D:$D, C210, '04_LOG_FIELD_ENTRIES'!$K:$K, "AC_*"))</f>
        <v/>
      </c>
      <c r="K210" s="6">
        <f>IF(B210 &gt; MAX('04_LOG_FIELD_ENTRIES'!$B:$B), "", SUMIFS(J$2:J210, C$2:C210, C210))</f>
        <v/>
      </c>
      <c r="L210" s="6">
        <f>IF(K210="", "", I210-K210)</f>
        <v/>
      </c>
      <c r="M210" s="6">
        <f>IF(I210="", "", I210-G210)</f>
        <v/>
      </c>
      <c r="N210" s="21">
        <f>IF(I210="", "", IF(G210&gt;0, I210/G210, 1))</f>
        <v/>
      </c>
      <c r="O210" s="21">
        <f>IF(I210="", "", IF(K210&gt;0, I210/K210, 1))</f>
        <v/>
      </c>
      <c r="P210" s="2">
        <f>IF(I210="", "", IF(AND(N210&gt;=0.95, O210&gt;=0.95), "SALUDABLE", IF(N210&lt;0.9, "ALERTA RETRASO", "ALERTA SOBRECOSTO")))</f>
        <v/>
      </c>
    </row>
    <row r="211" ht="19.95" customHeight="1">
      <c r="A211" s="4" t="n">
        <v>53</v>
      </c>
      <c r="B211" s="31" t="n">
        <v>46287</v>
      </c>
      <c r="C211" s="2" t="inlineStr">
        <is>
          <t>WBS-200</t>
        </is>
      </c>
      <c r="D211" s="3" t="inlineStr">
        <is>
          <t>Red de Alcantarillado, Zanjas y Buzones</t>
        </is>
      </c>
      <c r="E211" s="6">
        <f>SUM('01_PRESUPUESTO_CRONOGRAMA_BASE'!G4:G9)</f>
        <v/>
      </c>
      <c r="F211" s="6">
        <f>SUMIFS('02_CRONOGRAMA_PV_DIARIO'!E:E, '02_CRONOGRAMA_PV_DIARIO'!A:A, A211, '02_CRONOGRAMA_PV_DIARIO'!C:C, C211)</f>
        <v/>
      </c>
      <c r="G211" s="6">
        <f>SUMIFS(F$2:F211, C$2:C211, C211)</f>
        <v/>
      </c>
      <c r="H211" s="6">
        <f>IF(B211 &gt; MAX('04_LOG_FIELD_ENTRIES'!$B:$B), "", SUMIFS('04_LOG_FIELD_ENTRIES'!$J:$J, '04_LOG_FIELD_ENTRIES'!$B:$B, B211, '04_LOG_FIELD_ENTRIES'!$D:$D, C211, '04_LOG_FIELD_ENTRIES'!$K:$K, "EV_PRODUCCION"))</f>
        <v/>
      </c>
      <c r="I211" s="6">
        <f>IF(B211 &gt; MAX('04_LOG_FIELD_ENTRIES'!$B:$B), "", SUMIFS(H$2:H211, C$2:C211, C211))</f>
        <v/>
      </c>
      <c r="J211" s="6">
        <f>IF(B211 &gt; MAX('04_LOG_FIELD_ENTRIES'!$B:$B), "", SUMIFS('04_LOG_FIELD_ENTRIES'!$J:$J, '04_LOG_FIELD_ENTRIES'!$B:$B, B211, '04_LOG_FIELD_ENTRIES'!$D:$D, C211, '04_LOG_FIELD_ENTRIES'!$K:$K, "AC_*"))</f>
        <v/>
      </c>
      <c r="K211" s="6">
        <f>IF(B211 &gt; MAX('04_LOG_FIELD_ENTRIES'!$B:$B), "", SUMIFS(J$2:J211, C$2:C211, C211))</f>
        <v/>
      </c>
      <c r="L211" s="6">
        <f>IF(K211="", "", I211-K211)</f>
        <v/>
      </c>
      <c r="M211" s="6">
        <f>IF(I211="", "", I211-G211)</f>
        <v/>
      </c>
      <c r="N211" s="21">
        <f>IF(I211="", "", IF(G211&gt;0, I211/G211, 1))</f>
        <v/>
      </c>
      <c r="O211" s="21">
        <f>IF(I211="", "", IF(K211&gt;0, I211/K211, 1))</f>
        <v/>
      </c>
      <c r="P211" s="2">
        <f>IF(I211="", "", IF(AND(N211&gt;=0.95, O211&gt;=0.95), "SALUDABLE", IF(N211&lt;0.9, "ALERTA RETRASO", "ALERTA SOBRECOSTO")))</f>
        <v/>
      </c>
    </row>
    <row r="212" ht="19.95" customHeight="1">
      <c r="A212" s="4" t="n">
        <v>53</v>
      </c>
      <c r="B212" s="31" t="n">
        <v>46287</v>
      </c>
      <c r="C212" s="2" t="inlineStr">
        <is>
          <t>WBS-300</t>
        </is>
      </c>
      <c r="D212" s="3" t="inlineStr">
        <is>
          <t>Red de Agua Potable y Conexiones Domiciliarias</t>
        </is>
      </c>
      <c r="E212" s="6">
        <f>SUM('01_PRESUPUESTO_CRONOGRAMA_BASE'!G10:G11)</f>
        <v/>
      </c>
      <c r="F212" s="6">
        <f>SUMIFS('02_CRONOGRAMA_PV_DIARIO'!E:E, '02_CRONOGRAMA_PV_DIARIO'!A:A, A212, '02_CRONOGRAMA_PV_DIARIO'!C:C, C212)</f>
        <v/>
      </c>
      <c r="G212" s="6">
        <f>SUMIFS(F$2:F212, C$2:C212, C212)</f>
        <v/>
      </c>
      <c r="H212" s="6">
        <f>IF(B212 &gt; MAX('04_LOG_FIELD_ENTRIES'!$B:$B), "", SUMIFS('04_LOG_FIELD_ENTRIES'!$J:$J, '04_LOG_FIELD_ENTRIES'!$B:$B, B212, '04_LOG_FIELD_ENTRIES'!$D:$D, C212, '04_LOG_FIELD_ENTRIES'!$K:$K, "EV_PRODUCCION"))</f>
        <v/>
      </c>
      <c r="I212" s="6">
        <f>IF(B212 &gt; MAX('04_LOG_FIELD_ENTRIES'!$B:$B), "", SUMIFS(H$2:H212, C$2:C212, C212))</f>
        <v/>
      </c>
      <c r="J212" s="6">
        <f>IF(B212 &gt; MAX('04_LOG_FIELD_ENTRIES'!$B:$B), "", SUMIFS('04_LOG_FIELD_ENTRIES'!$J:$J, '04_LOG_FIELD_ENTRIES'!$B:$B, B212, '04_LOG_FIELD_ENTRIES'!$D:$D, C212, '04_LOG_FIELD_ENTRIES'!$K:$K, "AC_*"))</f>
        <v/>
      </c>
      <c r="K212" s="6">
        <f>IF(B212 &gt; MAX('04_LOG_FIELD_ENTRIES'!$B:$B), "", SUMIFS(J$2:J212, C$2:C212, C212))</f>
        <v/>
      </c>
      <c r="L212" s="6">
        <f>IF(K212="", "", I212-K212)</f>
        <v/>
      </c>
      <c r="M212" s="6">
        <f>IF(I212="", "", I212-G212)</f>
        <v/>
      </c>
      <c r="N212" s="21">
        <f>IF(I212="", "", IF(G212&gt;0, I212/G212, 1))</f>
        <v/>
      </c>
      <c r="O212" s="21">
        <f>IF(I212="", "", IF(K212&gt;0, I212/K212, 1))</f>
        <v/>
      </c>
      <c r="P212" s="2">
        <f>IF(I212="", "", IF(AND(N212&gt;=0.95, O212&gt;=0.95), "SALUDABLE", IF(N212&lt;0.9, "ALERTA RETRASO", "ALERTA SOBRECOSTO")))</f>
        <v/>
      </c>
    </row>
    <row r="213" ht="19.95" customHeight="1">
      <c r="A213" s="4" t="n">
        <v>53</v>
      </c>
      <c r="B213" s="31" t="n">
        <v>46287</v>
      </c>
      <c r="C213" s="2" t="inlineStr">
        <is>
          <t>WBS-400</t>
        </is>
      </c>
      <c r="D213" s="3" t="inlineStr">
        <is>
          <t>Pruebas Hidráulicas, Desinfección y Entrega</t>
        </is>
      </c>
      <c r="E213" s="6">
        <f>SUM('01_PRESUPUESTO_CRONOGRAMA_BASE'!G12:G12)</f>
        <v/>
      </c>
      <c r="F213" s="6">
        <f>SUMIFS('02_CRONOGRAMA_PV_DIARIO'!E:E, '02_CRONOGRAMA_PV_DIARIO'!A:A, A213, '02_CRONOGRAMA_PV_DIARIO'!C:C, C213)</f>
        <v/>
      </c>
      <c r="G213" s="6">
        <f>SUMIFS(F$2:F213, C$2:C213, C213)</f>
        <v/>
      </c>
      <c r="H213" s="6">
        <f>IF(B213 &gt; MAX('04_LOG_FIELD_ENTRIES'!$B:$B), "", SUMIFS('04_LOG_FIELD_ENTRIES'!$J:$J, '04_LOG_FIELD_ENTRIES'!$B:$B, B213, '04_LOG_FIELD_ENTRIES'!$D:$D, C213, '04_LOG_FIELD_ENTRIES'!$K:$K, "EV_PRODUCCION"))</f>
        <v/>
      </c>
      <c r="I213" s="6">
        <f>IF(B213 &gt; MAX('04_LOG_FIELD_ENTRIES'!$B:$B), "", SUMIFS(H$2:H213, C$2:C213, C213))</f>
        <v/>
      </c>
      <c r="J213" s="6">
        <f>IF(B213 &gt; MAX('04_LOG_FIELD_ENTRIES'!$B:$B), "", SUMIFS('04_LOG_FIELD_ENTRIES'!$J:$J, '04_LOG_FIELD_ENTRIES'!$B:$B, B213, '04_LOG_FIELD_ENTRIES'!$D:$D, C213, '04_LOG_FIELD_ENTRIES'!$K:$K, "AC_*"))</f>
        <v/>
      </c>
      <c r="K213" s="6">
        <f>IF(B213 &gt; MAX('04_LOG_FIELD_ENTRIES'!$B:$B), "", SUMIFS(J$2:J213, C$2:C213, C213))</f>
        <v/>
      </c>
      <c r="L213" s="6">
        <f>IF(K213="", "", I213-K213)</f>
        <v/>
      </c>
      <c r="M213" s="6">
        <f>IF(I213="", "", I213-G213)</f>
        <v/>
      </c>
      <c r="N213" s="21">
        <f>IF(I213="", "", IF(G213&gt;0, I213/G213, 1))</f>
        <v/>
      </c>
      <c r="O213" s="21">
        <f>IF(I213="", "", IF(K213&gt;0, I213/K213, 1))</f>
        <v/>
      </c>
      <c r="P213" s="2">
        <f>IF(I213="", "", IF(AND(N213&gt;=0.95, O213&gt;=0.95), "SALUDABLE", IF(N213&lt;0.9, "ALERTA RETRASO", "ALERTA SOBRECOSTO")))</f>
        <v/>
      </c>
    </row>
    <row r="214" ht="19.95" customHeight="1">
      <c r="A214" s="4" t="n">
        <v>54</v>
      </c>
      <c r="B214" s="31" t="n">
        <v>46288</v>
      </c>
      <c r="C214" s="2" t="inlineStr">
        <is>
          <t>WBS-100</t>
        </is>
      </c>
      <c r="D214" s="3" t="inlineStr">
        <is>
          <t>Obras Preliminares, Trazo y Movilización</t>
        </is>
      </c>
      <c r="E214" s="6">
        <f>SUM('01_PRESUPUESTO_CRONOGRAMA_BASE'!G2:G3)</f>
        <v/>
      </c>
      <c r="F214" s="6">
        <f>SUMIFS('02_CRONOGRAMA_PV_DIARIO'!E:E, '02_CRONOGRAMA_PV_DIARIO'!A:A, A214, '02_CRONOGRAMA_PV_DIARIO'!C:C, C214)</f>
        <v/>
      </c>
      <c r="G214" s="6">
        <f>SUMIFS(F$2:F214, C$2:C214, C214)</f>
        <v/>
      </c>
      <c r="H214" s="6">
        <f>IF(B214 &gt; MAX('04_LOG_FIELD_ENTRIES'!$B:$B), "", SUMIFS('04_LOG_FIELD_ENTRIES'!$J:$J, '04_LOG_FIELD_ENTRIES'!$B:$B, B214, '04_LOG_FIELD_ENTRIES'!$D:$D, C214, '04_LOG_FIELD_ENTRIES'!$K:$K, "EV_PRODUCCION"))</f>
        <v/>
      </c>
      <c r="I214" s="6">
        <f>IF(B214 &gt; MAX('04_LOG_FIELD_ENTRIES'!$B:$B), "", SUMIFS(H$2:H214, C$2:C214, C214))</f>
        <v/>
      </c>
      <c r="J214" s="6">
        <f>IF(B214 &gt; MAX('04_LOG_FIELD_ENTRIES'!$B:$B), "", SUMIFS('04_LOG_FIELD_ENTRIES'!$J:$J, '04_LOG_FIELD_ENTRIES'!$B:$B, B214, '04_LOG_FIELD_ENTRIES'!$D:$D, C214, '04_LOG_FIELD_ENTRIES'!$K:$K, "AC_*"))</f>
        <v/>
      </c>
      <c r="K214" s="6">
        <f>IF(B214 &gt; MAX('04_LOG_FIELD_ENTRIES'!$B:$B), "", SUMIFS(J$2:J214, C$2:C214, C214))</f>
        <v/>
      </c>
      <c r="L214" s="6">
        <f>IF(K214="", "", I214-K214)</f>
        <v/>
      </c>
      <c r="M214" s="6">
        <f>IF(I214="", "", I214-G214)</f>
        <v/>
      </c>
      <c r="N214" s="21">
        <f>IF(I214="", "", IF(G214&gt;0, I214/G214, 1))</f>
        <v/>
      </c>
      <c r="O214" s="21">
        <f>IF(I214="", "", IF(K214&gt;0, I214/K214, 1))</f>
        <v/>
      </c>
      <c r="P214" s="2">
        <f>IF(I214="", "", IF(AND(N214&gt;=0.95, O214&gt;=0.95), "SALUDABLE", IF(N214&lt;0.9, "ALERTA RETRASO", "ALERTA SOBRECOSTO")))</f>
        <v/>
      </c>
    </row>
    <row r="215" ht="19.95" customHeight="1">
      <c r="A215" s="4" t="n">
        <v>54</v>
      </c>
      <c r="B215" s="31" t="n">
        <v>46288</v>
      </c>
      <c r="C215" s="2" t="inlineStr">
        <is>
          <t>WBS-200</t>
        </is>
      </c>
      <c r="D215" s="3" t="inlineStr">
        <is>
          <t>Red de Alcantarillado, Zanjas y Buzones</t>
        </is>
      </c>
      <c r="E215" s="6">
        <f>SUM('01_PRESUPUESTO_CRONOGRAMA_BASE'!G4:G9)</f>
        <v/>
      </c>
      <c r="F215" s="6">
        <f>SUMIFS('02_CRONOGRAMA_PV_DIARIO'!E:E, '02_CRONOGRAMA_PV_DIARIO'!A:A, A215, '02_CRONOGRAMA_PV_DIARIO'!C:C, C215)</f>
        <v/>
      </c>
      <c r="G215" s="6">
        <f>SUMIFS(F$2:F215, C$2:C215, C215)</f>
        <v/>
      </c>
      <c r="H215" s="6">
        <f>IF(B215 &gt; MAX('04_LOG_FIELD_ENTRIES'!$B:$B), "", SUMIFS('04_LOG_FIELD_ENTRIES'!$J:$J, '04_LOG_FIELD_ENTRIES'!$B:$B, B215, '04_LOG_FIELD_ENTRIES'!$D:$D, C215, '04_LOG_FIELD_ENTRIES'!$K:$K, "EV_PRODUCCION"))</f>
        <v/>
      </c>
      <c r="I215" s="6">
        <f>IF(B215 &gt; MAX('04_LOG_FIELD_ENTRIES'!$B:$B), "", SUMIFS(H$2:H215, C$2:C215, C215))</f>
        <v/>
      </c>
      <c r="J215" s="6">
        <f>IF(B215 &gt; MAX('04_LOG_FIELD_ENTRIES'!$B:$B), "", SUMIFS('04_LOG_FIELD_ENTRIES'!$J:$J, '04_LOG_FIELD_ENTRIES'!$B:$B, B215, '04_LOG_FIELD_ENTRIES'!$D:$D, C215, '04_LOG_FIELD_ENTRIES'!$K:$K, "AC_*"))</f>
        <v/>
      </c>
      <c r="K215" s="6">
        <f>IF(B215 &gt; MAX('04_LOG_FIELD_ENTRIES'!$B:$B), "", SUMIFS(J$2:J215, C$2:C215, C215))</f>
        <v/>
      </c>
      <c r="L215" s="6">
        <f>IF(K215="", "", I215-K215)</f>
        <v/>
      </c>
      <c r="M215" s="6">
        <f>IF(I215="", "", I215-G215)</f>
        <v/>
      </c>
      <c r="N215" s="21">
        <f>IF(I215="", "", IF(G215&gt;0, I215/G215, 1))</f>
        <v/>
      </c>
      <c r="O215" s="21">
        <f>IF(I215="", "", IF(K215&gt;0, I215/K215, 1))</f>
        <v/>
      </c>
      <c r="P215" s="2">
        <f>IF(I215="", "", IF(AND(N215&gt;=0.95, O215&gt;=0.95), "SALUDABLE", IF(N215&lt;0.9, "ALERTA RETRASO", "ALERTA SOBRECOSTO")))</f>
        <v/>
      </c>
    </row>
    <row r="216" ht="19.95" customHeight="1">
      <c r="A216" s="4" t="n">
        <v>54</v>
      </c>
      <c r="B216" s="31" t="n">
        <v>46288</v>
      </c>
      <c r="C216" s="2" t="inlineStr">
        <is>
          <t>WBS-300</t>
        </is>
      </c>
      <c r="D216" s="3" t="inlineStr">
        <is>
          <t>Red de Agua Potable y Conexiones Domiciliarias</t>
        </is>
      </c>
      <c r="E216" s="6">
        <f>SUM('01_PRESUPUESTO_CRONOGRAMA_BASE'!G10:G11)</f>
        <v/>
      </c>
      <c r="F216" s="6">
        <f>SUMIFS('02_CRONOGRAMA_PV_DIARIO'!E:E, '02_CRONOGRAMA_PV_DIARIO'!A:A, A216, '02_CRONOGRAMA_PV_DIARIO'!C:C, C216)</f>
        <v/>
      </c>
      <c r="G216" s="6">
        <f>SUMIFS(F$2:F216, C$2:C216, C216)</f>
        <v/>
      </c>
      <c r="H216" s="6">
        <f>IF(B216 &gt; MAX('04_LOG_FIELD_ENTRIES'!$B:$B), "", SUMIFS('04_LOG_FIELD_ENTRIES'!$J:$J, '04_LOG_FIELD_ENTRIES'!$B:$B, B216, '04_LOG_FIELD_ENTRIES'!$D:$D, C216, '04_LOG_FIELD_ENTRIES'!$K:$K, "EV_PRODUCCION"))</f>
        <v/>
      </c>
      <c r="I216" s="6">
        <f>IF(B216 &gt; MAX('04_LOG_FIELD_ENTRIES'!$B:$B), "", SUMIFS(H$2:H216, C$2:C216, C216))</f>
        <v/>
      </c>
      <c r="J216" s="6">
        <f>IF(B216 &gt; MAX('04_LOG_FIELD_ENTRIES'!$B:$B), "", SUMIFS('04_LOG_FIELD_ENTRIES'!$J:$J, '04_LOG_FIELD_ENTRIES'!$B:$B, B216, '04_LOG_FIELD_ENTRIES'!$D:$D, C216, '04_LOG_FIELD_ENTRIES'!$K:$K, "AC_*"))</f>
        <v/>
      </c>
      <c r="K216" s="6">
        <f>IF(B216 &gt; MAX('04_LOG_FIELD_ENTRIES'!$B:$B), "", SUMIFS(J$2:J216, C$2:C216, C216))</f>
        <v/>
      </c>
      <c r="L216" s="6">
        <f>IF(K216="", "", I216-K216)</f>
        <v/>
      </c>
      <c r="M216" s="6">
        <f>IF(I216="", "", I216-G216)</f>
        <v/>
      </c>
      <c r="N216" s="21">
        <f>IF(I216="", "", IF(G216&gt;0, I216/G216, 1))</f>
        <v/>
      </c>
      <c r="O216" s="21">
        <f>IF(I216="", "", IF(K216&gt;0, I216/K216, 1))</f>
        <v/>
      </c>
      <c r="P216" s="2">
        <f>IF(I216="", "", IF(AND(N216&gt;=0.95, O216&gt;=0.95), "SALUDABLE", IF(N216&lt;0.9, "ALERTA RETRASO", "ALERTA SOBRECOSTO")))</f>
        <v/>
      </c>
    </row>
    <row r="217" ht="19.95" customHeight="1">
      <c r="A217" s="4" t="n">
        <v>54</v>
      </c>
      <c r="B217" s="31" t="n">
        <v>46288</v>
      </c>
      <c r="C217" s="2" t="inlineStr">
        <is>
          <t>WBS-400</t>
        </is>
      </c>
      <c r="D217" s="3" t="inlineStr">
        <is>
          <t>Pruebas Hidráulicas, Desinfección y Entrega</t>
        </is>
      </c>
      <c r="E217" s="6">
        <f>SUM('01_PRESUPUESTO_CRONOGRAMA_BASE'!G12:G12)</f>
        <v/>
      </c>
      <c r="F217" s="6">
        <f>SUMIFS('02_CRONOGRAMA_PV_DIARIO'!E:E, '02_CRONOGRAMA_PV_DIARIO'!A:A, A217, '02_CRONOGRAMA_PV_DIARIO'!C:C, C217)</f>
        <v/>
      </c>
      <c r="G217" s="6">
        <f>SUMIFS(F$2:F217, C$2:C217, C217)</f>
        <v/>
      </c>
      <c r="H217" s="6">
        <f>IF(B217 &gt; MAX('04_LOG_FIELD_ENTRIES'!$B:$B), "", SUMIFS('04_LOG_FIELD_ENTRIES'!$J:$J, '04_LOG_FIELD_ENTRIES'!$B:$B, B217, '04_LOG_FIELD_ENTRIES'!$D:$D, C217, '04_LOG_FIELD_ENTRIES'!$K:$K, "EV_PRODUCCION"))</f>
        <v/>
      </c>
      <c r="I217" s="6">
        <f>IF(B217 &gt; MAX('04_LOG_FIELD_ENTRIES'!$B:$B), "", SUMIFS(H$2:H217, C$2:C217, C217))</f>
        <v/>
      </c>
      <c r="J217" s="6">
        <f>IF(B217 &gt; MAX('04_LOG_FIELD_ENTRIES'!$B:$B), "", SUMIFS('04_LOG_FIELD_ENTRIES'!$J:$J, '04_LOG_FIELD_ENTRIES'!$B:$B, B217, '04_LOG_FIELD_ENTRIES'!$D:$D, C217, '04_LOG_FIELD_ENTRIES'!$K:$K, "AC_*"))</f>
        <v/>
      </c>
      <c r="K217" s="6">
        <f>IF(B217 &gt; MAX('04_LOG_FIELD_ENTRIES'!$B:$B), "", SUMIFS(J$2:J217, C$2:C217, C217))</f>
        <v/>
      </c>
      <c r="L217" s="6">
        <f>IF(K217="", "", I217-K217)</f>
        <v/>
      </c>
      <c r="M217" s="6">
        <f>IF(I217="", "", I217-G217)</f>
        <v/>
      </c>
      <c r="N217" s="21">
        <f>IF(I217="", "", IF(G217&gt;0, I217/G217, 1))</f>
        <v/>
      </c>
      <c r="O217" s="21">
        <f>IF(I217="", "", IF(K217&gt;0, I217/K217, 1))</f>
        <v/>
      </c>
      <c r="P217" s="2">
        <f>IF(I217="", "", IF(AND(N217&gt;=0.95, O217&gt;=0.95), "SALUDABLE", IF(N217&lt;0.9, "ALERTA RETRASO", "ALERTA SOBRECOSTO")))</f>
        <v/>
      </c>
    </row>
    <row r="218" ht="19.95" customHeight="1">
      <c r="A218" s="4" t="n">
        <v>55</v>
      </c>
      <c r="B218" s="31" t="n">
        <v>46289</v>
      </c>
      <c r="C218" s="2" t="inlineStr">
        <is>
          <t>WBS-100</t>
        </is>
      </c>
      <c r="D218" s="3" t="inlineStr">
        <is>
          <t>Obras Preliminares, Trazo y Movilización</t>
        </is>
      </c>
      <c r="E218" s="6">
        <f>SUM('01_PRESUPUESTO_CRONOGRAMA_BASE'!G2:G3)</f>
        <v/>
      </c>
      <c r="F218" s="6">
        <f>SUMIFS('02_CRONOGRAMA_PV_DIARIO'!E:E, '02_CRONOGRAMA_PV_DIARIO'!A:A, A218, '02_CRONOGRAMA_PV_DIARIO'!C:C, C218)</f>
        <v/>
      </c>
      <c r="G218" s="6">
        <f>SUMIFS(F$2:F218, C$2:C218, C218)</f>
        <v/>
      </c>
      <c r="H218" s="6">
        <f>IF(B218 &gt; MAX('04_LOG_FIELD_ENTRIES'!$B:$B), "", SUMIFS('04_LOG_FIELD_ENTRIES'!$J:$J, '04_LOG_FIELD_ENTRIES'!$B:$B, B218, '04_LOG_FIELD_ENTRIES'!$D:$D, C218, '04_LOG_FIELD_ENTRIES'!$K:$K, "EV_PRODUCCION"))</f>
        <v/>
      </c>
      <c r="I218" s="6">
        <f>IF(B218 &gt; MAX('04_LOG_FIELD_ENTRIES'!$B:$B), "", SUMIFS(H$2:H218, C$2:C218, C218))</f>
        <v/>
      </c>
      <c r="J218" s="6">
        <f>IF(B218 &gt; MAX('04_LOG_FIELD_ENTRIES'!$B:$B), "", SUMIFS('04_LOG_FIELD_ENTRIES'!$J:$J, '04_LOG_FIELD_ENTRIES'!$B:$B, B218, '04_LOG_FIELD_ENTRIES'!$D:$D, C218, '04_LOG_FIELD_ENTRIES'!$K:$K, "AC_*"))</f>
        <v/>
      </c>
      <c r="K218" s="6">
        <f>IF(B218 &gt; MAX('04_LOG_FIELD_ENTRIES'!$B:$B), "", SUMIFS(J$2:J218, C$2:C218, C218))</f>
        <v/>
      </c>
      <c r="L218" s="6">
        <f>IF(K218="", "", I218-K218)</f>
        <v/>
      </c>
      <c r="M218" s="6">
        <f>IF(I218="", "", I218-G218)</f>
        <v/>
      </c>
      <c r="N218" s="21">
        <f>IF(I218="", "", IF(G218&gt;0, I218/G218, 1))</f>
        <v/>
      </c>
      <c r="O218" s="21">
        <f>IF(I218="", "", IF(K218&gt;0, I218/K218, 1))</f>
        <v/>
      </c>
      <c r="P218" s="2">
        <f>IF(I218="", "", IF(AND(N218&gt;=0.95, O218&gt;=0.95), "SALUDABLE", IF(N218&lt;0.9, "ALERTA RETRASO", "ALERTA SOBRECOSTO")))</f>
        <v/>
      </c>
    </row>
    <row r="219" ht="19.95" customHeight="1">
      <c r="A219" s="4" t="n">
        <v>55</v>
      </c>
      <c r="B219" s="31" t="n">
        <v>46289</v>
      </c>
      <c r="C219" s="2" t="inlineStr">
        <is>
          <t>WBS-200</t>
        </is>
      </c>
      <c r="D219" s="3" t="inlineStr">
        <is>
          <t>Red de Alcantarillado, Zanjas y Buzones</t>
        </is>
      </c>
      <c r="E219" s="6">
        <f>SUM('01_PRESUPUESTO_CRONOGRAMA_BASE'!G4:G9)</f>
        <v/>
      </c>
      <c r="F219" s="6">
        <f>SUMIFS('02_CRONOGRAMA_PV_DIARIO'!E:E, '02_CRONOGRAMA_PV_DIARIO'!A:A, A219, '02_CRONOGRAMA_PV_DIARIO'!C:C, C219)</f>
        <v/>
      </c>
      <c r="G219" s="6">
        <f>SUMIFS(F$2:F219, C$2:C219, C219)</f>
        <v/>
      </c>
      <c r="H219" s="6">
        <f>IF(B219 &gt; MAX('04_LOG_FIELD_ENTRIES'!$B:$B), "", SUMIFS('04_LOG_FIELD_ENTRIES'!$J:$J, '04_LOG_FIELD_ENTRIES'!$B:$B, B219, '04_LOG_FIELD_ENTRIES'!$D:$D, C219, '04_LOG_FIELD_ENTRIES'!$K:$K, "EV_PRODUCCION"))</f>
        <v/>
      </c>
      <c r="I219" s="6">
        <f>IF(B219 &gt; MAX('04_LOG_FIELD_ENTRIES'!$B:$B), "", SUMIFS(H$2:H219, C$2:C219, C219))</f>
        <v/>
      </c>
      <c r="J219" s="6">
        <f>IF(B219 &gt; MAX('04_LOG_FIELD_ENTRIES'!$B:$B), "", SUMIFS('04_LOG_FIELD_ENTRIES'!$J:$J, '04_LOG_FIELD_ENTRIES'!$B:$B, B219, '04_LOG_FIELD_ENTRIES'!$D:$D, C219, '04_LOG_FIELD_ENTRIES'!$K:$K, "AC_*"))</f>
        <v/>
      </c>
      <c r="K219" s="6">
        <f>IF(B219 &gt; MAX('04_LOG_FIELD_ENTRIES'!$B:$B), "", SUMIFS(J$2:J219, C$2:C219, C219))</f>
        <v/>
      </c>
      <c r="L219" s="6">
        <f>IF(K219="", "", I219-K219)</f>
        <v/>
      </c>
      <c r="M219" s="6">
        <f>IF(I219="", "", I219-G219)</f>
        <v/>
      </c>
      <c r="N219" s="21">
        <f>IF(I219="", "", IF(G219&gt;0, I219/G219, 1))</f>
        <v/>
      </c>
      <c r="O219" s="21">
        <f>IF(I219="", "", IF(K219&gt;0, I219/K219, 1))</f>
        <v/>
      </c>
      <c r="P219" s="2">
        <f>IF(I219="", "", IF(AND(N219&gt;=0.95, O219&gt;=0.95), "SALUDABLE", IF(N219&lt;0.9, "ALERTA RETRASO", "ALERTA SOBRECOSTO")))</f>
        <v/>
      </c>
    </row>
    <row r="220" ht="19.95" customHeight="1">
      <c r="A220" s="4" t="n">
        <v>55</v>
      </c>
      <c r="B220" s="31" t="n">
        <v>46289</v>
      </c>
      <c r="C220" s="2" t="inlineStr">
        <is>
          <t>WBS-300</t>
        </is>
      </c>
      <c r="D220" s="3" t="inlineStr">
        <is>
          <t>Red de Agua Potable y Conexiones Domiciliarias</t>
        </is>
      </c>
      <c r="E220" s="6">
        <f>SUM('01_PRESUPUESTO_CRONOGRAMA_BASE'!G10:G11)</f>
        <v/>
      </c>
      <c r="F220" s="6">
        <f>SUMIFS('02_CRONOGRAMA_PV_DIARIO'!E:E, '02_CRONOGRAMA_PV_DIARIO'!A:A, A220, '02_CRONOGRAMA_PV_DIARIO'!C:C, C220)</f>
        <v/>
      </c>
      <c r="G220" s="6">
        <f>SUMIFS(F$2:F220, C$2:C220, C220)</f>
        <v/>
      </c>
      <c r="H220" s="6">
        <f>IF(B220 &gt; MAX('04_LOG_FIELD_ENTRIES'!$B:$B), "", SUMIFS('04_LOG_FIELD_ENTRIES'!$J:$J, '04_LOG_FIELD_ENTRIES'!$B:$B, B220, '04_LOG_FIELD_ENTRIES'!$D:$D, C220, '04_LOG_FIELD_ENTRIES'!$K:$K, "EV_PRODUCCION"))</f>
        <v/>
      </c>
      <c r="I220" s="6">
        <f>IF(B220 &gt; MAX('04_LOG_FIELD_ENTRIES'!$B:$B), "", SUMIFS(H$2:H220, C$2:C220, C220))</f>
        <v/>
      </c>
      <c r="J220" s="6">
        <f>IF(B220 &gt; MAX('04_LOG_FIELD_ENTRIES'!$B:$B), "", SUMIFS('04_LOG_FIELD_ENTRIES'!$J:$J, '04_LOG_FIELD_ENTRIES'!$B:$B, B220, '04_LOG_FIELD_ENTRIES'!$D:$D, C220, '04_LOG_FIELD_ENTRIES'!$K:$K, "AC_*"))</f>
        <v/>
      </c>
      <c r="K220" s="6">
        <f>IF(B220 &gt; MAX('04_LOG_FIELD_ENTRIES'!$B:$B), "", SUMIFS(J$2:J220, C$2:C220, C220))</f>
        <v/>
      </c>
      <c r="L220" s="6">
        <f>IF(K220="", "", I220-K220)</f>
        <v/>
      </c>
      <c r="M220" s="6">
        <f>IF(I220="", "", I220-G220)</f>
        <v/>
      </c>
      <c r="N220" s="21">
        <f>IF(I220="", "", IF(G220&gt;0, I220/G220, 1))</f>
        <v/>
      </c>
      <c r="O220" s="21">
        <f>IF(I220="", "", IF(K220&gt;0, I220/K220, 1))</f>
        <v/>
      </c>
      <c r="P220" s="2">
        <f>IF(I220="", "", IF(AND(N220&gt;=0.95, O220&gt;=0.95), "SALUDABLE", IF(N220&lt;0.9, "ALERTA RETRASO", "ALERTA SOBRECOSTO")))</f>
        <v/>
      </c>
    </row>
    <row r="221" ht="19.95" customHeight="1">
      <c r="A221" s="4" t="n">
        <v>55</v>
      </c>
      <c r="B221" s="31" t="n">
        <v>46289</v>
      </c>
      <c r="C221" s="2" t="inlineStr">
        <is>
          <t>WBS-400</t>
        </is>
      </c>
      <c r="D221" s="3" t="inlineStr">
        <is>
          <t>Pruebas Hidráulicas, Desinfección y Entrega</t>
        </is>
      </c>
      <c r="E221" s="6">
        <f>SUM('01_PRESUPUESTO_CRONOGRAMA_BASE'!G12:G12)</f>
        <v/>
      </c>
      <c r="F221" s="6">
        <f>SUMIFS('02_CRONOGRAMA_PV_DIARIO'!E:E, '02_CRONOGRAMA_PV_DIARIO'!A:A, A221, '02_CRONOGRAMA_PV_DIARIO'!C:C, C221)</f>
        <v/>
      </c>
      <c r="G221" s="6">
        <f>SUMIFS(F$2:F221, C$2:C221, C221)</f>
        <v/>
      </c>
      <c r="H221" s="6">
        <f>IF(B221 &gt; MAX('04_LOG_FIELD_ENTRIES'!$B:$B), "", SUMIFS('04_LOG_FIELD_ENTRIES'!$J:$J, '04_LOG_FIELD_ENTRIES'!$B:$B, B221, '04_LOG_FIELD_ENTRIES'!$D:$D, C221, '04_LOG_FIELD_ENTRIES'!$K:$K, "EV_PRODUCCION"))</f>
        <v/>
      </c>
      <c r="I221" s="6">
        <f>IF(B221 &gt; MAX('04_LOG_FIELD_ENTRIES'!$B:$B), "", SUMIFS(H$2:H221, C$2:C221, C221))</f>
        <v/>
      </c>
      <c r="J221" s="6">
        <f>IF(B221 &gt; MAX('04_LOG_FIELD_ENTRIES'!$B:$B), "", SUMIFS('04_LOG_FIELD_ENTRIES'!$J:$J, '04_LOG_FIELD_ENTRIES'!$B:$B, B221, '04_LOG_FIELD_ENTRIES'!$D:$D, C221, '04_LOG_FIELD_ENTRIES'!$K:$K, "AC_*"))</f>
        <v/>
      </c>
      <c r="K221" s="6">
        <f>IF(B221 &gt; MAX('04_LOG_FIELD_ENTRIES'!$B:$B), "", SUMIFS(J$2:J221, C$2:C221, C221))</f>
        <v/>
      </c>
      <c r="L221" s="6">
        <f>IF(K221="", "", I221-K221)</f>
        <v/>
      </c>
      <c r="M221" s="6">
        <f>IF(I221="", "", I221-G221)</f>
        <v/>
      </c>
      <c r="N221" s="21">
        <f>IF(I221="", "", IF(G221&gt;0, I221/G221, 1))</f>
        <v/>
      </c>
      <c r="O221" s="21">
        <f>IF(I221="", "", IF(K221&gt;0, I221/K221, 1))</f>
        <v/>
      </c>
      <c r="P221" s="2">
        <f>IF(I221="", "", IF(AND(N221&gt;=0.95, O221&gt;=0.95), "SALUDABLE", IF(N221&lt;0.9, "ALERTA RETRASO", "ALERTA SOBRECOSTO")))</f>
        <v/>
      </c>
    </row>
    <row r="222" ht="19.95" customHeight="1">
      <c r="A222" s="4" t="n">
        <v>56</v>
      </c>
      <c r="B222" s="31" t="n">
        <v>46290</v>
      </c>
      <c r="C222" s="2" t="inlineStr">
        <is>
          <t>WBS-100</t>
        </is>
      </c>
      <c r="D222" s="3" t="inlineStr">
        <is>
          <t>Obras Preliminares, Trazo y Movilización</t>
        </is>
      </c>
      <c r="E222" s="6">
        <f>SUM('01_PRESUPUESTO_CRONOGRAMA_BASE'!G2:G3)</f>
        <v/>
      </c>
      <c r="F222" s="6">
        <f>SUMIFS('02_CRONOGRAMA_PV_DIARIO'!E:E, '02_CRONOGRAMA_PV_DIARIO'!A:A, A222, '02_CRONOGRAMA_PV_DIARIO'!C:C, C222)</f>
        <v/>
      </c>
      <c r="G222" s="6">
        <f>SUMIFS(F$2:F222, C$2:C222, C222)</f>
        <v/>
      </c>
      <c r="H222" s="6">
        <f>IF(B222 &gt; MAX('04_LOG_FIELD_ENTRIES'!$B:$B), "", SUMIFS('04_LOG_FIELD_ENTRIES'!$J:$J, '04_LOG_FIELD_ENTRIES'!$B:$B, B222, '04_LOG_FIELD_ENTRIES'!$D:$D, C222, '04_LOG_FIELD_ENTRIES'!$K:$K, "EV_PRODUCCION"))</f>
        <v/>
      </c>
      <c r="I222" s="6">
        <f>IF(B222 &gt; MAX('04_LOG_FIELD_ENTRIES'!$B:$B), "", SUMIFS(H$2:H222, C$2:C222, C222))</f>
        <v/>
      </c>
      <c r="J222" s="6">
        <f>IF(B222 &gt; MAX('04_LOG_FIELD_ENTRIES'!$B:$B), "", SUMIFS('04_LOG_FIELD_ENTRIES'!$J:$J, '04_LOG_FIELD_ENTRIES'!$B:$B, B222, '04_LOG_FIELD_ENTRIES'!$D:$D, C222, '04_LOG_FIELD_ENTRIES'!$K:$K, "AC_*"))</f>
        <v/>
      </c>
      <c r="K222" s="6">
        <f>IF(B222 &gt; MAX('04_LOG_FIELD_ENTRIES'!$B:$B), "", SUMIFS(J$2:J222, C$2:C222, C222))</f>
        <v/>
      </c>
      <c r="L222" s="6">
        <f>IF(K222="", "", I222-K222)</f>
        <v/>
      </c>
      <c r="M222" s="6">
        <f>IF(I222="", "", I222-G222)</f>
        <v/>
      </c>
      <c r="N222" s="21">
        <f>IF(I222="", "", IF(G222&gt;0, I222/G222, 1))</f>
        <v/>
      </c>
      <c r="O222" s="21">
        <f>IF(I222="", "", IF(K222&gt;0, I222/K222, 1))</f>
        <v/>
      </c>
      <c r="P222" s="2">
        <f>IF(I222="", "", IF(AND(N222&gt;=0.95, O222&gt;=0.95), "SALUDABLE", IF(N222&lt;0.9, "ALERTA RETRASO", "ALERTA SOBRECOSTO")))</f>
        <v/>
      </c>
    </row>
    <row r="223" ht="19.95" customHeight="1">
      <c r="A223" s="4" t="n">
        <v>56</v>
      </c>
      <c r="B223" s="31" t="n">
        <v>46290</v>
      </c>
      <c r="C223" s="2" t="inlineStr">
        <is>
          <t>WBS-200</t>
        </is>
      </c>
      <c r="D223" s="3" t="inlineStr">
        <is>
          <t>Red de Alcantarillado, Zanjas y Buzones</t>
        </is>
      </c>
      <c r="E223" s="6">
        <f>SUM('01_PRESUPUESTO_CRONOGRAMA_BASE'!G4:G9)</f>
        <v/>
      </c>
      <c r="F223" s="6">
        <f>SUMIFS('02_CRONOGRAMA_PV_DIARIO'!E:E, '02_CRONOGRAMA_PV_DIARIO'!A:A, A223, '02_CRONOGRAMA_PV_DIARIO'!C:C, C223)</f>
        <v/>
      </c>
      <c r="G223" s="6">
        <f>SUMIFS(F$2:F223, C$2:C223, C223)</f>
        <v/>
      </c>
      <c r="H223" s="6">
        <f>IF(B223 &gt; MAX('04_LOG_FIELD_ENTRIES'!$B:$B), "", SUMIFS('04_LOG_FIELD_ENTRIES'!$J:$J, '04_LOG_FIELD_ENTRIES'!$B:$B, B223, '04_LOG_FIELD_ENTRIES'!$D:$D, C223, '04_LOG_FIELD_ENTRIES'!$K:$K, "EV_PRODUCCION"))</f>
        <v/>
      </c>
      <c r="I223" s="6">
        <f>IF(B223 &gt; MAX('04_LOG_FIELD_ENTRIES'!$B:$B), "", SUMIFS(H$2:H223, C$2:C223, C223))</f>
        <v/>
      </c>
      <c r="J223" s="6">
        <f>IF(B223 &gt; MAX('04_LOG_FIELD_ENTRIES'!$B:$B), "", SUMIFS('04_LOG_FIELD_ENTRIES'!$J:$J, '04_LOG_FIELD_ENTRIES'!$B:$B, B223, '04_LOG_FIELD_ENTRIES'!$D:$D, C223, '04_LOG_FIELD_ENTRIES'!$K:$K, "AC_*"))</f>
        <v/>
      </c>
      <c r="K223" s="6">
        <f>IF(B223 &gt; MAX('04_LOG_FIELD_ENTRIES'!$B:$B), "", SUMIFS(J$2:J223, C$2:C223, C223))</f>
        <v/>
      </c>
      <c r="L223" s="6">
        <f>IF(K223="", "", I223-K223)</f>
        <v/>
      </c>
      <c r="M223" s="6">
        <f>IF(I223="", "", I223-G223)</f>
        <v/>
      </c>
      <c r="N223" s="21">
        <f>IF(I223="", "", IF(G223&gt;0, I223/G223, 1))</f>
        <v/>
      </c>
      <c r="O223" s="21">
        <f>IF(I223="", "", IF(K223&gt;0, I223/K223, 1))</f>
        <v/>
      </c>
      <c r="P223" s="2">
        <f>IF(I223="", "", IF(AND(N223&gt;=0.95, O223&gt;=0.95), "SALUDABLE", IF(N223&lt;0.9, "ALERTA RETRASO", "ALERTA SOBRECOSTO")))</f>
        <v/>
      </c>
    </row>
    <row r="224" ht="19.95" customHeight="1">
      <c r="A224" s="4" t="n">
        <v>56</v>
      </c>
      <c r="B224" s="31" t="n">
        <v>46290</v>
      </c>
      <c r="C224" s="2" t="inlineStr">
        <is>
          <t>WBS-300</t>
        </is>
      </c>
      <c r="D224" s="3" t="inlineStr">
        <is>
          <t>Red de Agua Potable y Conexiones Domiciliarias</t>
        </is>
      </c>
      <c r="E224" s="6">
        <f>SUM('01_PRESUPUESTO_CRONOGRAMA_BASE'!G10:G11)</f>
        <v/>
      </c>
      <c r="F224" s="6">
        <f>SUMIFS('02_CRONOGRAMA_PV_DIARIO'!E:E, '02_CRONOGRAMA_PV_DIARIO'!A:A, A224, '02_CRONOGRAMA_PV_DIARIO'!C:C, C224)</f>
        <v/>
      </c>
      <c r="G224" s="6">
        <f>SUMIFS(F$2:F224, C$2:C224, C224)</f>
        <v/>
      </c>
      <c r="H224" s="6">
        <f>IF(B224 &gt; MAX('04_LOG_FIELD_ENTRIES'!$B:$B), "", SUMIFS('04_LOG_FIELD_ENTRIES'!$J:$J, '04_LOG_FIELD_ENTRIES'!$B:$B, B224, '04_LOG_FIELD_ENTRIES'!$D:$D, C224, '04_LOG_FIELD_ENTRIES'!$K:$K, "EV_PRODUCCION"))</f>
        <v/>
      </c>
      <c r="I224" s="6">
        <f>IF(B224 &gt; MAX('04_LOG_FIELD_ENTRIES'!$B:$B), "", SUMIFS(H$2:H224, C$2:C224, C224))</f>
        <v/>
      </c>
      <c r="J224" s="6">
        <f>IF(B224 &gt; MAX('04_LOG_FIELD_ENTRIES'!$B:$B), "", SUMIFS('04_LOG_FIELD_ENTRIES'!$J:$J, '04_LOG_FIELD_ENTRIES'!$B:$B, B224, '04_LOG_FIELD_ENTRIES'!$D:$D, C224, '04_LOG_FIELD_ENTRIES'!$K:$K, "AC_*"))</f>
        <v/>
      </c>
      <c r="K224" s="6">
        <f>IF(B224 &gt; MAX('04_LOG_FIELD_ENTRIES'!$B:$B), "", SUMIFS(J$2:J224, C$2:C224, C224))</f>
        <v/>
      </c>
      <c r="L224" s="6">
        <f>IF(K224="", "", I224-K224)</f>
        <v/>
      </c>
      <c r="M224" s="6">
        <f>IF(I224="", "", I224-G224)</f>
        <v/>
      </c>
      <c r="N224" s="21">
        <f>IF(I224="", "", IF(G224&gt;0, I224/G224, 1))</f>
        <v/>
      </c>
      <c r="O224" s="21">
        <f>IF(I224="", "", IF(K224&gt;0, I224/K224, 1))</f>
        <v/>
      </c>
      <c r="P224" s="2">
        <f>IF(I224="", "", IF(AND(N224&gt;=0.95, O224&gt;=0.95), "SALUDABLE", IF(N224&lt;0.9, "ALERTA RETRASO", "ALERTA SOBRECOSTO")))</f>
        <v/>
      </c>
    </row>
    <row r="225" ht="19.95" customHeight="1">
      <c r="A225" s="4" t="n">
        <v>56</v>
      </c>
      <c r="B225" s="31" t="n">
        <v>46290</v>
      </c>
      <c r="C225" s="2" t="inlineStr">
        <is>
          <t>WBS-400</t>
        </is>
      </c>
      <c r="D225" s="3" t="inlineStr">
        <is>
          <t>Pruebas Hidráulicas, Desinfección y Entrega</t>
        </is>
      </c>
      <c r="E225" s="6">
        <f>SUM('01_PRESUPUESTO_CRONOGRAMA_BASE'!G12:G12)</f>
        <v/>
      </c>
      <c r="F225" s="6">
        <f>SUMIFS('02_CRONOGRAMA_PV_DIARIO'!E:E, '02_CRONOGRAMA_PV_DIARIO'!A:A, A225, '02_CRONOGRAMA_PV_DIARIO'!C:C, C225)</f>
        <v/>
      </c>
      <c r="G225" s="6">
        <f>SUMIFS(F$2:F225, C$2:C225, C225)</f>
        <v/>
      </c>
      <c r="H225" s="6">
        <f>IF(B225 &gt; MAX('04_LOG_FIELD_ENTRIES'!$B:$B), "", SUMIFS('04_LOG_FIELD_ENTRIES'!$J:$J, '04_LOG_FIELD_ENTRIES'!$B:$B, B225, '04_LOG_FIELD_ENTRIES'!$D:$D, C225, '04_LOG_FIELD_ENTRIES'!$K:$K, "EV_PRODUCCION"))</f>
        <v/>
      </c>
      <c r="I225" s="6">
        <f>IF(B225 &gt; MAX('04_LOG_FIELD_ENTRIES'!$B:$B), "", SUMIFS(H$2:H225, C$2:C225, C225))</f>
        <v/>
      </c>
      <c r="J225" s="6">
        <f>IF(B225 &gt; MAX('04_LOG_FIELD_ENTRIES'!$B:$B), "", SUMIFS('04_LOG_FIELD_ENTRIES'!$J:$J, '04_LOG_FIELD_ENTRIES'!$B:$B, B225, '04_LOG_FIELD_ENTRIES'!$D:$D, C225, '04_LOG_FIELD_ENTRIES'!$K:$K, "AC_*"))</f>
        <v/>
      </c>
      <c r="K225" s="6">
        <f>IF(B225 &gt; MAX('04_LOG_FIELD_ENTRIES'!$B:$B), "", SUMIFS(J$2:J225, C$2:C225, C225))</f>
        <v/>
      </c>
      <c r="L225" s="6">
        <f>IF(K225="", "", I225-K225)</f>
        <v/>
      </c>
      <c r="M225" s="6">
        <f>IF(I225="", "", I225-G225)</f>
        <v/>
      </c>
      <c r="N225" s="21">
        <f>IF(I225="", "", IF(G225&gt;0, I225/G225, 1))</f>
        <v/>
      </c>
      <c r="O225" s="21">
        <f>IF(I225="", "", IF(K225&gt;0, I225/K225, 1))</f>
        <v/>
      </c>
      <c r="P225" s="2">
        <f>IF(I225="", "", IF(AND(N225&gt;=0.95, O225&gt;=0.95), "SALUDABLE", IF(N225&lt;0.9, "ALERTA RETRASO", "ALERTA SOBRECOSTO")))</f>
        <v/>
      </c>
    </row>
    <row r="226" ht="19.95" customHeight="1">
      <c r="A226" s="4" t="n">
        <v>57</v>
      </c>
      <c r="B226" s="31" t="n">
        <v>46291</v>
      </c>
      <c r="C226" s="2" t="inlineStr">
        <is>
          <t>WBS-100</t>
        </is>
      </c>
      <c r="D226" s="3" t="inlineStr">
        <is>
          <t>Obras Preliminares, Trazo y Movilización</t>
        </is>
      </c>
      <c r="E226" s="6">
        <f>SUM('01_PRESUPUESTO_CRONOGRAMA_BASE'!G2:G3)</f>
        <v/>
      </c>
      <c r="F226" s="6">
        <f>SUMIFS('02_CRONOGRAMA_PV_DIARIO'!E:E, '02_CRONOGRAMA_PV_DIARIO'!A:A, A226, '02_CRONOGRAMA_PV_DIARIO'!C:C, C226)</f>
        <v/>
      </c>
      <c r="G226" s="6">
        <f>SUMIFS(F$2:F226, C$2:C226, C226)</f>
        <v/>
      </c>
      <c r="H226" s="6">
        <f>IF(B226 &gt; MAX('04_LOG_FIELD_ENTRIES'!$B:$B), "", SUMIFS('04_LOG_FIELD_ENTRIES'!$J:$J, '04_LOG_FIELD_ENTRIES'!$B:$B, B226, '04_LOG_FIELD_ENTRIES'!$D:$D, C226, '04_LOG_FIELD_ENTRIES'!$K:$K, "EV_PRODUCCION"))</f>
        <v/>
      </c>
      <c r="I226" s="6">
        <f>IF(B226 &gt; MAX('04_LOG_FIELD_ENTRIES'!$B:$B), "", SUMIFS(H$2:H226, C$2:C226, C226))</f>
        <v/>
      </c>
      <c r="J226" s="6">
        <f>IF(B226 &gt; MAX('04_LOG_FIELD_ENTRIES'!$B:$B), "", SUMIFS('04_LOG_FIELD_ENTRIES'!$J:$J, '04_LOG_FIELD_ENTRIES'!$B:$B, B226, '04_LOG_FIELD_ENTRIES'!$D:$D, C226, '04_LOG_FIELD_ENTRIES'!$K:$K, "AC_*"))</f>
        <v/>
      </c>
      <c r="K226" s="6">
        <f>IF(B226 &gt; MAX('04_LOG_FIELD_ENTRIES'!$B:$B), "", SUMIFS(J$2:J226, C$2:C226, C226))</f>
        <v/>
      </c>
      <c r="L226" s="6">
        <f>IF(K226="", "", I226-K226)</f>
        <v/>
      </c>
      <c r="M226" s="6">
        <f>IF(I226="", "", I226-G226)</f>
        <v/>
      </c>
      <c r="N226" s="21">
        <f>IF(I226="", "", IF(G226&gt;0, I226/G226, 1))</f>
        <v/>
      </c>
      <c r="O226" s="21">
        <f>IF(I226="", "", IF(K226&gt;0, I226/K226, 1))</f>
        <v/>
      </c>
      <c r="P226" s="2">
        <f>IF(I226="", "", IF(AND(N226&gt;=0.95, O226&gt;=0.95), "SALUDABLE", IF(N226&lt;0.9, "ALERTA RETRASO", "ALERTA SOBRECOSTO")))</f>
        <v/>
      </c>
    </row>
    <row r="227" ht="19.95" customHeight="1">
      <c r="A227" s="4" t="n">
        <v>57</v>
      </c>
      <c r="B227" s="31" t="n">
        <v>46291</v>
      </c>
      <c r="C227" s="2" t="inlineStr">
        <is>
          <t>WBS-200</t>
        </is>
      </c>
      <c r="D227" s="3" t="inlineStr">
        <is>
          <t>Red de Alcantarillado, Zanjas y Buzones</t>
        </is>
      </c>
      <c r="E227" s="6">
        <f>SUM('01_PRESUPUESTO_CRONOGRAMA_BASE'!G4:G9)</f>
        <v/>
      </c>
      <c r="F227" s="6">
        <f>SUMIFS('02_CRONOGRAMA_PV_DIARIO'!E:E, '02_CRONOGRAMA_PV_DIARIO'!A:A, A227, '02_CRONOGRAMA_PV_DIARIO'!C:C, C227)</f>
        <v/>
      </c>
      <c r="G227" s="6">
        <f>SUMIFS(F$2:F227, C$2:C227, C227)</f>
        <v/>
      </c>
      <c r="H227" s="6">
        <f>IF(B227 &gt; MAX('04_LOG_FIELD_ENTRIES'!$B:$B), "", SUMIFS('04_LOG_FIELD_ENTRIES'!$J:$J, '04_LOG_FIELD_ENTRIES'!$B:$B, B227, '04_LOG_FIELD_ENTRIES'!$D:$D, C227, '04_LOG_FIELD_ENTRIES'!$K:$K, "EV_PRODUCCION"))</f>
        <v/>
      </c>
      <c r="I227" s="6">
        <f>IF(B227 &gt; MAX('04_LOG_FIELD_ENTRIES'!$B:$B), "", SUMIFS(H$2:H227, C$2:C227, C227))</f>
        <v/>
      </c>
      <c r="J227" s="6">
        <f>IF(B227 &gt; MAX('04_LOG_FIELD_ENTRIES'!$B:$B), "", SUMIFS('04_LOG_FIELD_ENTRIES'!$J:$J, '04_LOG_FIELD_ENTRIES'!$B:$B, B227, '04_LOG_FIELD_ENTRIES'!$D:$D, C227, '04_LOG_FIELD_ENTRIES'!$K:$K, "AC_*"))</f>
        <v/>
      </c>
      <c r="K227" s="6">
        <f>IF(B227 &gt; MAX('04_LOG_FIELD_ENTRIES'!$B:$B), "", SUMIFS(J$2:J227, C$2:C227, C227))</f>
        <v/>
      </c>
      <c r="L227" s="6">
        <f>IF(K227="", "", I227-K227)</f>
        <v/>
      </c>
      <c r="M227" s="6">
        <f>IF(I227="", "", I227-G227)</f>
        <v/>
      </c>
      <c r="N227" s="21">
        <f>IF(I227="", "", IF(G227&gt;0, I227/G227, 1))</f>
        <v/>
      </c>
      <c r="O227" s="21">
        <f>IF(I227="", "", IF(K227&gt;0, I227/K227, 1))</f>
        <v/>
      </c>
      <c r="P227" s="2">
        <f>IF(I227="", "", IF(AND(N227&gt;=0.95, O227&gt;=0.95), "SALUDABLE", IF(N227&lt;0.9, "ALERTA RETRASO", "ALERTA SOBRECOSTO")))</f>
        <v/>
      </c>
    </row>
    <row r="228" ht="19.95" customHeight="1">
      <c r="A228" s="4" t="n">
        <v>57</v>
      </c>
      <c r="B228" s="31" t="n">
        <v>46291</v>
      </c>
      <c r="C228" s="2" t="inlineStr">
        <is>
          <t>WBS-300</t>
        </is>
      </c>
      <c r="D228" s="3" t="inlineStr">
        <is>
          <t>Red de Agua Potable y Conexiones Domiciliarias</t>
        </is>
      </c>
      <c r="E228" s="6">
        <f>SUM('01_PRESUPUESTO_CRONOGRAMA_BASE'!G10:G11)</f>
        <v/>
      </c>
      <c r="F228" s="6">
        <f>SUMIFS('02_CRONOGRAMA_PV_DIARIO'!E:E, '02_CRONOGRAMA_PV_DIARIO'!A:A, A228, '02_CRONOGRAMA_PV_DIARIO'!C:C, C228)</f>
        <v/>
      </c>
      <c r="G228" s="6">
        <f>SUMIFS(F$2:F228, C$2:C228, C228)</f>
        <v/>
      </c>
      <c r="H228" s="6">
        <f>IF(B228 &gt; MAX('04_LOG_FIELD_ENTRIES'!$B:$B), "", SUMIFS('04_LOG_FIELD_ENTRIES'!$J:$J, '04_LOG_FIELD_ENTRIES'!$B:$B, B228, '04_LOG_FIELD_ENTRIES'!$D:$D, C228, '04_LOG_FIELD_ENTRIES'!$K:$K, "EV_PRODUCCION"))</f>
        <v/>
      </c>
      <c r="I228" s="6">
        <f>IF(B228 &gt; MAX('04_LOG_FIELD_ENTRIES'!$B:$B), "", SUMIFS(H$2:H228, C$2:C228, C228))</f>
        <v/>
      </c>
      <c r="J228" s="6">
        <f>IF(B228 &gt; MAX('04_LOG_FIELD_ENTRIES'!$B:$B), "", SUMIFS('04_LOG_FIELD_ENTRIES'!$J:$J, '04_LOG_FIELD_ENTRIES'!$B:$B, B228, '04_LOG_FIELD_ENTRIES'!$D:$D, C228, '04_LOG_FIELD_ENTRIES'!$K:$K, "AC_*"))</f>
        <v/>
      </c>
      <c r="K228" s="6">
        <f>IF(B228 &gt; MAX('04_LOG_FIELD_ENTRIES'!$B:$B), "", SUMIFS(J$2:J228, C$2:C228, C228))</f>
        <v/>
      </c>
      <c r="L228" s="6">
        <f>IF(K228="", "", I228-K228)</f>
        <v/>
      </c>
      <c r="M228" s="6">
        <f>IF(I228="", "", I228-G228)</f>
        <v/>
      </c>
      <c r="N228" s="21">
        <f>IF(I228="", "", IF(G228&gt;0, I228/G228, 1))</f>
        <v/>
      </c>
      <c r="O228" s="21">
        <f>IF(I228="", "", IF(K228&gt;0, I228/K228, 1))</f>
        <v/>
      </c>
      <c r="P228" s="2">
        <f>IF(I228="", "", IF(AND(N228&gt;=0.95, O228&gt;=0.95), "SALUDABLE", IF(N228&lt;0.9, "ALERTA RETRASO", "ALERTA SOBRECOSTO")))</f>
        <v/>
      </c>
    </row>
    <row r="229" ht="19.95" customHeight="1">
      <c r="A229" s="4" t="n">
        <v>57</v>
      </c>
      <c r="B229" s="31" t="n">
        <v>46291</v>
      </c>
      <c r="C229" s="2" t="inlineStr">
        <is>
          <t>WBS-400</t>
        </is>
      </c>
      <c r="D229" s="3" t="inlineStr">
        <is>
          <t>Pruebas Hidráulicas, Desinfección y Entrega</t>
        </is>
      </c>
      <c r="E229" s="6">
        <f>SUM('01_PRESUPUESTO_CRONOGRAMA_BASE'!G12:G12)</f>
        <v/>
      </c>
      <c r="F229" s="6">
        <f>SUMIFS('02_CRONOGRAMA_PV_DIARIO'!E:E, '02_CRONOGRAMA_PV_DIARIO'!A:A, A229, '02_CRONOGRAMA_PV_DIARIO'!C:C, C229)</f>
        <v/>
      </c>
      <c r="G229" s="6">
        <f>SUMIFS(F$2:F229, C$2:C229, C229)</f>
        <v/>
      </c>
      <c r="H229" s="6">
        <f>IF(B229 &gt; MAX('04_LOG_FIELD_ENTRIES'!$B:$B), "", SUMIFS('04_LOG_FIELD_ENTRIES'!$J:$J, '04_LOG_FIELD_ENTRIES'!$B:$B, B229, '04_LOG_FIELD_ENTRIES'!$D:$D, C229, '04_LOG_FIELD_ENTRIES'!$K:$K, "EV_PRODUCCION"))</f>
        <v/>
      </c>
      <c r="I229" s="6">
        <f>IF(B229 &gt; MAX('04_LOG_FIELD_ENTRIES'!$B:$B), "", SUMIFS(H$2:H229, C$2:C229, C229))</f>
        <v/>
      </c>
      <c r="J229" s="6">
        <f>IF(B229 &gt; MAX('04_LOG_FIELD_ENTRIES'!$B:$B), "", SUMIFS('04_LOG_FIELD_ENTRIES'!$J:$J, '04_LOG_FIELD_ENTRIES'!$B:$B, B229, '04_LOG_FIELD_ENTRIES'!$D:$D, C229, '04_LOG_FIELD_ENTRIES'!$K:$K, "AC_*"))</f>
        <v/>
      </c>
      <c r="K229" s="6">
        <f>IF(B229 &gt; MAX('04_LOG_FIELD_ENTRIES'!$B:$B), "", SUMIFS(J$2:J229, C$2:C229, C229))</f>
        <v/>
      </c>
      <c r="L229" s="6">
        <f>IF(K229="", "", I229-K229)</f>
        <v/>
      </c>
      <c r="M229" s="6">
        <f>IF(I229="", "", I229-G229)</f>
        <v/>
      </c>
      <c r="N229" s="21">
        <f>IF(I229="", "", IF(G229&gt;0, I229/G229, 1))</f>
        <v/>
      </c>
      <c r="O229" s="21">
        <f>IF(I229="", "", IF(K229&gt;0, I229/K229, 1))</f>
        <v/>
      </c>
      <c r="P229" s="2">
        <f>IF(I229="", "", IF(AND(N229&gt;=0.95, O229&gt;=0.95), "SALUDABLE", IF(N229&lt;0.9, "ALERTA RETRASO", "ALERTA SOBRECOSTO")))</f>
        <v/>
      </c>
    </row>
    <row r="230" ht="19.95" customHeight="1">
      <c r="A230" s="4" t="n">
        <v>58</v>
      </c>
      <c r="B230" s="31" t="n">
        <v>46292</v>
      </c>
      <c r="C230" s="2" t="inlineStr">
        <is>
          <t>WBS-100</t>
        </is>
      </c>
      <c r="D230" s="3" t="inlineStr">
        <is>
          <t>Obras Preliminares, Trazo y Movilización</t>
        </is>
      </c>
      <c r="E230" s="6">
        <f>SUM('01_PRESUPUESTO_CRONOGRAMA_BASE'!G2:G3)</f>
        <v/>
      </c>
      <c r="F230" s="6">
        <f>SUMIFS('02_CRONOGRAMA_PV_DIARIO'!E:E, '02_CRONOGRAMA_PV_DIARIO'!A:A, A230, '02_CRONOGRAMA_PV_DIARIO'!C:C, C230)</f>
        <v/>
      </c>
      <c r="G230" s="6">
        <f>SUMIFS(F$2:F230, C$2:C230, C230)</f>
        <v/>
      </c>
      <c r="H230" s="6">
        <f>IF(B230 &gt; MAX('04_LOG_FIELD_ENTRIES'!$B:$B), "", SUMIFS('04_LOG_FIELD_ENTRIES'!$J:$J, '04_LOG_FIELD_ENTRIES'!$B:$B, B230, '04_LOG_FIELD_ENTRIES'!$D:$D, C230, '04_LOG_FIELD_ENTRIES'!$K:$K, "EV_PRODUCCION"))</f>
        <v/>
      </c>
      <c r="I230" s="6">
        <f>IF(B230 &gt; MAX('04_LOG_FIELD_ENTRIES'!$B:$B), "", SUMIFS(H$2:H230, C$2:C230, C230))</f>
        <v/>
      </c>
      <c r="J230" s="6">
        <f>IF(B230 &gt; MAX('04_LOG_FIELD_ENTRIES'!$B:$B), "", SUMIFS('04_LOG_FIELD_ENTRIES'!$J:$J, '04_LOG_FIELD_ENTRIES'!$B:$B, B230, '04_LOG_FIELD_ENTRIES'!$D:$D, C230, '04_LOG_FIELD_ENTRIES'!$K:$K, "AC_*"))</f>
        <v/>
      </c>
      <c r="K230" s="6">
        <f>IF(B230 &gt; MAX('04_LOG_FIELD_ENTRIES'!$B:$B), "", SUMIFS(J$2:J230, C$2:C230, C230))</f>
        <v/>
      </c>
      <c r="L230" s="6">
        <f>IF(K230="", "", I230-K230)</f>
        <v/>
      </c>
      <c r="M230" s="6">
        <f>IF(I230="", "", I230-G230)</f>
        <v/>
      </c>
      <c r="N230" s="21">
        <f>IF(I230="", "", IF(G230&gt;0, I230/G230, 1))</f>
        <v/>
      </c>
      <c r="O230" s="21">
        <f>IF(I230="", "", IF(K230&gt;0, I230/K230, 1))</f>
        <v/>
      </c>
      <c r="P230" s="2">
        <f>IF(I230="", "", IF(AND(N230&gt;=0.95, O230&gt;=0.95), "SALUDABLE", IF(N230&lt;0.9, "ALERTA RETRASO", "ALERTA SOBRECOSTO")))</f>
        <v/>
      </c>
    </row>
    <row r="231" ht="19.95" customHeight="1">
      <c r="A231" s="4" t="n">
        <v>58</v>
      </c>
      <c r="B231" s="31" t="n">
        <v>46292</v>
      </c>
      <c r="C231" s="2" t="inlineStr">
        <is>
          <t>WBS-200</t>
        </is>
      </c>
      <c r="D231" s="3" t="inlineStr">
        <is>
          <t>Red de Alcantarillado, Zanjas y Buzones</t>
        </is>
      </c>
      <c r="E231" s="6">
        <f>SUM('01_PRESUPUESTO_CRONOGRAMA_BASE'!G4:G9)</f>
        <v/>
      </c>
      <c r="F231" s="6">
        <f>SUMIFS('02_CRONOGRAMA_PV_DIARIO'!E:E, '02_CRONOGRAMA_PV_DIARIO'!A:A, A231, '02_CRONOGRAMA_PV_DIARIO'!C:C, C231)</f>
        <v/>
      </c>
      <c r="G231" s="6">
        <f>SUMIFS(F$2:F231, C$2:C231, C231)</f>
        <v/>
      </c>
      <c r="H231" s="6">
        <f>IF(B231 &gt; MAX('04_LOG_FIELD_ENTRIES'!$B:$B), "", SUMIFS('04_LOG_FIELD_ENTRIES'!$J:$J, '04_LOG_FIELD_ENTRIES'!$B:$B, B231, '04_LOG_FIELD_ENTRIES'!$D:$D, C231, '04_LOG_FIELD_ENTRIES'!$K:$K, "EV_PRODUCCION"))</f>
        <v/>
      </c>
      <c r="I231" s="6">
        <f>IF(B231 &gt; MAX('04_LOG_FIELD_ENTRIES'!$B:$B), "", SUMIFS(H$2:H231, C$2:C231, C231))</f>
        <v/>
      </c>
      <c r="J231" s="6">
        <f>IF(B231 &gt; MAX('04_LOG_FIELD_ENTRIES'!$B:$B), "", SUMIFS('04_LOG_FIELD_ENTRIES'!$J:$J, '04_LOG_FIELD_ENTRIES'!$B:$B, B231, '04_LOG_FIELD_ENTRIES'!$D:$D, C231, '04_LOG_FIELD_ENTRIES'!$K:$K, "AC_*"))</f>
        <v/>
      </c>
      <c r="K231" s="6">
        <f>IF(B231 &gt; MAX('04_LOG_FIELD_ENTRIES'!$B:$B), "", SUMIFS(J$2:J231, C$2:C231, C231))</f>
        <v/>
      </c>
      <c r="L231" s="6">
        <f>IF(K231="", "", I231-K231)</f>
        <v/>
      </c>
      <c r="M231" s="6">
        <f>IF(I231="", "", I231-G231)</f>
        <v/>
      </c>
      <c r="N231" s="21">
        <f>IF(I231="", "", IF(G231&gt;0, I231/G231, 1))</f>
        <v/>
      </c>
      <c r="O231" s="21">
        <f>IF(I231="", "", IF(K231&gt;0, I231/K231, 1))</f>
        <v/>
      </c>
      <c r="P231" s="2">
        <f>IF(I231="", "", IF(AND(N231&gt;=0.95, O231&gt;=0.95), "SALUDABLE", IF(N231&lt;0.9, "ALERTA RETRASO", "ALERTA SOBRECOSTO")))</f>
        <v/>
      </c>
    </row>
    <row r="232" ht="19.95" customHeight="1">
      <c r="A232" s="4" t="n">
        <v>58</v>
      </c>
      <c r="B232" s="31" t="n">
        <v>46292</v>
      </c>
      <c r="C232" s="2" t="inlineStr">
        <is>
          <t>WBS-300</t>
        </is>
      </c>
      <c r="D232" s="3" t="inlineStr">
        <is>
          <t>Red de Agua Potable y Conexiones Domiciliarias</t>
        </is>
      </c>
      <c r="E232" s="6">
        <f>SUM('01_PRESUPUESTO_CRONOGRAMA_BASE'!G10:G11)</f>
        <v/>
      </c>
      <c r="F232" s="6">
        <f>SUMIFS('02_CRONOGRAMA_PV_DIARIO'!E:E, '02_CRONOGRAMA_PV_DIARIO'!A:A, A232, '02_CRONOGRAMA_PV_DIARIO'!C:C, C232)</f>
        <v/>
      </c>
      <c r="G232" s="6">
        <f>SUMIFS(F$2:F232, C$2:C232, C232)</f>
        <v/>
      </c>
      <c r="H232" s="6">
        <f>IF(B232 &gt; MAX('04_LOG_FIELD_ENTRIES'!$B:$B), "", SUMIFS('04_LOG_FIELD_ENTRIES'!$J:$J, '04_LOG_FIELD_ENTRIES'!$B:$B, B232, '04_LOG_FIELD_ENTRIES'!$D:$D, C232, '04_LOG_FIELD_ENTRIES'!$K:$K, "EV_PRODUCCION"))</f>
        <v/>
      </c>
      <c r="I232" s="6">
        <f>IF(B232 &gt; MAX('04_LOG_FIELD_ENTRIES'!$B:$B), "", SUMIFS(H$2:H232, C$2:C232, C232))</f>
        <v/>
      </c>
      <c r="J232" s="6">
        <f>IF(B232 &gt; MAX('04_LOG_FIELD_ENTRIES'!$B:$B), "", SUMIFS('04_LOG_FIELD_ENTRIES'!$J:$J, '04_LOG_FIELD_ENTRIES'!$B:$B, B232, '04_LOG_FIELD_ENTRIES'!$D:$D, C232, '04_LOG_FIELD_ENTRIES'!$K:$K, "AC_*"))</f>
        <v/>
      </c>
      <c r="K232" s="6">
        <f>IF(B232 &gt; MAX('04_LOG_FIELD_ENTRIES'!$B:$B), "", SUMIFS(J$2:J232, C$2:C232, C232))</f>
        <v/>
      </c>
      <c r="L232" s="6">
        <f>IF(K232="", "", I232-K232)</f>
        <v/>
      </c>
      <c r="M232" s="6">
        <f>IF(I232="", "", I232-G232)</f>
        <v/>
      </c>
      <c r="N232" s="21">
        <f>IF(I232="", "", IF(G232&gt;0, I232/G232, 1))</f>
        <v/>
      </c>
      <c r="O232" s="21">
        <f>IF(I232="", "", IF(K232&gt;0, I232/K232, 1))</f>
        <v/>
      </c>
      <c r="P232" s="2">
        <f>IF(I232="", "", IF(AND(N232&gt;=0.95, O232&gt;=0.95), "SALUDABLE", IF(N232&lt;0.9, "ALERTA RETRASO", "ALERTA SOBRECOSTO")))</f>
        <v/>
      </c>
    </row>
    <row r="233" ht="19.95" customHeight="1">
      <c r="A233" s="4" t="n">
        <v>58</v>
      </c>
      <c r="B233" s="31" t="n">
        <v>46292</v>
      </c>
      <c r="C233" s="2" t="inlineStr">
        <is>
          <t>WBS-400</t>
        </is>
      </c>
      <c r="D233" s="3" t="inlineStr">
        <is>
          <t>Pruebas Hidráulicas, Desinfección y Entrega</t>
        </is>
      </c>
      <c r="E233" s="6">
        <f>SUM('01_PRESUPUESTO_CRONOGRAMA_BASE'!G12:G12)</f>
        <v/>
      </c>
      <c r="F233" s="6">
        <f>SUMIFS('02_CRONOGRAMA_PV_DIARIO'!E:E, '02_CRONOGRAMA_PV_DIARIO'!A:A, A233, '02_CRONOGRAMA_PV_DIARIO'!C:C, C233)</f>
        <v/>
      </c>
      <c r="G233" s="6">
        <f>SUMIFS(F$2:F233, C$2:C233, C233)</f>
        <v/>
      </c>
      <c r="H233" s="6">
        <f>IF(B233 &gt; MAX('04_LOG_FIELD_ENTRIES'!$B:$B), "", SUMIFS('04_LOG_FIELD_ENTRIES'!$J:$J, '04_LOG_FIELD_ENTRIES'!$B:$B, B233, '04_LOG_FIELD_ENTRIES'!$D:$D, C233, '04_LOG_FIELD_ENTRIES'!$K:$K, "EV_PRODUCCION"))</f>
        <v/>
      </c>
      <c r="I233" s="6">
        <f>IF(B233 &gt; MAX('04_LOG_FIELD_ENTRIES'!$B:$B), "", SUMIFS(H$2:H233, C$2:C233, C233))</f>
        <v/>
      </c>
      <c r="J233" s="6">
        <f>IF(B233 &gt; MAX('04_LOG_FIELD_ENTRIES'!$B:$B), "", SUMIFS('04_LOG_FIELD_ENTRIES'!$J:$J, '04_LOG_FIELD_ENTRIES'!$B:$B, B233, '04_LOG_FIELD_ENTRIES'!$D:$D, C233, '04_LOG_FIELD_ENTRIES'!$K:$K, "AC_*"))</f>
        <v/>
      </c>
      <c r="K233" s="6">
        <f>IF(B233 &gt; MAX('04_LOG_FIELD_ENTRIES'!$B:$B), "", SUMIFS(J$2:J233, C$2:C233, C233))</f>
        <v/>
      </c>
      <c r="L233" s="6">
        <f>IF(K233="", "", I233-K233)</f>
        <v/>
      </c>
      <c r="M233" s="6">
        <f>IF(I233="", "", I233-G233)</f>
        <v/>
      </c>
      <c r="N233" s="21">
        <f>IF(I233="", "", IF(G233&gt;0, I233/G233, 1))</f>
        <v/>
      </c>
      <c r="O233" s="21">
        <f>IF(I233="", "", IF(K233&gt;0, I233/K233, 1))</f>
        <v/>
      </c>
      <c r="P233" s="2">
        <f>IF(I233="", "", IF(AND(N233&gt;=0.95, O233&gt;=0.95), "SALUDABLE", IF(N233&lt;0.9, "ALERTA RETRASO", "ALERTA SOBRECOSTO")))</f>
        <v/>
      </c>
    </row>
    <row r="234" ht="19.95" customHeight="1">
      <c r="A234" s="4" t="n">
        <v>59</v>
      </c>
      <c r="B234" s="31" t="n">
        <v>46293</v>
      </c>
      <c r="C234" s="2" t="inlineStr">
        <is>
          <t>WBS-100</t>
        </is>
      </c>
      <c r="D234" s="3" t="inlineStr">
        <is>
          <t>Obras Preliminares, Trazo y Movilización</t>
        </is>
      </c>
      <c r="E234" s="6">
        <f>SUM('01_PRESUPUESTO_CRONOGRAMA_BASE'!G2:G3)</f>
        <v/>
      </c>
      <c r="F234" s="6">
        <f>SUMIFS('02_CRONOGRAMA_PV_DIARIO'!E:E, '02_CRONOGRAMA_PV_DIARIO'!A:A, A234, '02_CRONOGRAMA_PV_DIARIO'!C:C, C234)</f>
        <v/>
      </c>
      <c r="G234" s="6">
        <f>SUMIFS(F$2:F234, C$2:C234, C234)</f>
        <v/>
      </c>
      <c r="H234" s="6">
        <f>IF(B234 &gt; MAX('04_LOG_FIELD_ENTRIES'!$B:$B), "", SUMIFS('04_LOG_FIELD_ENTRIES'!$J:$J, '04_LOG_FIELD_ENTRIES'!$B:$B, B234, '04_LOG_FIELD_ENTRIES'!$D:$D, C234, '04_LOG_FIELD_ENTRIES'!$K:$K, "EV_PRODUCCION"))</f>
        <v/>
      </c>
      <c r="I234" s="6">
        <f>IF(B234 &gt; MAX('04_LOG_FIELD_ENTRIES'!$B:$B), "", SUMIFS(H$2:H234, C$2:C234, C234))</f>
        <v/>
      </c>
      <c r="J234" s="6">
        <f>IF(B234 &gt; MAX('04_LOG_FIELD_ENTRIES'!$B:$B), "", SUMIFS('04_LOG_FIELD_ENTRIES'!$J:$J, '04_LOG_FIELD_ENTRIES'!$B:$B, B234, '04_LOG_FIELD_ENTRIES'!$D:$D, C234, '04_LOG_FIELD_ENTRIES'!$K:$K, "AC_*"))</f>
        <v/>
      </c>
      <c r="K234" s="6">
        <f>IF(B234 &gt; MAX('04_LOG_FIELD_ENTRIES'!$B:$B), "", SUMIFS(J$2:J234, C$2:C234, C234))</f>
        <v/>
      </c>
      <c r="L234" s="6">
        <f>IF(K234="", "", I234-K234)</f>
        <v/>
      </c>
      <c r="M234" s="6">
        <f>IF(I234="", "", I234-G234)</f>
        <v/>
      </c>
      <c r="N234" s="21">
        <f>IF(I234="", "", IF(G234&gt;0, I234/G234, 1))</f>
        <v/>
      </c>
      <c r="O234" s="21">
        <f>IF(I234="", "", IF(K234&gt;0, I234/K234, 1))</f>
        <v/>
      </c>
      <c r="P234" s="2">
        <f>IF(I234="", "", IF(AND(N234&gt;=0.95, O234&gt;=0.95), "SALUDABLE", IF(N234&lt;0.9, "ALERTA RETRASO", "ALERTA SOBRECOSTO")))</f>
        <v/>
      </c>
    </row>
    <row r="235" ht="19.95" customHeight="1">
      <c r="A235" s="4" t="n">
        <v>59</v>
      </c>
      <c r="B235" s="31" t="n">
        <v>46293</v>
      </c>
      <c r="C235" s="2" t="inlineStr">
        <is>
          <t>WBS-200</t>
        </is>
      </c>
      <c r="D235" s="3" t="inlineStr">
        <is>
          <t>Red de Alcantarillado, Zanjas y Buzones</t>
        </is>
      </c>
      <c r="E235" s="6">
        <f>SUM('01_PRESUPUESTO_CRONOGRAMA_BASE'!G4:G9)</f>
        <v/>
      </c>
      <c r="F235" s="6">
        <f>SUMIFS('02_CRONOGRAMA_PV_DIARIO'!E:E, '02_CRONOGRAMA_PV_DIARIO'!A:A, A235, '02_CRONOGRAMA_PV_DIARIO'!C:C, C235)</f>
        <v/>
      </c>
      <c r="G235" s="6">
        <f>SUMIFS(F$2:F235, C$2:C235, C235)</f>
        <v/>
      </c>
      <c r="H235" s="6">
        <f>IF(B235 &gt; MAX('04_LOG_FIELD_ENTRIES'!$B:$B), "", SUMIFS('04_LOG_FIELD_ENTRIES'!$J:$J, '04_LOG_FIELD_ENTRIES'!$B:$B, B235, '04_LOG_FIELD_ENTRIES'!$D:$D, C235, '04_LOG_FIELD_ENTRIES'!$K:$K, "EV_PRODUCCION"))</f>
        <v/>
      </c>
      <c r="I235" s="6">
        <f>IF(B235 &gt; MAX('04_LOG_FIELD_ENTRIES'!$B:$B), "", SUMIFS(H$2:H235, C$2:C235, C235))</f>
        <v/>
      </c>
      <c r="J235" s="6">
        <f>IF(B235 &gt; MAX('04_LOG_FIELD_ENTRIES'!$B:$B), "", SUMIFS('04_LOG_FIELD_ENTRIES'!$J:$J, '04_LOG_FIELD_ENTRIES'!$B:$B, B235, '04_LOG_FIELD_ENTRIES'!$D:$D, C235, '04_LOG_FIELD_ENTRIES'!$K:$K, "AC_*"))</f>
        <v/>
      </c>
      <c r="K235" s="6">
        <f>IF(B235 &gt; MAX('04_LOG_FIELD_ENTRIES'!$B:$B), "", SUMIFS(J$2:J235, C$2:C235, C235))</f>
        <v/>
      </c>
      <c r="L235" s="6">
        <f>IF(K235="", "", I235-K235)</f>
        <v/>
      </c>
      <c r="M235" s="6">
        <f>IF(I235="", "", I235-G235)</f>
        <v/>
      </c>
      <c r="N235" s="21">
        <f>IF(I235="", "", IF(G235&gt;0, I235/G235, 1))</f>
        <v/>
      </c>
      <c r="O235" s="21">
        <f>IF(I235="", "", IF(K235&gt;0, I235/K235, 1))</f>
        <v/>
      </c>
      <c r="P235" s="2">
        <f>IF(I235="", "", IF(AND(N235&gt;=0.95, O235&gt;=0.95), "SALUDABLE", IF(N235&lt;0.9, "ALERTA RETRASO", "ALERTA SOBRECOSTO")))</f>
        <v/>
      </c>
    </row>
    <row r="236" ht="19.95" customHeight="1">
      <c r="A236" s="4" t="n">
        <v>59</v>
      </c>
      <c r="B236" s="31" t="n">
        <v>46293</v>
      </c>
      <c r="C236" s="2" t="inlineStr">
        <is>
          <t>WBS-300</t>
        </is>
      </c>
      <c r="D236" s="3" t="inlineStr">
        <is>
          <t>Red de Agua Potable y Conexiones Domiciliarias</t>
        </is>
      </c>
      <c r="E236" s="6">
        <f>SUM('01_PRESUPUESTO_CRONOGRAMA_BASE'!G10:G11)</f>
        <v/>
      </c>
      <c r="F236" s="6">
        <f>SUMIFS('02_CRONOGRAMA_PV_DIARIO'!E:E, '02_CRONOGRAMA_PV_DIARIO'!A:A, A236, '02_CRONOGRAMA_PV_DIARIO'!C:C, C236)</f>
        <v/>
      </c>
      <c r="G236" s="6">
        <f>SUMIFS(F$2:F236, C$2:C236, C236)</f>
        <v/>
      </c>
      <c r="H236" s="6">
        <f>IF(B236 &gt; MAX('04_LOG_FIELD_ENTRIES'!$B:$B), "", SUMIFS('04_LOG_FIELD_ENTRIES'!$J:$J, '04_LOG_FIELD_ENTRIES'!$B:$B, B236, '04_LOG_FIELD_ENTRIES'!$D:$D, C236, '04_LOG_FIELD_ENTRIES'!$K:$K, "EV_PRODUCCION"))</f>
        <v/>
      </c>
      <c r="I236" s="6">
        <f>IF(B236 &gt; MAX('04_LOG_FIELD_ENTRIES'!$B:$B), "", SUMIFS(H$2:H236, C$2:C236, C236))</f>
        <v/>
      </c>
      <c r="J236" s="6">
        <f>IF(B236 &gt; MAX('04_LOG_FIELD_ENTRIES'!$B:$B), "", SUMIFS('04_LOG_FIELD_ENTRIES'!$J:$J, '04_LOG_FIELD_ENTRIES'!$B:$B, B236, '04_LOG_FIELD_ENTRIES'!$D:$D, C236, '04_LOG_FIELD_ENTRIES'!$K:$K, "AC_*"))</f>
        <v/>
      </c>
      <c r="K236" s="6">
        <f>IF(B236 &gt; MAX('04_LOG_FIELD_ENTRIES'!$B:$B), "", SUMIFS(J$2:J236, C$2:C236, C236))</f>
        <v/>
      </c>
      <c r="L236" s="6">
        <f>IF(K236="", "", I236-K236)</f>
        <v/>
      </c>
      <c r="M236" s="6">
        <f>IF(I236="", "", I236-G236)</f>
        <v/>
      </c>
      <c r="N236" s="21">
        <f>IF(I236="", "", IF(G236&gt;0, I236/G236, 1))</f>
        <v/>
      </c>
      <c r="O236" s="21">
        <f>IF(I236="", "", IF(K236&gt;0, I236/K236, 1))</f>
        <v/>
      </c>
      <c r="P236" s="2">
        <f>IF(I236="", "", IF(AND(N236&gt;=0.95, O236&gt;=0.95), "SALUDABLE", IF(N236&lt;0.9, "ALERTA RETRASO", "ALERTA SOBRECOSTO")))</f>
        <v/>
      </c>
    </row>
    <row r="237" ht="19.95" customHeight="1">
      <c r="A237" s="4" t="n">
        <v>59</v>
      </c>
      <c r="B237" s="31" t="n">
        <v>46293</v>
      </c>
      <c r="C237" s="2" t="inlineStr">
        <is>
          <t>WBS-400</t>
        </is>
      </c>
      <c r="D237" s="3" t="inlineStr">
        <is>
          <t>Pruebas Hidráulicas, Desinfección y Entrega</t>
        </is>
      </c>
      <c r="E237" s="6">
        <f>SUM('01_PRESUPUESTO_CRONOGRAMA_BASE'!G12:G12)</f>
        <v/>
      </c>
      <c r="F237" s="6">
        <f>SUMIFS('02_CRONOGRAMA_PV_DIARIO'!E:E, '02_CRONOGRAMA_PV_DIARIO'!A:A, A237, '02_CRONOGRAMA_PV_DIARIO'!C:C, C237)</f>
        <v/>
      </c>
      <c r="G237" s="6">
        <f>SUMIFS(F$2:F237, C$2:C237, C237)</f>
        <v/>
      </c>
      <c r="H237" s="6">
        <f>IF(B237 &gt; MAX('04_LOG_FIELD_ENTRIES'!$B:$B), "", SUMIFS('04_LOG_FIELD_ENTRIES'!$J:$J, '04_LOG_FIELD_ENTRIES'!$B:$B, B237, '04_LOG_FIELD_ENTRIES'!$D:$D, C237, '04_LOG_FIELD_ENTRIES'!$K:$K, "EV_PRODUCCION"))</f>
        <v/>
      </c>
      <c r="I237" s="6">
        <f>IF(B237 &gt; MAX('04_LOG_FIELD_ENTRIES'!$B:$B), "", SUMIFS(H$2:H237, C$2:C237, C237))</f>
        <v/>
      </c>
      <c r="J237" s="6">
        <f>IF(B237 &gt; MAX('04_LOG_FIELD_ENTRIES'!$B:$B), "", SUMIFS('04_LOG_FIELD_ENTRIES'!$J:$J, '04_LOG_FIELD_ENTRIES'!$B:$B, B237, '04_LOG_FIELD_ENTRIES'!$D:$D, C237, '04_LOG_FIELD_ENTRIES'!$K:$K, "AC_*"))</f>
        <v/>
      </c>
      <c r="K237" s="6">
        <f>IF(B237 &gt; MAX('04_LOG_FIELD_ENTRIES'!$B:$B), "", SUMIFS(J$2:J237, C$2:C237, C237))</f>
        <v/>
      </c>
      <c r="L237" s="6">
        <f>IF(K237="", "", I237-K237)</f>
        <v/>
      </c>
      <c r="M237" s="6">
        <f>IF(I237="", "", I237-G237)</f>
        <v/>
      </c>
      <c r="N237" s="21">
        <f>IF(I237="", "", IF(G237&gt;0, I237/G237, 1))</f>
        <v/>
      </c>
      <c r="O237" s="21">
        <f>IF(I237="", "", IF(K237&gt;0, I237/K237, 1))</f>
        <v/>
      </c>
      <c r="P237" s="2">
        <f>IF(I237="", "", IF(AND(N237&gt;=0.95, O237&gt;=0.95), "SALUDABLE", IF(N237&lt;0.9, "ALERTA RETRASO", "ALERTA SOBRECOSTO")))</f>
        <v/>
      </c>
    </row>
    <row r="238" ht="19.95" customHeight="1">
      <c r="A238" s="4" t="n">
        <v>60</v>
      </c>
      <c r="B238" s="31" t="n">
        <v>46294</v>
      </c>
      <c r="C238" s="2" t="inlineStr">
        <is>
          <t>WBS-100</t>
        </is>
      </c>
      <c r="D238" s="3" t="inlineStr">
        <is>
          <t>Obras Preliminares, Trazo y Movilización</t>
        </is>
      </c>
      <c r="E238" s="6">
        <f>SUM('01_PRESUPUESTO_CRONOGRAMA_BASE'!G2:G3)</f>
        <v/>
      </c>
      <c r="F238" s="6">
        <f>SUMIFS('02_CRONOGRAMA_PV_DIARIO'!E:E, '02_CRONOGRAMA_PV_DIARIO'!A:A, A238, '02_CRONOGRAMA_PV_DIARIO'!C:C, C238)</f>
        <v/>
      </c>
      <c r="G238" s="6">
        <f>SUMIFS(F$2:F238, C$2:C238, C238)</f>
        <v/>
      </c>
      <c r="H238" s="6">
        <f>IF(B238 &gt; MAX('04_LOG_FIELD_ENTRIES'!$B:$B), "", SUMIFS('04_LOG_FIELD_ENTRIES'!$J:$J, '04_LOG_FIELD_ENTRIES'!$B:$B, B238, '04_LOG_FIELD_ENTRIES'!$D:$D, C238, '04_LOG_FIELD_ENTRIES'!$K:$K, "EV_PRODUCCION"))</f>
        <v/>
      </c>
      <c r="I238" s="6">
        <f>IF(B238 &gt; MAX('04_LOG_FIELD_ENTRIES'!$B:$B), "", SUMIFS(H$2:H238, C$2:C238, C238))</f>
        <v/>
      </c>
      <c r="J238" s="6">
        <f>IF(B238 &gt; MAX('04_LOG_FIELD_ENTRIES'!$B:$B), "", SUMIFS('04_LOG_FIELD_ENTRIES'!$J:$J, '04_LOG_FIELD_ENTRIES'!$B:$B, B238, '04_LOG_FIELD_ENTRIES'!$D:$D, C238, '04_LOG_FIELD_ENTRIES'!$K:$K, "AC_*"))</f>
        <v/>
      </c>
      <c r="K238" s="6">
        <f>IF(B238 &gt; MAX('04_LOG_FIELD_ENTRIES'!$B:$B), "", SUMIFS(J$2:J238, C$2:C238, C238))</f>
        <v/>
      </c>
      <c r="L238" s="6">
        <f>IF(K238="", "", I238-K238)</f>
        <v/>
      </c>
      <c r="M238" s="6">
        <f>IF(I238="", "", I238-G238)</f>
        <v/>
      </c>
      <c r="N238" s="21">
        <f>IF(I238="", "", IF(G238&gt;0, I238/G238, 1))</f>
        <v/>
      </c>
      <c r="O238" s="21">
        <f>IF(I238="", "", IF(K238&gt;0, I238/K238, 1))</f>
        <v/>
      </c>
      <c r="P238" s="2">
        <f>IF(I238="", "", IF(AND(N238&gt;=0.95, O238&gt;=0.95), "SALUDABLE", IF(N238&lt;0.9, "ALERTA RETRASO", "ALERTA SOBRECOSTO")))</f>
        <v/>
      </c>
    </row>
    <row r="239" ht="19.95" customHeight="1">
      <c r="A239" s="4" t="n">
        <v>60</v>
      </c>
      <c r="B239" s="31" t="n">
        <v>46294</v>
      </c>
      <c r="C239" s="2" t="inlineStr">
        <is>
          <t>WBS-200</t>
        </is>
      </c>
      <c r="D239" s="3" t="inlineStr">
        <is>
          <t>Red de Alcantarillado, Zanjas y Buzones</t>
        </is>
      </c>
      <c r="E239" s="6">
        <f>SUM('01_PRESUPUESTO_CRONOGRAMA_BASE'!G4:G9)</f>
        <v/>
      </c>
      <c r="F239" s="6">
        <f>SUMIFS('02_CRONOGRAMA_PV_DIARIO'!E:E, '02_CRONOGRAMA_PV_DIARIO'!A:A, A239, '02_CRONOGRAMA_PV_DIARIO'!C:C, C239)</f>
        <v/>
      </c>
      <c r="G239" s="6">
        <f>SUMIFS(F$2:F239, C$2:C239, C239)</f>
        <v/>
      </c>
      <c r="H239" s="6">
        <f>IF(B239 &gt; MAX('04_LOG_FIELD_ENTRIES'!$B:$B), "", SUMIFS('04_LOG_FIELD_ENTRIES'!$J:$J, '04_LOG_FIELD_ENTRIES'!$B:$B, B239, '04_LOG_FIELD_ENTRIES'!$D:$D, C239, '04_LOG_FIELD_ENTRIES'!$K:$K, "EV_PRODUCCION"))</f>
        <v/>
      </c>
      <c r="I239" s="6">
        <f>IF(B239 &gt; MAX('04_LOG_FIELD_ENTRIES'!$B:$B), "", SUMIFS(H$2:H239, C$2:C239, C239))</f>
        <v/>
      </c>
      <c r="J239" s="6">
        <f>IF(B239 &gt; MAX('04_LOG_FIELD_ENTRIES'!$B:$B), "", SUMIFS('04_LOG_FIELD_ENTRIES'!$J:$J, '04_LOG_FIELD_ENTRIES'!$B:$B, B239, '04_LOG_FIELD_ENTRIES'!$D:$D, C239, '04_LOG_FIELD_ENTRIES'!$K:$K, "AC_*"))</f>
        <v/>
      </c>
      <c r="K239" s="6">
        <f>IF(B239 &gt; MAX('04_LOG_FIELD_ENTRIES'!$B:$B), "", SUMIFS(J$2:J239, C$2:C239, C239))</f>
        <v/>
      </c>
      <c r="L239" s="6">
        <f>IF(K239="", "", I239-K239)</f>
        <v/>
      </c>
      <c r="M239" s="6">
        <f>IF(I239="", "", I239-G239)</f>
        <v/>
      </c>
      <c r="N239" s="21">
        <f>IF(I239="", "", IF(G239&gt;0, I239/G239, 1))</f>
        <v/>
      </c>
      <c r="O239" s="21">
        <f>IF(I239="", "", IF(K239&gt;0, I239/K239, 1))</f>
        <v/>
      </c>
      <c r="P239" s="2">
        <f>IF(I239="", "", IF(AND(N239&gt;=0.95, O239&gt;=0.95), "SALUDABLE", IF(N239&lt;0.9, "ALERTA RETRASO", "ALERTA SOBRECOSTO")))</f>
        <v/>
      </c>
    </row>
    <row r="240" ht="19.95" customHeight="1">
      <c r="A240" s="4" t="n">
        <v>60</v>
      </c>
      <c r="B240" s="31" t="n">
        <v>46294</v>
      </c>
      <c r="C240" s="2" t="inlineStr">
        <is>
          <t>WBS-300</t>
        </is>
      </c>
      <c r="D240" s="3" t="inlineStr">
        <is>
          <t>Red de Agua Potable y Conexiones Domiciliarias</t>
        </is>
      </c>
      <c r="E240" s="6">
        <f>SUM('01_PRESUPUESTO_CRONOGRAMA_BASE'!G10:G11)</f>
        <v/>
      </c>
      <c r="F240" s="6">
        <f>SUMIFS('02_CRONOGRAMA_PV_DIARIO'!E:E, '02_CRONOGRAMA_PV_DIARIO'!A:A, A240, '02_CRONOGRAMA_PV_DIARIO'!C:C, C240)</f>
        <v/>
      </c>
      <c r="G240" s="6">
        <f>SUMIFS(F$2:F240, C$2:C240, C240)</f>
        <v/>
      </c>
      <c r="H240" s="6">
        <f>IF(B240 &gt; MAX('04_LOG_FIELD_ENTRIES'!$B:$B), "", SUMIFS('04_LOG_FIELD_ENTRIES'!$J:$J, '04_LOG_FIELD_ENTRIES'!$B:$B, B240, '04_LOG_FIELD_ENTRIES'!$D:$D, C240, '04_LOG_FIELD_ENTRIES'!$K:$K, "EV_PRODUCCION"))</f>
        <v/>
      </c>
      <c r="I240" s="6">
        <f>IF(B240 &gt; MAX('04_LOG_FIELD_ENTRIES'!$B:$B), "", SUMIFS(H$2:H240, C$2:C240, C240))</f>
        <v/>
      </c>
      <c r="J240" s="6">
        <f>IF(B240 &gt; MAX('04_LOG_FIELD_ENTRIES'!$B:$B), "", SUMIFS('04_LOG_FIELD_ENTRIES'!$J:$J, '04_LOG_FIELD_ENTRIES'!$B:$B, B240, '04_LOG_FIELD_ENTRIES'!$D:$D, C240, '04_LOG_FIELD_ENTRIES'!$K:$K, "AC_*"))</f>
        <v/>
      </c>
      <c r="K240" s="6">
        <f>IF(B240 &gt; MAX('04_LOG_FIELD_ENTRIES'!$B:$B), "", SUMIFS(J$2:J240, C$2:C240, C240))</f>
        <v/>
      </c>
      <c r="L240" s="6">
        <f>IF(K240="", "", I240-K240)</f>
        <v/>
      </c>
      <c r="M240" s="6">
        <f>IF(I240="", "", I240-G240)</f>
        <v/>
      </c>
      <c r="N240" s="21">
        <f>IF(I240="", "", IF(G240&gt;0, I240/G240, 1))</f>
        <v/>
      </c>
      <c r="O240" s="21">
        <f>IF(I240="", "", IF(K240&gt;0, I240/K240, 1))</f>
        <v/>
      </c>
      <c r="P240" s="2">
        <f>IF(I240="", "", IF(AND(N240&gt;=0.95, O240&gt;=0.95), "SALUDABLE", IF(N240&lt;0.9, "ALERTA RETRASO", "ALERTA SOBRECOSTO")))</f>
        <v/>
      </c>
    </row>
    <row r="241" ht="19.95" customHeight="1">
      <c r="A241" s="4" t="n">
        <v>60</v>
      </c>
      <c r="B241" s="31" t="n">
        <v>46294</v>
      </c>
      <c r="C241" s="2" t="inlineStr">
        <is>
          <t>WBS-400</t>
        </is>
      </c>
      <c r="D241" s="3" t="inlineStr">
        <is>
          <t>Pruebas Hidráulicas, Desinfección y Entrega</t>
        </is>
      </c>
      <c r="E241" s="6">
        <f>SUM('01_PRESUPUESTO_CRONOGRAMA_BASE'!G12:G12)</f>
        <v/>
      </c>
      <c r="F241" s="6">
        <f>SUMIFS('02_CRONOGRAMA_PV_DIARIO'!E:E, '02_CRONOGRAMA_PV_DIARIO'!A:A, A241, '02_CRONOGRAMA_PV_DIARIO'!C:C, C241)</f>
        <v/>
      </c>
      <c r="G241" s="6">
        <f>SUMIFS(F$2:F241, C$2:C241, C241)</f>
        <v/>
      </c>
      <c r="H241" s="6">
        <f>IF(B241 &gt; MAX('04_LOG_FIELD_ENTRIES'!$B:$B), "", SUMIFS('04_LOG_FIELD_ENTRIES'!$J:$J, '04_LOG_FIELD_ENTRIES'!$B:$B, B241, '04_LOG_FIELD_ENTRIES'!$D:$D, C241, '04_LOG_FIELD_ENTRIES'!$K:$K, "EV_PRODUCCION"))</f>
        <v/>
      </c>
      <c r="I241" s="6">
        <f>IF(B241 &gt; MAX('04_LOG_FIELD_ENTRIES'!$B:$B), "", SUMIFS(H$2:H241, C$2:C241, C241))</f>
        <v/>
      </c>
      <c r="J241" s="6">
        <f>IF(B241 &gt; MAX('04_LOG_FIELD_ENTRIES'!$B:$B), "", SUMIFS('04_LOG_FIELD_ENTRIES'!$J:$J, '04_LOG_FIELD_ENTRIES'!$B:$B, B241, '04_LOG_FIELD_ENTRIES'!$D:$D, C241, '04_LOG_FIELD_ENTRIES'!$K:$K, "AC_*"))</f>
        <v/>
      </c>
      <c r="K241" s="6">
        <f>IF(B241 &gt; MAX('04_LOG_FIELD_ENTRIES'!$B:$B), "", SUMIFS(J$2:J241, C$2:C241, C241))</f>
        <v/>
      </c>
      <c r="L241" s="6">
        <f>IF(K241="", "", I241-K241)</f>
        <v/>
      </c>
      <c r="M241" s="6">
        <f>IF(I241="", "", I241-G241)</f>
        <v/>
      </c>
      <c r="N241" s="21">
        <f>IF(I241="", "", IF(G241&gt;0, I241/G241, 1))</f>
        <v/>
      </c>
      <c r="O241" s="21">
        <f>IF(I241="", "", IF(K241&gt;0, I241/K241, 1))</f>
        <v/>
      </c>
      <c r="P241" s="2">
        <f>IF(I241="", "", IF(AND(N241&gt;=0.95, O241&gt;=0.95), "SALUDABLE", IF(N241&lt;0.9, "ALERTA RETRASO", "ALERTA SOBRECOSTO")))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3"/>
  <sheetViews>
    <sheetView tabSelected="1" workbookViewId="0">
      <selection activeCell="F9" sqref="F9"/>
    </sheetView>
  </sheetViews>
  <sheetFormatPr baseColWidth="10" defaultColWidth="8.88671875" defaultRowHeight="14.4"/>
  <cols>
    <col width="14" customWidth="1" min="1" max="1"/>
    <col width="12" customWidth="1" min="2" max="2"/>
    <col width="18" customWidth="1" min="3" max="3"/>
    <col width="14" customWidth="1" min="4" max="5"/>
    <col width="36" customWidth="1" min="6" max="6"/>
    <col width="12" customWidth="1" min="7" max="7"/>
    <col width="8" customWidth="1" min="8" max="8"/>
    <col width="14" customWidth="1" min="9" max="9"/>
    <col width="15" customWidth="1" min="10" max="10"/>
    <col width="14" customWidth="1" min="11" max="12"/>
  </cols>
  <sheetData>
    <row r="1" ht="36" customHeight="1">
      <c r="A1" s="1" t="inlineStr">
        <is>
          <t>ID Registro</t>
        </is>
      </c>
      <c r="B1" s="1" t="inlineStr">
        <is>
          <t>Fecha</t>
        </is>
      </c>
      <c r="C1" s="1" t="inlineStr">
        <is>
          <t>Rol Responsable</t>
        </is>
      </c>
      <c r="D1" s="1" t="inlineStr">
        <is>
          <t>Código WBS</t>
        </is>
      </c>
      <c r="E1" s="1" t="inlineStr">
        <is>
          <t>Código Recurso/Partida</t>
        </is>
      </c>
      <c r="F1" s="1" t="inlineStr">
        <is>
          <t>Descripción / Detalle</t>
        </is>
      </c>
      <c r="G1" s="1" t="inlineStr">
        <is>
          <t>Cantidad Campo</t>
        </is>
      </c>
      <c r="H1" s="1" t="inlineStr">
        <is>
          <t>Unidad</t>
        </is>
      </c>
      <c r="I1" s="1" t="inlineStr">
        <is>
          <t>P.U. (Busca en Maestro)</t>
        </is>
      </c>
      <c r="J1" s="1" t="inlineStr">
        <is>
          <t>Subtotal Monto (S/)</t>
        </is>
      </c>
      <c r="K1" s="1" t="inlineStr">
        <is>
          <t>Categoría EVM</t>
        </is>
      </c>
      <c r="L1" s="1" t="inlineStr">
        <is>
          <t>Origen HTML</t>
        </is>
      </c>
    </row>
    <row r="2" ht="19.95" customHeight="1">
      <c r="A2" s="30" t="inlineStr">
        <is>
          <t>LOG-20260801-001</t>
        </is>
      </c>
      <c r="B2" s="32" t="n">
        <v>46235</v>
      </c>
      <c r="C2" t="inlineStr">
        <is>
          <t>Tareador (Bildin)</t>
        </is>
      </c>
      <c r="D2" s="30" t="inlineStr">
        <is>
          <t>WBS-100</t>
        </is>
      </c>
      <c r="E2" s="30" t="inlineStr">
        <is>
          <t>MO_CAPATAZ</t>
        </is>
      </c>
      <c r="F2" t="inlineStr">
        <is>
          <t>CAPATAZ</t>
        </is>
      </c>
      <c r="G2" t="n">
        <v>8</v>
      </c>
      <c r="H2" s="30" t="inlineStr">
        <is>
          <t>hh</t>
        </is>
      </c>
      <c r="I2">
        <f>IFERROR(VLOOKUP(E2, '05_MAESTRO_RECURSOS'!A:D, 4, FALSE), IFERROR(VLOOKUP(E2, '06_MAESTRO_PARTIDAS_EV'!B:F, 5, FALSE), 0))</f>
        <v/>
      </c>
      <c r="J2">
        <f>ROUND(G2 * I2, 2)</f>
        <v/>
      </c>
      <c r="K2" t="inlineStr">
        <is>
          <t>AC_MO</t>
        </is>
      </c>
      <c r="L2" t="inlineStr">
        <is>
          <t>tareador.html</t>
        </is>
      </c>
    </row>
    <row r="3" ht="19.95" customHeight="1">
      <c r="A3" s="30" t="inlineStr">
        <is>
          <t>LOG-20260801-002</t>
        </is>
      </c>
      <c r="B3" s="32" t="n">
        <v>46235</v>
      </c>
      <c r="C3" t="inlineStr">
        <is>
          <t>Tareador (Bildin)</t>
        </is>
      </c>
      <c r="D3" s="30" t="inlineStr">
        <is>
          <t>WBS-100</t>
        </is>
      </c>
      <c r="E3" s="30" t="inlineStr">
        <is>
          <t>MO_OPERARIO</t>
        </is>
      </c>
      <c r="F3" t="inlineStr">
        <is>
          <t>OPERARIO</t>
        </is>
      </c>
      <c r="G3" t="n">
        <v>16</v>
      </c>
      <c r="H3" s="30" t="inlineStr">
        <is>
          <t>hh</t>
        </is>
      </c>
      <c r="I3">
        <f>IFERROR(VLOOKUP(E3, '05_MAESTRO_RECURSOS'!A:D, 4, FALSE), IFERROR(VLOOKUP(E3, '06_MAESTRO_PARTIDAS_EV'!B:F, 5, FALSE), 0))</f>
        <v/>
      </c>
      <c r="J3">
        <f>ROUND(G3 * I3, 2)</f>
        <v/>
      </c>
      <c r="K3" t="inlineStr">
        <is>
          <t>AC_MO</t>
        </is>
      </c>
      <c r="L3" t="inlineStr">
        <is>
          <t>tareador.html</t>
        </is>
      </c>
    </row>
    <row r="4" ht="19.95" customHeight="1">
      <c r="A4" s="30" t="inlineStr">
        <is>
          <t>LOG-20260801-003</t>
        </is>
      </c>
      <c r="B4" s="32" t="n">
        <v>46235</v>
      </c>
      <c r="C4" t="inlineStr">
        <is>
          <t>Tareador (Bildin)</t>
        </is>
      </c>
      <c r="D4" s="30" t="inlineStr">
        <is>
          <t>WBS-100</t>
        </is>
      </c>
      <c r="E4" s="30" t="inlineStr">
        <is>
          <t>MO_PEON</t>
        </is>
      </c>
      <c r="F4" t="inlineStr">
        <is>
          <t>PEON</t>
        </is>
      </c>
      <c r="G4" t="n">
        <v>32</v>
      </c>
      <c r="H4" s="30" t="inlineStr">
        <is>
          <t>hh</t>
        </is>
      </c>
      <c r="I4">
        <f>IFERROR(VLOOKUP(E4, '05_MAESTRO_RECURSOS'!A:D, 4, FALSE), IFERROR(VLOOKUP(E4, '06_MAESTRO_PARTIDAS_EV'!B:F, 5, FALSE), 0))</f>
        <v/>
      </c>
      <c r="J4">
        <f>ROUND(G4 * I4, 2)</f>
        <v/>
      </c>
      <c r="K4" t="inlineStr">
        <is>
          <t>AC_MO</t>
        </is>
      </c>
      <c r="L4" t="inlineStr">
        <is>
          <t>tareador.html</t>
        </is>
      </c>
    </row>
    <row r="5" ht="19.95" customHeight="1">
      <c r="A5" s="30" t="inlineStr">
        <is>
          <t>LOG-20260801-004</t>
        </is>
      </c>
      <c r="B5" s="32" t="n">
        <v>46235</v>
      </c>
      <c r="C5" t="inlineStr">
        <is>
          <t>Almacenero</t>
        </is>
      </c>
      <c r="D5" s="30" t="inlineStr">
        <is>
          <t>WBS-100</t>
        </is>
      </c>
      <c r="E5" s="30" t="inlineStr">
        <is>
          <t>MAT_ESTACA</t>
        </is>
      </c>
      <c r="F5" t="inlineStr">
        <is>
          <t>ESTACAS Y MADERA PARA TRAZO</t>
        </is>
      </c>
      <c r="G5" t="n">
        <v>150</v>
      </c>
      <c r="H5" s="30" t="inlineStr">
        <is>
          <t>pza</t>
        </is>
      </c>
      <c r="I5">
        <f>IFERROR(VLOOKUP(E5, '05_MAESTRO_RECURSOS'!A:D, 4, FALSE), IFERROR(VLOOKUP(E5, '06_MAESTRO_PARTIDAS_EV'!B:F, 5, FALSE), 0))</f>
        <v/>
      </c>
      <c r="J5">
        <f>ROUND(G5 * I5, 2)</f>
        <v/>
      </c>
      <c r="K5" t="inlineStr">
        <is>
          <t>AC_MAT</t>
        </is>
      </c>
      <c r="L5" t="inlineStr">
        <is>
          <t>almacenero.html</t>
        </is>
      </c>
    </row>
    <row r="6" ht="19.95" customHeight="1">
      <c r="A6" s="30" t="inlineStr">
        <is>
          <t>LOG-20260801-005</t>
        </is>
      </c>
      <c r="B6" s="32" t="n">
        <v>46235</v>
      </c>
      <c r="C6" t="inlineStr">
        <is>
          <t>Almacenero</t>
        </is>
      </c>
      <c r="D6" s="30" t="inlineStr">
        <is>
          <t>WBS-100</t>
        </is>
      </c>
      <c r="E6" s="30" t="inlineStr">
        <is>
          <t>MAT_PINTURA</t>
        </is>
      </c>
      <c r="F6" t="inlineStr">
        <is>
          <t>PINTURA SPRAY MARCADOR ZANJA</t>
        </is>
      </c>
      <c r="G6" t="n">
        <v>10</v>
      </c>
      <c r="H6" s="30" t="inlineStr">
        <is>
          <t>gla</t>
        </is>
      </c>
      <c r="I6">
        <f>IFERROR(VLOOKUP(E6, '05_MAESTRO_RECURSOS'!A:D, 4, FALSE), IFERROR(VLOOKUP(E6, '06_MAESTRO_PARTIDAS_EV'!B:F, 5, FALSE), 0))</f>
        <v/>
      </c>
      <c r="J6">
        <f>ROUND(G6 * I6, 2)</f>
        <v/>
      </c>
      <c r="K6" t="inlineStr">
        <is>
          <t>AC_MAT</t>
        </is>
      </c>
      <c r="L6" t="inlineStr">
        <is>
          <t>almacenero.html</t>
        </is>
      </c>
    </row>
    <row r="7" ht="19.95" customHeight="1">
      <c r="A7" s="30" t="inlineStr">
        <is>
          <t>LOG-20260801-006</t>
        </is>
      </c>
      <c r="B7" s="32" t="n">
        <v>46235</v>
      </c>
      <c r="C7" t="inlineStr">
        <is>
          <t>Almacenero</t>
        </is>
      </c>
      <c r="D7" s="30" t="inlineStr">
        <is>
          <t>WBS-100</t>
        </is>
      </c>
      <c r="E7" s="30" t="inlineStr">
        <is>
          <t>MAT_CORDEL</t>
        </is>
      </c>
      <c r="F7" t="inlineStr">
        <is>
          <t>CORDEL / NYLON</t>
        </is>
      </c>
      <c r="G7" t="n">
        <v>100</v>
      </c>
      <c r="H7" s="30" t="inlineStr">
        <is>
          <t>m</t>
        </is>
      </c>
      <c r="I7">
        <f>IFERROR(VLOOKUP(E7, '05_MAESTRO_RECURSOS'!A:D, 4, FALSE), IFERROR(VLOOKUP(E7, '06_MAESTRO_PARTIDAS_EV'!B:F, 5, FALSE), 0))</f>
        <v/>
      </c>
      <c r="J7">
        <f>ROUND(G7 * I7, 2)</f>
        <v/>
      </c>
      <c r="K7" t="inlineStr">
        <is>
          <t>AC_MAT</t>
        </is>
      </c>
      <c r="L7" t="inlineStr">
        <is>
          <t>almacenero.html</t>
        </is>
      </c>
    </row>
    <row r="8" ht="19.95" customHeight="1">
      <c r="A8" s="30" t="inlineStr">
        <is>
          <t>LOG-20260801-007</t>
        </is>
      </c>
      <c r="B8" s="32" t="n">
        <v>46235</v>
      </c>
      <c r="C8" t="inlineStr">
        <is>
          <t>Administradora</t>
        </is>
      </c>
      <c r="D8" s="30" t="inlineStr">
        <is>
          <t>WBS-100</t>
        </is>
      </c>
      <c r="E8" s="30" t="inlineStr">
        <is>
          <t>SUB_MOVILIZACION</t>
        </is>
      </c>
      <c r="F8" t="inlineStr">
        <is>
          <t>MOVILIZACION MAQUINARIA</t>
        </is>
      </c>
      <c r="G8" t="n">
        <v>1</v>
      </c>
      <c r="H8" s="30" t="inlineStr">
        <is>
          <t>glb</t>
        </is>
      </c>
      <c r="I8">
        <f>IFERROR(VLOOKUP(E8, '05_MAESTRO_RECURSOS'!A:D, 4, FALSE), IFERROR(VLOOKUP(E8, '06_MAESTRO_PARTIDAS_EV'!B:F, 5, FALSE), 0))</f>
        <v/>
      </c>
      <c r="J8">
        <f>ROUND(G8 * I8, 2)</f>
        <v/>
      </c>
      <c r="K8" t="inlineStr">
        <is>
          <t>AC_SUB</t>
        </is>
      </c>
      <c r="L8" t="inlineStr">
        <is>
          <t>administradora.html</t>
        </is>
      </c>
    </row>
    <row r="9" ht="19.95" customHeight="1">
      <c r="A9" s="30" t="inlineStr">
        <is>
          <t>LOG-20260801-008</t>
        </is>
      </c>
      <c r="B9" s="32" t="n">
        <v>46235</v>
      </c>
      <c r="C9" t="inlineStr">
        <is>
          <t>Administradora</t>
        </is>
      </c>
      <c r="D9" s="30" t="inlineStr">
        <is>
          <t>WBS-100</t>
        </is>
      </c>
      <c r="E9" s="30" t="inlineStr">
        <is>
          <t>EQ_ESTACION_TOTAL</t>
        </is>
      </c>
      <c r="F9" t="inlineStr">
        <is>
          <t>ESTACION TOTAL TOPOGRAFICA</t>
        </is>
      </c>
      <c r="G9" t="n">
        <v>8</v>
      </c>
      <c r="H9" s="30" t="inlineStr">
        <is>
          <t>hm</t>
        </is>
      </c>
      <c r="I9">
        <f>IFERROR(VLOOKUP(E9, '05_MAESTRO_RECURSOS'!A:D, 4, FALSE), IFERROR(VLOOKUP(E9, '06_MAESTRO_PARTIDAS_EV'!B:F, 5, FALSE), 0))</f>
        <v/>
      </c>
      <c r="J9">
        <f>ROUND(G9 * I9, 2)</f>
        <v/>
      </c>
      <c r="K9" t="inlineStr">
        <is>
          <t>AC_EQP</t>
        </is>
      </c>
      <c r="L9" t="inlineStr">
        <is>
          <t>administradora.html</t>
        </is>
      </c>
    </row>
    <row r="10" ht="19.95" customHeight="1">
      <c r="A10" s="30" t="inlineStr">
        <is>
          <t>LOG-20260801-009</t>
        </is>
      </c>
      <c r="B10" s="32" t="n">
        <v>46235</v>
      </c>
      <c r="C10" t="inlineStr">
        <is>
          <t>Ing. de Campo</t>
        </is>
      </c>
      <c r="D10" s="30" t="inlineStr">
        <is>
          <t>WBS-100</t>
        </is>
      </c>
      <c r="E10" s="30" t="inlineStr">
        <is>
          <t>01.01</t>
        </is>
      </c>
      <c r="F10" t="inlineStr">
        <is>
          <t>OBRAS PRELIMINARES Y TRABAJOS PROVISIONALES</t>
        </is>
      </c>
      <c r="G10" t="n">
        <v>0.33</v>
      </c>
      <c r="H10" s="30" t="inlineStr">
        <is>
          <t>GLB</t>
        </is>
      </c>
      <c r="I10">
        <f>IFERROR(VLOOKUP(E10, '05_MAESTRO_RECURSOS'!A:D, 4, FALSE), IFERROR(VLOOKUP(E10, '06_MAESTRO_PARTIDAS_EV'!B:F, 5, FALSE), 0))</f>
        <v/>
      </c>
      <c r="J10">
        <f>ROUND(G10 * I10, 2)</f>
        <v/>
      </c>
      <c r="K10" t="inlineStr">
        <is>
          <t>EV_PRODUCCION</t>
        </is>
      </c>
      <c r="L10" t="inlineStr">
        <is>
          <t>ing_campo.html</t>
        </is>
      </c>
    </row>
    <row r="11" ht="19.95" customHeight="1">
      <c r="A11" s="30" t="inlineStr">
        <is>
          <t>LOG-20260801-010</t>
        </is>
      </c>
      <c r="B11" s="32" t="n">
        <v>46235</v>
      </c>
      <c r="C11" t="inlineStr">
        <is>
          <t>Ing. de Campo</t>
        </is>
      </c>
      <c r="D11" s="30" t="inlineStr">
        <is>
          <t>WBS-100</t>
        </is>
      </c>
      <c r="E11" s="30" t="inlineStr">
        <is>
          <t>01.02.01</t>
        </is>
      </c>
      <c r="F11" t="inlineStr">
        <is>
          <t>TRAZO, NIVELACION Y REPLANTEO DE ZANJAS</t>
        </is>
      </c>
      <c r="G11" t="n">
        <v>800</v>
      </c>
      <c r="H11" s="30" t="inlineStr">
        <is>
          <t>M</t>
        </is>
      </c>
      <c r="I11">
        <f>IFERROR(VLOOKUP(E11, '05_MAESTRO_RECURSOS'!A:D, 4, FALSE), IFERROR(VLOOKUP(E11, '06_MAESTRO_PARTIDAS_EV'!B:F, 5, FALSE), 0))</f>
        <v/>
      </c>
      <c r="J11">
        <f>ROUND(G11 * I11, 2)</f>
        <v/>
      </c>
      <c r="K11" t="inlineStr">
        <is>
          <t>EV_PRODUCCION</t>
        </is>
      </c>
      <c r="L11" t="inlineStr">
        <is>
          <t>ing_campo.html</t>
        </is>
      </c>
    </row>
    <row r="12" ht="19.95" customHeight="1">
      <c r="A12" s="30" t="inlineStr">
        <is>
          <t>LOG-20260802-011</t>
        </is>
      </c>
      <c r="B12" s="32" t="n">
        <v>46236</v>
      </c>
      <c r="C12" t="inlineStr">
        <is>
          <t>Tareador (Bildin)</t>
        </is>
      </c>
      <c r="D12" s="30" t="inlineStr">
        <is>
          <t>WBS-100</t>
        </is>
      </c>
      <c r="E12" s="30" t="inlineStr">
        <is>
          <t>MO_CAPATAZ</t>
        </is>
      </c>
      <c r="F12" t="inlineStr">
        <is>
          <t>CAPATAZ</t>
        </is>
      </c>
      <c r="G12" t="n">
        <v>8</v>
      </c>
      <c r="H12" s="30" t="inlineStr">
        <is>
          <t>hh</t>
        </is>
      </c>
      <c r="I12">
        <f>IFERROR(VLOOKUP(E12, '05_MAESTRO_RECURSOS'!A:D, 4, FALSE), IFERROR(VLOOKUP(E12, '06_MAESTRO_PARTIDAS_EV'!B:F, 5, FALSE), 0))</f>
        <v/>
      </c>
      <c r="J12">
        <f>ROUND(G12 * I12, 2)</f>
        <v/>
      </c>
      <c r="K12" t="inlineStr">
        <is>
          <t>AC_MO</t>
        </is>
      </c>
      <c r="L12" t="inlineStr">
        <is>
          <t>tareador.html</t>
        </is>
      </c>
    </row>
    <row r="13" ht="19.95" customHeight="1">
      <c r="A13" s="30" t="inlineStr">
        <is>
          <t>LOG-20260802-012</t>
        </is>
      </c>
      <c r="B13" s="32" t="n">
        <v>46236</v>
      </c>
      <c r="C13" t="inlineStr">
        <is>
          <t>Tareador (Bildin)</t>
        </is>
      </c>
      <c r="D13" s="30" t="inlineStr">
        <is>
          <t>WBS-100</t>
        </is>
      </c>
      <c r="E13" s="30" t="inlineStr">
        <is>
          <t>MO_OPERARIO</t>
        </is>
      </c>
      <c r="F13" t="inlineStr">
        <is>
          <t>OPERARIO</t>
        </is>
      </c>
      <c r="G13" t="n">
        <v>16</v>
      </c>
      <c r="H13" s="30" t="inlineStr">
        <is>
          <t>hh</t>
        </is>
      </c>
      <c r="I13">
        <f>IFERROR(VLOOKUP(E13, '05_MAESTRO_RECURSOS'!A:D, 4, FALSE), IFERROR(VLOOKUP(E13, '06_MAESTRO_PARTIDAS_EV'!B:F, 5, FALSE), 0))</f>
        <v/>
      </c>
      <c r="J13">
        <f>ROUND(G13 * I13, 2)</f>
        <v/>
      </c>
      <c r="K13" t="inlineStr">
        <is>
          <t>AC_MO</t>
        </is>
      </c>
      <c r="L13" t="inlineStr">
        <is>
          <t>tareador.html</t>
        </is>
      </c>
    </row>
    <row r="14" ht="19.95" customHeight="1">
      <c r="A14" s="30" t="inlineStr">
        <is>
          <t>LOG-20260802-013</t>
        </is>
      </c>
      <c r="B14" s="32" t="n">
        <v>46236</v>
      </c>
      <c r="C14" t="inlineStr">
        <is>
          <t>Tareador (Bildin)</t>
        </is>
      </c>
      <c r="D14" s="30" t="inlineStr">
        <is>
          <t>WBS-100</t>
        </is>
      </c>
      <c r="E14" s="30" t="inlineStr">
        <is>
          <t>MO_PEON</t>
        </is>
      </c>
      <c r="F14" t="inlineStr">
        <is>
          <t>PEON</t>
        </is>
      </c>
      <c r="G14" t="n">
        <v>32</v>
      </c>
      <c r="H14" s="30" t="inlineStr">
        <is>
          <t>hh</t>
        </is>
      </c>
      <c r="I14">
        <f>IFERROR(VLOOKUP(E14, '05_MAESTRO_RECURSOS'!A:D, 4, FALSE), IFERROR(VLOOKUP(E14, '06_MAESTRO_PARTIDAS_EV'!B:F, 5, FALSE), 0))</f>
        <v/>
      </c>
      <c r="J14">
        <f>ROUND(G14 * I14, 2)</f>
        <v/>
      </c>
      <c r="K14" t="inlineStr">
        <is>
          <t>AC_MO</t>
        </is>
      </c>
      <c r="L14" t="inlineStr">
        <is>
          <t>tareador.html</t>
        </is>
      </c>
    </row>
    <row r="15" ht="19.95" customHeight="1">
      <c r="A15" s="30" t="inlineStr">
        <is>
          <t>LOG-20260802-014</t>
        </is>
      </c>
      <c r="B15" s="32" t="n">
        <v>46236</v>
      </c>
      <c r="C15" t="inlineStr">
        <is>
          <t>Administradora</t>
        </is>
      </c>
      <c r="D15" s="30" t="inlineStr">
        <is>
          <t>WBS-100</t>
        </is>
      </c>
      <c r="E15" s="30" t="inlineStr">
        <is>
          <t>EQ_ESTACION_TOTAL</t>
        </is>
      </c>
      <c r="F15" t="inlineStr">
        <is>
          <t>ESTACION TOTAL TOPOGRAFICA</t>
        </is>
      </c>
      <c r="G15" t="n">
        <v>8</v>
      </c>
      <c r="H15" s="30" t="inlineStr">
        <is>
          <t>hm</t>
        </is>
      </c>
      <c r="I15">
        <f>IFERROR(VLOOKUP(E15, '05_MAESTRO_RECURSOS'!A:D, 4, FALSE), IFERROR(VLOOKUP(E15, '06_MAESTRO_PARTIDAS_EV'!B:F, 5, FALSE), 0))</f>
        <v/>
      </c>
      <c r="J15">
        <f>ROUND(G15 * I15, 2)</f>
        <v/>
      </c>
      <c r="K15" t="inlineStr">
        <is>
          <t>AC_EQP</t>
        </is>
      </c>
      <c r="L15" t="inlineStr">
        <is>
          <t>administradora.html</t>
        </is>
      </c>
    </row>
    <row r="16" ht="19.95" customHeight="1">
      <c r="A16" s="30" t="inlineStr">
        <is>
          <t>LOG-20260802-015</t>
        </is>
      </c>
      <c r="B16" s="32" t="n">
        <v>46236</v>
      </c>
      <c r="C16" t="inlineStr">
        <is>
          <t>Ing. de Campo</t>
        </is>
      </c>
      <c r="D16" s="30" t="inlineStr">
        <is>
          <t>WBS-100</t>
        </is>
      </c>
      <c r="E16" s="30" t="inlineStr">
        <is>
          <t>01.01</t>
        </is>
      </c>
      <c r="F16" t="inlineStr">
        <is>
          <t>OBRAS PRELIMINARES Y TRABAJOS PROVISIONALES</t>
        </is>
      </c>
      <c r="G16" t="n">
        <v>0.33</v>
      </c>
      <c r="H16" s="30" t="inlineStr">
        <is>
          <t>GLB</t>
        </is>
      </c>
      <c r="I16">
        <f>IFERROR(VLOOKUP(E16, '05_MAESTRO_RECURSOS'!A:D, 4, FALSE), IFERROR(VLOOKUP(E16, '06_MAESTRO_PARTIDAS_EV'!B:F, 5, FALSE), 0))</f>
        <v/>
      </c>
      <c r="J16">
        <f>ROUND(G16 * I16, 2)</f>
        <v/>
      </c>
      <c r="K16" t="inlineStr">
        <is>
          <t>EV_PRODUCCION</t>
        </is>
      </c>
      <c r="L16" t="inlineStr">
        <is>
          <t>ing_campo.html</t>
        </is>
      </c>
    </row>
    <row r="17" ht="19.95" customHeight="1">
      <c r="A17" s="30" t="inlineStr">
        <is>
          <t>LOG-20260802-016</t>
        </is>
      </c>
      <c r="B17" s="32" t="n">
        <v>46236</v>
      </c>
      <c r="C17" t="inlineStr">
        <is>
          <t>Ing. de Campo</t>
        </is>
      </c>
      <c r="D17" s="30" t="inlineStr">
        <is>
          <t>WBS-100</t>
        </is>
      </c>
      <c r="E17" s="30" t="inlineStr">
        <is>
          <t>01.02.01</t>
        </is>
      </c>
      <c r="F17" t="inlineStr">
        <is>
          <t>TRAZO, NIVELACION Y REPLANTEO DE ZANJAS</t>
        </is>
      </c>
      <c r="G17" t="n">
        <v>800</v>
      </c>
      <c r="H17" s="30" t="inlineStr">
        <is>
          <t>M</t>
        </is>
      </c>
      <c r="I17">
        <f>IFERROR(VLOOKUP(E17, '05_MAESTRO_RECURSOS'!A:D, 4, FALSE), IFERROR(VLOOKUP(E17, '06_MAESTRO_PARTIDAS_EV'!B:F, 5, FALSE), 0))</f>
        <v/>
      </c>
      <c r="J17">
        <f>ROUND(G17 * I17, 2)</f>
        <v/>
      </c>
      <c r="K17" t="inlineStr">
        <is>
          <t>EV_PRODUCCION</t>
        </is>
      </c>
      <c r="L17" t="inlineStr">
        <is>
          <t>ing_campo.html</t>
        </is>
      </c>
    </row>
    <row r="18" ht="19.95" customHeight="1">
      <c r="A18" s="30" t="inlineStr">
        <is>
          <t>LOG-20260802-017</t>
        </is>
      </c>
      <c r="B18" s="32" t="n">
        <v>46236</v>
      </c>
      <c r="C18" t="inlineStr">
        <is>
          <t>Tareador (Bildin)</t>
        </is>
      </c>
      <c r="D18" s="30" t="inlineStr">
        <is>
          <t>WBS-200</t>
        </is>
      </c>
      <c r="E18" s="30" t="inlineStr">
        <is>
          <t>MO_CAPATAZ</t>
        </is>
      </c>
      <c r="F18" t="inlineStr">
        <is>
          <t>CAPATAZ</t>
        </is>
      </c>
      <c r="G18" t="n">
        <v>8</v>
      </c>
      <c r="H18" s="30" t="inlineStr">
        <is>
          <t>hh</t>
        </is>
      </c>
      <c r="I18">
        <f>IFERROR(VLOOKUP(E18, '05_MAESTRO_RECURSOS'!A:D, 4, FALSE), IFERROR(VLOOKUP(E18, '06_MAESTRO_PARTIDAS_EV'!B:F, 5, FALSE), 0))</f>
        <v/>
      </c>
      <c r="J18">
        <f>ROUND(G18 * I18, 2)</f>
        <v/>
      </c>
      <c r="K18" t="inlineStr">
        <is>
          <t>AC_MO</t>
        </is>
      </c>
      <c r="L18" t="inlineStr">
        <is>
          <t>tareador.html</t>
        </is>
      </c>
    </row>
    <row r="19" ht="19.95" customHeight="1">
      <c r="A19" s="30" t="inlineStr">
        <is>
          <t>LOG-20260802-018</t>
        </is>
      </c>
      <c r="B19" s="32" t="n">
        <v>46236</v>
      </c>
      <c r="C19" t="inlineStr">
        <is>
          <t>Tareador (Bildin)</t>
        </is>
      </c>
      <c r="D19" s="30" t="inlineStr">
        <is>
          <t>WBS-200</t>
        </is>
      </c>
      <c r="E19" s="30" t="inlineStr">
        <is>
          <t>MO_OPERARIO</t>
        </is>
      </c>
      <c r="F19" t="inlineStr">
        <is>
          <t>OPERARIO</t>
        </is>
      </c>
      <c r="G19" t="n">
        <v>24</v>
      </c>
      <c r="H19" s="30" t="inlineStr">
        <is>
          <t>hh</t>
        </is>
      </c>
      <c r="I19">
        <f>IFERROR(VLOOKUP(E19, '05_MAESTRO_RECURSOS'!A:D, 4, FALSE), IFERROR(VLOOKUP(E19, '06_MAESTRO_PARTIDAS_EV'!B:F, 5, FALSE), 0))</f>
        <v/>
      </c>
      <c r="J19">
        <f>ROUND(G19 * I19, 2)</f>
        <v/>
      </c>
      <c r="K19" t="inlineStr">
        <is>
          <t>AC_MO</t>
        </is>
      </c>
      <c r="L19" t="inlineStr">
        <is>
          <t>tareador.html</t>
        </is>
      </c>
    </row>
    <row r="20" ht="19.95" customHeight="1">
      <c r="A20" s="30" t="inlineStr">
        <is>
          <t>LOG-20260802-019</t>
        </is>
      </c>
      <c r="B20" s="32" t="n">
        <v>46236</v>
      </c>
      <c r="C20" t="inlineStr">
        <is>
          <t>Tareador (Bildin)</t>
        </is>
      </c>
      <c r="D20" s="30" t="inlineStr">
        <is>
          <t>WBS-200</t>
        </is>
      </c>
      <c r="E20" s="30" t="inlineStr">
        <is>
          <t>MO_OFICIAL</t>
        </is>
      </c>
      <c r="F20" t="inlineStr">
        <is>
          <t>OFICIAL</t>
        </is>
      </c>
      <c r="G20" t="n">
        <v>16</v>
      </c>
      <c r="H20" s="30" t="inlineStr">
        <is>
          <t>hh</t>
        </is>
      </c>
      <c r="I20">
        <f>IFERROR(VLOOKUP(E20, '05_MAESTRO_RECURSOS'!A:D, 4, FALSE), IFERROR(VLOOKUP(E20, '06_MAESTRO_PARTIDAS_EV'!B:F, 5, FALSE), 0))</f>
        <v/>
      </c>
      <c r="J20">
        <f>ROUND(G20 * I20, 2)</f>
        <v/>
      </c>
      <c r="K20" t="inlineStr">
        <is>
          <t>AC_MO</t>
        </is>
      </c>
      <c r="L20" t="inlineStr">
        <is>
          <t>tareador.html</t>
        </is>
      </c>
    </row>
    <row r="21" ht="19.95" customHeight="1">
      <c r="A21" s="30" t="inlineStr">
        <is>
          <t>LOG-20260802-020</t>
        </is>
      </c>
      <c r="B21" s="32" t="n">
        <v>46236</v>
      </c>
      <c r="C21" t="inlineStr">
        <is>
          <t>Tareador (Bildin)</t>
        </is>
      </c>
      <c r="D21" s="30" t="inlineStr">
        <is>
          <t>WBS-200</t>
        </is>
      </c>
      <c r="E21" s="30" t="inlineStr">
        <is>
          <t>MO_PEON</t>
        </is>
      </c>
      <c r="F21" t="inlineStr">
        <is>
          <t>PEON</t>
        </is>
      </c>
      <c r="G21" t="n">
        <v>64</v>
      </c>
      <c r="H21" s="30" t="inlineStr">
        <is>
          <t>hh</t>
        </is>
      </c>
      <c r="I21">
        <f>IFERROR(VLOOKUP(E21, '05_MAESTRO_RECURSOS'!A:D, 4, FALSE), IFERROR(VLOOKUP(E21, '06_MAESTRO_PARTIDAS_EV'!B:F, 5, FALSE), 0))</f>
        <v/>
      </c>
      <c r="J21">
        <f>ROUND(G21 * I21, 2)</f>
        <v/>
      </c>
      <c r="K21" t="inlineStr">
        <is>
          <t>AC_MO</t>
        </is>
      </c>
      <c r="L21" t="inlineStr">
        <is>
          <t>tareador.html</t>
        </is>
      </c>
    </row>
    <row r="22" ht="19.95" customHeight="1">
      <c r="A22" s="30" t="inlineStr">
        <is>
          <t>LOG-20260802-021</t>
        </is>
      </c>
      <c r="B22" s="32" t="n">
        <v>46236</v>
      </c>
      <c r="C22" t="inlineStr">
        <is>
          <t>Almacenero</t>
        </is>
      </c>
      <c r="D22" s="30" t="inlineStr">
        <is>
          <t>WBS-200</t>
        </is>
      </c>
      <c r="E22" s="30" t="inlineStr">
        <is>
          <t>MAT_ARENA_CAMAS</t>
        </is>
      </c>
      <c r="F22" t="inlineStr">
        <is>
          <t>ARENA FINA SELECCIONADA PARA CAMA</t>
        </is>
      </c>
      <c r="G22" t="n">
        <v>10</v>
      </c>
      <c r="H22" s="30" t="inlineStr">
        <is>
          <t>m3</t>
        </is>
      </c>
      <c r="I22">
        <f>IFERROR(VLOOKUP(E22, '05_MAESTRO_RECURSOS'!A:D, 4, FALSE), IFERROR(VLOOKUP(E22, '06_MAESTRO_PARTIDAS_EV'!B:F, 5, FALSE), 0))</f>
        <v/>
      </c>
      <c r="J22">
        <f>ROUND(G22 * I22, 2)</f>
        <v/>
      </c>
      <c r="K22" t="inlineStr">
        <is>
          <t>AC_MAT</t>
        </is>
      </c>
      <c r="L22" t="inlineStr">
        <is>
          <t>almacenero.html</t>
        </is>
      </c>
    </row>
    <row r="23" ht="19.95" customHeight="1">
      <c r="A23" s="30" t="inlineStr">
        <is>
          <t>LOG-20260802-022</t>
        </is>
      </c>
      <c r="B23" s="32" t="n">
        <v>46236</v>
      </c>
      <c r="C23" t="inlineStr">
        <is>
          <t>Almacenero</t>
        </is>
      </c>
      <c r="D23" s="30" t="inlineStr">
        <is>
          <t>WBS-200</t>
        </is>
      </c>
      <c r="E23" s="30" t="inlineStr">
        <is>
          <t>MAT_TUB_PVC_200</t>
        </is>
      </c>
      <c r="F23" t="inlineStr">
        <is>
          <t>TUBERIA PVC UF DN 200MM S-20 ALCANTARILLADO</t>
        </is>
      </c>
      <c r="G23" t="n">
        <v>120</v>
      </c>
      <c r="H23" s="30" t="inlineStr">
        <is>
          <t>m</t>
        </is>
      </c>
      <c r="I23">
        <f>IFERROR(VLOOKUP(E23, '05_MAESTRO_RECURSOS'!A:D, 4, FALSE), IFERROR(VLOOKUP(E23, '06_MAESTRO_PARTIDAS_EV'!B:F, 5, FALSE), 0))</f>
        <v/>
      </c>
      <c r="J23">
        <f>ROUND(G23 * I23, 2)</f>
        <v/>
      </c>
      <c r="K23" t="inlineStr">
        <is>
          <t>AC_MAT</t>
        </is>
      </c>
      <c r="L23" t="inlineStr">
        <is>
          <t>almacenero.html</t>
        </is>
      </c>
    </row>
    <row r="24" ht="19.95" customHeight="1">
      <c r="A24" s="30" t="inlineStr">
        <is>
          <t>LOG-20260802-023</t>
        </is>
      </c>
      <c r="B24" s="32" t="n">
        <v>46236</v>
      </c>
      <c r="C24" t="inlineStr">
        <is>
          <t>Almacenero</t>
        </is>
      </c>
      <c r="D24" s="30" t="inlineStr">
        <is>
          <t>WBS-200</t>
        </is>
      </c>
      <c r="E24" s="30" t="inlineStr">
        <is>
          <t>MAT_LUBRICANTE</t>
        </is>
      </c>
      <c r="F24" t="inlineStr">
        <is>
          <t>LUBRICANTE PARA TUBERIA</t>
        </is>
      </c>
      <c r="G24" t="n">
        <v>2</v>
      </c>
      <c r="H24" s="30" t="inlineStr">
        <is>
          <t>kg</t>
        </is>
      </c>
      <c r="I24">
        <f>IFERROR(VLOOKUP(E24, '05_MAESTRO_RECURSOS'!A:D, 4, FALSE), IFERROR(VLOOKUP(E24, '06_MAESTRO_PARTIDAS_EV'!B:F, 5, FALSE), 0))</f>
        <v/>
      </c>
      <c r="J24">
        <f>ROUND(G24 * I24, 2)</f>
        <v/>
      </c>
      <c r="K24" t="inlineStr">
        <is>
          <t>AC_MAT</t>
        </is>
      </c>
      <c r="L24" t="inlineStr">
        <is>
          <t>almacenero.html</t>
        </is>
      </c>
    </row>
    <row r="25" ht="19.95" customHeight="1">
      <c r="A25" s="30" t="inlineStr">
        <is>
          <t>LOG-20260802-024</t>
        </is>
      </c>
      <c r="B25" s="32" t="n">
        <v>46236</v>
      </c>
      <c r="C25" t="inlineStr">
        <is>
          <t>Administradora</t>
        </is>
      </c>
      <c r="D25" s="30" t="inlineStr">
        <is>
          <t>WBS-200</t>
        </is>
      </c>
      <c r="E25" s="30" t="inlineStr">
        <is>
          <t>EQ_EXCAVADORA</t>
        </is>
      </c>
      <c r="F25" t="inlineStr">
        <is>
          <t>EXCAVADORA ORUGAS 140 HP</t>
        </is>
      </c>
      <c r="G25" t="n">
        <v>8</v>
      </c>
      <c r="H25" s="30" t="inlineStr">
        <is>
          <t>hm</t>
        </is>
      </c>
      <c r="I25">
        <f>IFERROR(VLOOKUP(E25, '05_MAESTRO_RECURSOS'!A:D, 4, FALSE), IFERROR(VLOOKUP(E25, '06_MAESTRO_PARTIDAS_EV'!B:F, 5, FALSE), 0))</f>
        <v/>
      </c>
      <c r="J25">
        <f>ROUND(G25 * I25, 2)</f>
        <v/>
      </c>
      <c r="K25" t="inlineStr">
        <is>
          <t>AC_EQP</t>
        </is>
      </c>
      <c r="L25" t="inlineStr">
        <is>
          <t>administradora.html</t>
        </is>
      </c>
    </row>
    <row r="26" ht="19.95" customHeight="1">
      <c r="A26" s="30" t="inlineStr">
        <is>
          <t>LOG-20260802-025</t>
        </is>
      </c>
      <c r="B26" s="32" t="n">
        <v>46236</v>
      </c>
      <c r="C26" t="inlineStr">
        <is>
          <t>Administradora</t>
        </is>
      </c>
      <c r="D26" s="30" t="inlineStr">
        <is>
          <t>WBS-200</t>
        </is>
      </c>
      <c r="E26" s="30" t="inlineStr">
        <is>
          <t>EQ_PLANCHA</t>
        </is>
      </c>
      <c r="F26" t="inlineStr">
        <is>
          <t>PLANCHA COMPACTADORA 7 HP</t>
        </is>
      </c>
      <c r="G26" t="n">
        <v>8</v>
      </c>
      <c r="H26" s="30" t="inlineStr">
        <is>
          <t>hm</t>
        </is>
      </c>
      <c r="I26">
        <f>IFERROR(VLOOKUP(E26, '05_MAESTRO_RECURSOS'!A:D, 4, FALSE), IFERROR(VLOOKUP(E26, '06_MAESTRO_PARTIDAS_EV'!B:F, 5, FALSE), 0))</f>
        <v/>
      </c>
      <c r="J26">
        <f>ROUND(G26 * I26, 2)</f>
        <v/>
      </c>
      <c r="K26" t="inlineStr">
        <is>
          <t>AC_EQP</t>
        </is>
      </c>
      <c r="L26" t="inlineStr">
        <is>
          <t>administradora.html</t>
        </is>
      </c>
    </row>
    <row r="27" ht="19.95" customHeight="1">
      <c r="A27" s="30" t="inlineStr">
        <is>
          <t>LOG-20260802-026</t>
        </is>
      </c>
      <c r="B27" s="32" t="n">
        <v>46236</v>
      </c>
      <c r="C27" t="inlineStr">
        <is>
          <t>Administradora</t>
        </is>
      </c>
      <c r="D27" s="30" t="inlineStr">
        <is>
          <t>WBS-200</t>
        </is>
      </c>
      <c r="E27" s="30" t="inlineStr">
        <is>
          <t>EQ_RODILLO_CAMINANTE</t>
        </is>
      </c>
      <c r="F27" t="inlineStr">
        <is>
          <t>RODILLO VIBRATORIO 1.5 TN</t>
        </is>
      </c>
      <c r="G27" t="n">
        <v>8</v>
      </c>
      <c r="H27" s="30" t="inlineStr">
        <is>
          <t>hm</t>
        </is>
      </c>
      <c r="I27">
        <f>IFERROR(VLOOKUP(E27, '05_MAESTRO_RECURSOS'!A:D, 4, FALSE), IFERROR(VLOOKUP(E27, '06_MAESTRO_PARTIDAS_EV'!B:F, 5, FALSE), 0))</f>
        <v/>
      </c>
      <c r="J27">
        <f>ROUND(G27 * I27, 2)</f>
        <v/>
      </c>
      <c r="K27" t="inlineStr">
        <is>
          <t>AC_EQP</t>
        </is>
      </c>
      <c r="L27" t="inlineStr">
        <is>
          <t>administradora.html</t>
        </is>
      </c>
    </row>
    <row r="28" ht="19.95" customHeight="1">
      <c r="A28" s="30" t="inlineStr">
        <is>
          <t>LOG-20260802-027</t>
        </is>
      </c>
      <c r="B28" s="32" t="n">
        <v>46236</v>
      </c>
      <c r="C28" t="inlineStr">
        <is>
          <t>Ing. de Campo</t>
        </is>
      </c>
      <c r="D28" s="30" t="inlineStr">
        <is>
          <t>WBS-200</t>
        </is>
      </c>
      <c r="E28" s="30" t="inlineStr">
        <is>
          <t>01.02.02</t>
        </is>
      </c>
      <c r="F28" t="inlineStr">
        <is>
          <t>EXCAVACION DE ZANJA C/MAQUINA EN T. SEMIROCOSO</t>
        </is>
      </c>
      <c r="G28" t="n">
        <v>150</v>
      </c>
      <c r="H28" s="30" t="inlineStr">
        <is>
          <t>M3</t>
        </is>
      </c>
      <c r="I28">
        <f>IFERROR(VLOOKUP(E28, '05_MAESTRO_RECURSOS'!A:D, 4, FALSE), IFERROR(VLOOKUP(E28, '06_MAESTRO_PARTIDAS_EV'!B:F, 5, FALSE), 0))</f>
        <v/>
      </c>
      <c r="J28">
        <f>ROUND(G28 * I28, 2)</f>
        <v/>
      </c>
      <c r="K28" t="inlineStr">
        <is>
          <t>EV_PRODUCCION</t>
        </is>
      </c>
      <c r="L28" t="inlineStr">
        <is>
          <t>ing_campo.html</t>
        </is>
      </c>
    </row>
    <row r="29" ht="19.95" customHeight="1">
      <c r="A29" s="30" t="inlineStr">
        <is>
          <t>LOG-20260802-028</t>
        </is>
      </c>
      <c r="B29" s="32" t="n">
        <v>46236</v>
      </c>
      <c r="C29" t="inlineStr">
        <is>
          <t>Ing. de Campo</t>
        </is>
      </c>
      <c r="D29" s="30" t="inlineStr">
        <is>
          <t>WBS-200</t>
        </is>
      </c>
      <c r="E29" s="30" t="inlineStr">
        <is>
          <t>01.02.03</t>
        </is>
      </c>
      <c r="F29" t="inlineStr">
        <is>
          <t>CAMA DE APOYO H=0.10 M CON ARENA SELECCIONADA</t>
        </is>
      </c>
      <c r="G29" t="n">
        <v>120</v>
      </c>
      <c r="H29" s="30" t="inlineStr">
        <is>
          <t>M</t>
        </is>
      </c>
      <c r="I29">
        <f>IFERROR(VLOOKUP(E29, '05_MAESTRO_RECURSOS'!A:D, 4, FALSE), IFERROR(VLOOKUP(E29, '06_MAESTRO_PARTIDAS_EV'!B:F, 5, FALSE), 0))</f>
        <v/>
      </c>
      <c r="J29">
        <f>ROUND(G29 * I29, 2)</f>
        <v/>
      </c>
      <c r="K29" t="inlineStr">
        <is>
          <t>EV_PRODUCCION</t>
        </is>
      </c>
      <c r="L29" t="inlineStr">
        <is>
          <t>ing_campo.html</t>
        </is>
      </c>
    </row>
    <row r="30" ht="19.95" customHeight="1">
      <c r="A30" s="30" t="inlineStr">
        <is>
          <t>LOG-20260802-029</t>
        </is>
      </c>
      <c r="B30" s="32" t="n">
        <v>46236</v>
      </c>
      <c r="C30" t="inlineStr">
        <is>
          <t>Ing. de Campo</t>
        </is>
      </c>
      <c r="D30" s="30" t="inlineStr">
        <is>
          <t>WBS-200</t>
        </is>
      </c>
      <c r="E30" s="30" t="inlineStr">
        <is>
          <t>01.02.04</t>
        </is>
      </c>
      <c r="F30" t="inlineStr">
        <is>
          <t>SUMINISTRO E INSTALACION DE TUBERIA PVC DN 200MM S-20</t>
        </is>
      </c>
      <c r="G30" t="n">
        <v>120</v>
      </c>
      <c r="H30" s="30" t="inlineStr">
        <is>
          <t>M</t>
        </is>
      </c>
      <c r="I30">
        <f>IFERROR(VLOOKUP(E30, '05_MAESTRO_RECURSOS'!A:D, 4, FALSE), IFERROR(VLOOKUP(E30, '06_MAESTRO_PARTIDAS_EV'!B:F, 5, FALSE), 0))</f>
        <v/>
      </c>
      <c r="J30">
        <f>ROUND(G30 * I30, 2)</f>
        <v/>
      </c>
      <c r="K30" t="inlineStr">
        <is>
          <t>EV_PRODUCCION</t>
        </is>
      </c>
      <c r="L30" t="inlineStr">
        <is>
          <t>ing_campo.html</t>
        </is>
      </c>
    </row>
    <row r="31" ht="19.95" customHeight="1">
      <c r="A31" s="30" t="inlineStr">
        <is>
          <t>LOG-20260802-030</t>
        </is>
      </c>
      <c r="B31" s="32" t="n">
        <v>46236</v>
      </c>
      <c r="C31" t="inlineStr">
        <is>
          <t>Ing. de Campo</t>
        </is>
      </c>
      <c r="D31" s="30" t="inlineStr">
        <is>
          <t>WBS-200</t>
        </is>
      </c>
      <c r="E31" s="30" t="inlineStr">
        <is>
          <t>01.02.05</t>
        </is>
      </c>
      <c r="F31" t="inlineStr">
        <is>
          <t>RELLENO COMPACTADO DE ZANJA C/MATERIAL PRESTAMO</t>
        </is>
      </c>
      <c r="G31" t="n">
        <v>120</v>
      </c>
      <c r="H31" s="30" t="inlineStr">
        <is>
          <t>M</t>
        </is>
      </c>
      <c r="I31">
        <f>IFERROR(VLOOKUP(E31, '05_MAESTRO_RECURSOS'!A:D, 4, FALSE), IFERROR(VLOOKUP(E31, '06_MAESTRO_PARTIDAS_EV'!B:F, 5, FALSE), 0))</f>
        <v/>
      </c>
      <c r="J31">
        <f>ROUND(G31 * I31, 2)</f>
        <v/>
      </c>
      <c r="K31" t="inlineStr">
        <is>
          <t>EV_PRODUCCION</t>
        </is>
      </c>
      <c r="L31" t="inlineStr">
        <is>
          <t>ing_campo.html</t>
        </is>
      </c>
    </row>
    <row r="32" ht="19.95" customHeight="1">
      <c r="A32" s="30" t="inlineStr">
        <is>
          <t>LOG-20260803-031</t>
        </is>
      </c>
      <c r="B32" s="32" t="n">
        <v>46237</v>
      </c>
      <c r="C32" t="inlineStr">
        <is>
          <t>Tareador (Bildin)</t>
        </is>
      </c>
      <c r="D32" s="30" t="inlineStr">
        <is>
          <t>WBS-100</t>
        </is>
      </c>
      <c r="E32" s="30" t="inlineStr">
        <is>
          <t>MO_CAPATAZ</t>
        </is>
      </c>
      <c r="F32" t="inlineStr">
        <is>
          <t>CAPATAZ</t>
        </is>
      </c>
      <c r="G32" t="n">
        <v>8</v>
      </c>
      <c r="H32" s="30" t="inlineStr">
        <is>
          <t>hh</t>
        </is>
      </c>
      <c r="I32">
        <f>IFERROR(VLOOKUP(E32, '05_MAESTRO_RECURSOS'!A:D, 4, FALSE), IFERROR(VLOOKUP(E32, '06_MAESTRO_PARTIDAS_EV'!B:F, 5, FALSE), 0))</f>
        <v/>
      </c>
      <c r="J32">
        <f>ROUND(G32 * I32, 2)</f>
        <v/>
      </c>
      <c r="K32" t="inlineStr">
        <is>
          <t>AC_MO</t>
        </is>
      </c>
      <c r="L32" t="inlineStr">
        <is>
          <t>tareador.html</t>
        </is>
      </c>
    </row>
    <row r="33" ht="19.95" customHeight="1">
      <c r="A33" s="30" t="inlineStr">
        <is>
          <t>LOG-20260803-032</t>
        </is>
      </c>
      <c r="B33" s="32" t="n">
        <v>46237</v>
      </c>
      <c r="C33" t="inlineStr">
        <is>
          <t>Tareador (Bildin)</t>
        </is>
      </c>
      <c r="D33" s="30" t="inlineStr">
        <is>
          <t>WBS-100</t>
        </is>
      </c>
      <c r="E33" s="30" t="inlineStr">
        <is>
          <t>MO_OPERARIO</t>
        </is>
      </c>
      <c r="F33" t="inlineStr">
        <is>
          <t>OPERARIO</t>
        </is>
      </c>
      <c r="G33" t="n">
        <v>16</v>
      </c>
      <c r="H33" s="30" t="inlineStr">
        <is>
          <t>hh</t>
        </is>
      </c>
      <c r="I33">
        <f>IFERROR(VLOOKUP(E33, '05_MAESTRO_RECURSOS'!A:D, 4, FALSE), IFERROR(VLOOKUP(E33, '06_MAESTRO_PARTIDAS_EV'!B:F, 5, FALSE), 0))</f>
        <v/>
      </c>
      <c r="J33">
        <f>ROUND(G33 * I33, 2)</f>
        <v/>
      </c>
      <c r="K33" t="inlineStr">
        <is>
          <t>AC_MO</t>
        </is>
      </c>
      <c r="L33" t="inlineStr">
        <is>
          <t>tareador.html</t>
        </is>
      </c>
    </row>
    <row r="34" ht="19.95" customHeight="1">
      <c r="A34" s="30" t="inlineStr">
        <is>
          <t>LOG-20260803-033</t>
        </is>
      </c>
      <c r="B34" s="32" t="n">
        <v>46237</v>
      </c>
      <c r="C34" t="inlineStr">
        <is>
          <t>Tareador (Bildin)</t>
        </is>
      </c>
      <c r="D34" s="30" t="inlineStr">
        <is>
          <t>WBS-100</t>
        </is>
      </c>
      <c r="E34" s="30" t="inlineStr">
        <is>
          <t>MO_PEON</t>
        </is>
      </c>
      <c r="F34" t="inlineStr">
        <is>
          <t>PEON</t>
        </is>
      </c>
      <c r="G34" t="n">
        <v>32</v>
      </c>
      <c r="H34" s="30" t="inlineStr">
        <is>
          <t>hh</t>
        </is>
      </c>
      <c r="I34">
        <f>IFERROR(VLOOKUP(E34, '05_MAESTRO_RECURSOS'!A:D, 4, FALSE), IFERROR(VLOOKUP(E34, '06_MAESTRO_PARTIDAS_EV'!B:F, 5, FALSE), 0))</f>
        <v/>
      </c>
      <c r="J34">
        <f>ROUND(G34 * I34, 2)</f>
        <v/>
      </c>
      <c r="K34" t="inlineStr">
        <is>
          <t>AC_MO</t>
        </is>
      </c>
      <c r="L34" t="inlineStr">
        <is>
          <t>tareador.html</t>
        </is>
      </c>
    </row>
    <row r="35" ht="19.95" customHeight="1">
      <c r="A35" s="30" t="inlineStr">
        <is>
          <t>LOG-20260803-034</t>
        </is>
      </c>
      <c r="B35" s="32" t="n">
        <v>46237</v>
      </c>
      <c r="C35" t="inlineStr">
        <is>
          <t>Administradora</t>
        </is>
      </c>
      <c r="D35" s="30" t="inlineStr">
        <is>
          <t>WBS-100</t>
        </is>
      </c>
      <c r="E35" s="30" t="inlineStr">
        <is>
          <t>EQ_ESTACION_TOTAL</t>
        </is>
      </c>
      <c r="F35" t="inlineStr">
        <is>
          <t>ESTACION TOTAL TOPOGRAFICA</t>
        </is>
      </c>
      <c r="G35" t="n">
        <v>8</v>
      </c>
      <c r="H35" s="30" t="inlineStr">
        <is>
          <t>hm</t>
        </is>
      </c>
      <c r="I35">
        <f>IFERROR(VLOOKUP(E35, '05_MAESTRO_RECURSOS'!A:D, 4, FALSE), IFERROR(VLOOKUP(E35, '06_MAESTRO_PARTIDAS_EV'!B:F, 5, FALSE), 0))</f>
        <v/>
      </c>
      <c r="J35">
        <f>ROUND(G35 * I35, 2)</f>
        <v/>
      </c>
      <c r="K35" t="inlineStr">
        <is>
          <t>AC_EQP</t>
        </is>
      </c>
      <c r="L35" t="inlineStr">
        <is>
          <t>administradora.html</t>
        </is>
      </c>
    </row>
    <row r="36" ht="19.95" customHeight="1">
      <c r="A36" s="30" t="inlineStr">
        <is>
          <t>LOG-20260803-035</t>
        </is>
      </c>
      <c r="B36" s="32" t="n">
        <v>46237</v>
      </c>
      <c r="C36" t="inlineStr">
        <is>
          <t>Ing. de Campo</t>
        </is>
      </c>
      <c r="D36" s="30" t="inlineStr">
        <is>
          <t>WBS-100</t>
        </is>
      </c>
      <c r="E36" s="30" t="inlineStr">
        <is>
          <t>01.01</t>
        </is>
      </c>
      <c r="F36" t="inlineStr">
        <is>
          <t>OBRAS PRELIMINARES Y TRABAJOS PROVISIONALES</t>
        </is>
      </c>
      <c r="G36" t="n">
        <v>0.33</v>
      </c>
      <c r="H36" s="30" t="inlineStr">
        <is>
          <t>GLB</t>
        </is>
      </c>
      <c r="I36">
        <f>IFERROR(VLOOKUP(E36, '05_MAESTRO_RECURSOS'!A:D, 4, FALSE), IFERROR(VLOOKUP(E36, '06_MAESTRO_PARTIDAS_EV'!B:F, 5, FALSE), 0))</f>
        <v/>
      </c>
      <c r="J36">
        <f>ROUND(G36 * I36, 2)</f>
        <v/>
      </c>
      <c r="K36" t="inlineStr">
        <is>
          <t>EV_PRODUCCION</t>
        </is>
      </c>
      <c r="L36" t="inlineStr">
        <is>
          <t>ing_campo.html</t>
        </is>
      </c>
    </row>
    <row r="37" ht="19.95" customHeight="1">
      <c r="A37" s="30" t="inlineStr">
        <is>
          <t>LOG-20260803-036</t>
        </is>
      </c>
      <c r="B37" s="32" t="n">
        <v>46237</v>
      </c>
      <c r="C37" t="inlineStr">
        <is>
          <t>Ing. de Campo</t>
        </is>
      </c>
      <c r="D37" s="30" t="inlineStr">
        <is>
          <t>WBS-100</t>
        </is>
      </c>
      <c r="E37" s="30" t="inlineStr">
        <is>
          <t>01.02.01</t>
        </is>
      </c>
      <c r="F37" t="inlineStr">
        <is>
          <t>TRAZO, NIVELACION Y REPLANTEO DE ZANJAS</t>
        </is>
      </c>
      <c r="G37" t="n">
        <v>800</v>
      </c>
      <c r="H37" s="30" t="inlineStr">
        <is>
          <t>M</t>
        </is>
      </c>
      <c r="I37">
        <f>IFERROR(VLOOKUP(E37, '05_MAESTRO_RECURSOS'!A:D, 4, FALSE), IFERROR(VLOOKUP(E37, '06_MAESTRO_PARTIDAS_EV'!B:F, 5, FALSE), 0))</f>
        <v/>
      </c>
      <c r="J37">
        <f>ROUND(G37 * I37, 2)</f>
        <v/>
      </c>
      <c r="K37" t="inlineStr">
        <is>
          <t>EV_PRODUCCION</t>
        </is>
      </c>
      <c r="L37" t="inlineStr">
        <is>
          <t>ing_campo.html</t>
        </is>
      </c>
    </row>
    <row r="38" ht="19.95" customHeight="1">
      <c r="A38" s="30" t="inlineStr">
        <is>
          <t>LOG-20260803-037</t>
        </is>
      </c>
      <c r="B38" s="32" t="n">
        <v>46237</v>
      </c>
      <c r="C38" t="inlineStr">
        <is>
          <t>Tareador (Bildin)</t>
        </is>
      </c>
      <c r="D38" s="30" t="inlineStr">
        <is>
          <t>WBS-200</t>
        </is>
      </c>
      <c r="E38" s="30" t="inlineStr">
        <is>
          <t>MO_CAPATAZ</t>
        </is>
      </c>
      <c r="F38" t="inlineStr">
        <is>
          <t>CAPATAZ</t>
        </is>
      </c>
      <c r="G38" t="n">
        <v>8</v>
      </c>
      <c r="H38" s="30" t="inlineStr">
        <is>
          <t>hh</t>
        </is>
      </c>
      <c r="I38">
        <f>IFERROR(VLOOKUP(E38, '05_MAESTRO_RECURSOS'!A:D, 4, FALSE), IFERROR(VLOOKUP(E38, '06_MAESTRO_PARTIDAS_EV'!B:F, 5, FALSE), 0))</f>
        <v/>
      </c>
      <c r="J38">
        <f>ROUND(G38 * I38, 2)</f>
        <v/>
      </c>
      <c r="K38" t="inlineStr">
        <is>
          <t>AC_MO</t>
        </is>
      </c>
      <c r="L38" t="inlineStr">
        <is>
          <t>tareador.html</t>
        </is>
      </c>
    </row>
    <row r="39" ht="19.95" customHeight="1">
      <c r="A39" s="30" t="inlineStr">
        <is>
          <t>LOG-20260803-038</t>
        </is>
      </c>
      <c r="B39" s="32" t="n">
        <v>46237</v>
      </c>
      <c r="C39" t="inlineStr">
        <is>
          <t>Tareador (Bildin)</t>
        </is>
      </c>
      <c r="D39" s="30" t="inlineStr">
        <is>
          <t>WBS-200</t>
        </is>
      </c>
      <c r="E39" s="30" t="inlineStr">
        <is>
          <t>MO_OPERARIO</t>
        </is>
      </c>
      <c r="F39" t="inlineStr">
        <is>
          <t>OPERARIO</t>
        </is>
      </c>
      <c r="G39" t="n">
        <v>24</v>
      </c>
      <c r="H39" s="30" t="inlineStr">
        <is>
          <t>hh</t>
        </is>
      </c>
      <c r="I39">
        <f>IFERROR(VLOOKUP(E39, '05_MAESTRO_RECURSOS'!A:D, 4, FALSE), IFERROR(VLOOKUP(E39, '06_MAESTRO_PARTIDAS_EV'!B:F, 5, FALSE), 0))</f>
        <v/>
      </c>
      <c r="J39">
        <f>ROUND(G39 * I39, 2)</f>
        <v/>
      </c>
      <c r="K39" t="inlineStr">
        <is>
          <t>AC_MO</t>
        </is>
      </c>
      <c r="L39" t="inlineStr">
        <is>
          <t>tareador.html</t>
        </is>
      </c>
    </row>
    <row r="40" ht="19.95" customHeight="1">
      <c r="A40" s="30" t="inlineStr">
        <is>
          <t>LOG-20260803-039</t>
        </is>
      </c>
      <c r="B40" s="32" t="n">
        <v>46237</v>
      </c>
      <c r="C40" t="inlineStr">
        <is>
          <t>Tareador (Bildin)</t>
        </is>
      </c>
      <c r="D40" s="30" t="inlineStr">
        <is>
          <t>WBS-200</t>
        </is>
      </c>
      <c r="E40" s="30" t="inlineStr">
        <is>
          <t>MO_OFICIAL</t>
        </is>
      </c>
      <c r="F40" t="inlineStr">
        <is>
          <t>OFICIAL</t>
        </is>
      </c>
      <c r="G40" t="n">
        <v>16</v>
      </c>
      <c r="H40" s="30" t="inlineStr">
        <is>
          <t>hh</t>
        </is>
      </c>
      <c r="I40">
        <f>IFERROR(VLOOKUP(E40, '05_MAESTRO_RECURSOS'!A:D, 4, FALSE), IFERROR(VLOOKUP(E40, '06_MAESTRO_PARTIDAS_EV'!B:F, 5, FALSE), 0))</f>
        <v/>
      </c>
      <c r="J40">
        <f>ROUND(G40 * I40, 2)</f>
        <v/>
      </c>
      <c r="K40" t="inlineStr">
        <is>
          <t>AC_MO</t>
        </is>
      </c>
      <c r="L40" t="inlineStr">
        <is>
          <t>tareador.html</t>
        </is>
      </c>
    </row>
    <row r="41" ht="19.95" customHeight="1">
      <c r="A41" s="30" t="inlineStr">
        <is>
          <t>LOG-20260803-040</t>
        </is>
      </c>
      <c r="B41" s="32" t="n">
        <v>46237</v>
      </c>
      <c r="C41" t="inlineStr">
        <is>
          <t>Tareador (Bildin)</t>
        </is>
      </c>
      <c r="D41" s="30" t="inlineStr">
        <is>
          <t>WBS-200</t>
        </is>
      </c>
      <c r="E41" s="30" t="inlineStr">
        <is>
          <t>MO_PEON</t>
        </is>
      </c>
      <c r="F41" t="inlineStr">
        <is>
          <t>PEON</t>
        </is>
      </c>
      <c r="G41" t="n">
        <v>64</v>
      </c>
      <c r="H41" s="30" t="inlineStr">
        <is>
          <t>hh</t>
        </is>
      </c>
      <c r="I41">
        <f>IFERROR(VLOOKUP(E41, '05_MAESTRO_RECURSOS'!A:D, 4, FALSE), IFERROR(VLOOKUP(E41, '06_MAESTRO_PARTIDAS_EV'!B:F, 5, FALSE), 0))</f>
        <v/>
      </c>
      <c r="J41">
        <f>ROUND(G41 * I41, 2)</f>
        <v/>
      </c>
      <c r="K41" t="inlineStr">
        <is>
          <t>AC_MO</t>
        </is>
      </c>
      <c r="L41" t="inlineStr">
        <is>
          <t>tareador.html</t>
        </is>
      </c>
    </row>
    <row r="42" ht="19.95" customHeight="1">
      <c r="A42" s="30" t="inlineStr">
        <is>
          <t>LOG-20260803-041</t>
        </is>
      </c>
      <c r="B42" s="32" t="n">
        <v>46237</v>
      </c>
      <c r="C42" t="inlineStr">
        <is>
          <t>Almacenero</t>
        </is>
      </c>
      <c r="D42" s="30" t="inlineStr">
        <is>
          <t>WBS-200</t>
        </is>
      </c>
      <c r="E42" s="30" t="inlineStr">
        <is>
          <t>MAT_ARENA_CAMAS</t>
        </is>
      </c>
      <c r="F42" t="inlineStr">
        <is>
          <t>ARENA FINA SELECCIONADA PARA CAMA</t>
        </is>
      </c>
      <c r="G42" t="n">
        <v>10</v>
      </c>
      <c r="H42" s="30" t="inlineStr">
        <is>
          <t>m3</t>
        </is>
      </c>
      <c r="I42">
        <f>IFERROR(VLOOKUP(E42, '05_MAESTRO_RECURSOS'!A:D, 4, FALSE), IFERROR(VLOOKUP(E42, '06_MAESTRO_PARTIDAS_EV'!B:F, 5, FALSE), 0))</f>
        <v/>
      </c>
      <c r="J42">
        <f>ROUND(G42 * I42, 2)</f>
        <v/>
      </c>
      <c r="K42" t="inlineStr">
        <is>
          <t>AC_MAT</t>
        </is>
      </c>
      <c r="L42" t="inlineStr">
        <is>
          <t>almacenero.html</t>
        </is>
      </c>
    </row>
    <row r="43" ht="19.95" customHeight="1">
      <c r="A43" s="30" t="inlineStr">
        <is>
          <t>LOG-20260803-042</t>
        </is>
      </c>
      <c r="B43" s="32" t="n">
        <v>46237</v>
      </c>
      <c r="C43" t="inlineStr">
        <is>
          <t>Almacenero</t>
        </is>
      </c>
      <c r="D43" s="30" t="inlineStr">
        <is>
          <t>WBS-200</t>
        </is>
      </c>
      <c r="E43" s="30" t="inlineStr">
        <is>
          <t>MAT_TUB_PVC_200</t>
        </is>
      </c>
      <c r="F43" t="inlineStr">
        <is>
          <t>TUBERIA PVC UF DN 200MM S-20 ALCANTARILLADO</t>
        </is>
      </c>
      <c r="G43" t="n">
        <v>120</v>
      </c>
      <c r="H43" s="30" t="inlineStr">
        <is>
          <t>m</t>
        </is>
      </c>
      <c r="I43">
        <f>IFERROR(VLOOKUP(E43, '05_MAESTRO_RECURSOS'!A:D, 4, FALSE), IFERROR(VLOOKUP(E43, '06_MAESTRO_PARTIDAS_EV'!B:F, 5, FALSE), 0))</f>
        <v/>
      </c>
      <c r="J43">
        <f>ROUND(G43 * I43, 2)</f>
        <v/>
      </c>
      <c r="K43" t="inlineStr">
        <is>
          <t>AC_MAT</t>
        </is>
      </c>
      <c r="L43" t="inlineStr">
        <is>
          <t>almacenero.html</t>
        </is>
      </c>
    </row>
    <row r="44" ht="19.95" customHeight="1">
      <c r="A44" s="30" t="inlineStr">
        <is>
          <t>LOG-20260803-043</t>
        </is>
      </c>
      <c r="B44" s="32" t="n">
        <v>46237</v>
      </c>
      <c r="C44" t="inlineStr">
        <is>
          <t>Almacenero</t>
        </is>
      </c>
      <c r="D44" s="30" t="inlineStr">
        <is>
          <t>WBS-200</t>
        </is>
      </c>
      <c r="E44" s="30" t="inlineStr">
        <is>
          <t>MAT_LUBRICANTE</t>
        </is>
      </c>
      <c r="F44" t="inlineStr">
        <is>
          <t>LUBRICANTE PARA TUBERIA</t>
        </is>
      </c>
      <c r="G44" t="n">
        <v>2</v>
      </c>
      <c r="H44" s="30" t="inlineStr">
        <is>
          <t>kg</t>
        </is>
      </c>
      <c r="I44">
        <f>IFERROR(VLOOKUP(E44, '05_MAESTRO_RECURSOS'!A:D, 4, FALSE), IFERROR(VLOOKUP(E44, '06_MAESTRO_PARTIDAS_EV'!B:F, 5, FALSE), 0))</f>
        <v/>
      </c>
      <c r="J44">
        <f>ROUND(G44 * I44, 2)</f>
        <v/>
      </c>
      <c r="K44" t="inlineStr">
        <is>
          <t>AC_MAT</t>
        </is>
      </c>
      <c r="L44" t="inlineStr">
        <is>
          <t>almacenero.html</t>
        </is>
      </c>
    </row>
    <row r="45" ht="19.95" customHeight="1">
      <c r="A45" s="30" t="inlineStr">
        <is>
          <t>LOG-20260803-044</t>
        </is>
      </c>
      <c r="B45" s="32" t="n">
        <v>46237</v>
      </c>
      <c r="C45" t="inlineStr">
        <is>
          <t>Almacenero</t>
        </is>
      </c>
      <c r="D45" s="30" t="inlineStr">
        <is>
          <t>WBS-200</t>
        </is>
      </c>
      <c r="E45" s="30" t="inlineStr">
        <is>
          <t>MAT_BUZON_PREF</t>
        </is>
      </c>
      <c r="F45" t="inlineStr">
        <is>
          <t>BUZON PREFABRICADO CONCRETO</t>
        </is>
      </c>
      <c r="G45" t="n">
        <v>1</v>
      </c>
      <c r="H45" s="30" t="inlineStr">
        <is>
          <t>und</t>
        </is>
      </c>
      <c r="I45">
        <f>IFERROR(VLOOKUP(E45, '05_MAESTRO_RECURSOS'!A:D, 4, FALSE), IFERROR(VLOOKUP(E45, '06_MAESTRO_PARTIDAS_EV'!B:F, 5, FALSE), 0))</f>
        <v/>
      </c>
      <c r="J45">
        <f>ROUND(G45 * I45, 2)</f>
        <v/>
      </c>
      <c r="K45" t="inlineStr">
        <is>
          <t>AC_MAT</t>
        </is>
      </c>
      <c r="L45" t="inlineStr">
        <is>
          <t>almacenero.html</t>
        </is>
      </c>
    </row>
    <row r="46" ht="19.95" customHeight="1">
      <c r="A46" s="30" t="inlineStr">
        <is>
          <t>LOG-20260803-045</t>
        </is>
      </c>
      <c r="B46" s="32" t="n">
        <v>46237</v>
      </c>
      <c r="C46" t="inlineStr">
        <is>
          <t>Administradora</t>
        </is>
      </c>
      <c r="D46" s="30" t="inlineStr">
        <is>
          <t>WBS-200</t>
        </is>
      </c>
      <c r="E46" s="30" t="inlineStr">
        <is>
          <t>EQ_CAMION_GRUAN</t>
        </is>
      </c>
      <c r="F46" t="inlineStr">
        <is>
          <t>CAMION GRUA 5 TN MONTAJE BUZONES</t>
        </is>
      </c>
      <c r="G46" t="n">
        <v>4</v>
      </c>
      <c r="H46" s="30" t="inlineStr">
        <is>
          <t>hm</t>
        </is>
      </c>
      <c r="I46">
        <f>IFERROR(VLOOKUP(E46, '05_MAESTRO_RECURSOS'!A:D, 4, FALSE), IFERROR(VLOOKUP(E46, '06_MAESTRO_PARTIDAS_EV'!B:F, 5, FALSE), 0))</f>
        <v/>
      </c>
      <c r="J46">
        <f>ROUND(G46 * I46, 2)</f>
        <v/>
      </c>
      <c r="K46" t="inlineStr">
        <is>
          <t>AC_EQP</t>
        </is>
      </c>
      <c r="L46" t="inlineStr">
        <is>
          <t>administradora.html</t>
        </is>
      </c>
    </row>
    <row r="47" ht="19.95" customHeight="1">
      <c r="A47" s="30" t="inlineStr">
        <is>
          <t>LOG-20260803-046</t>
        </is>
      </c>
      <c r="B47" s="32" t="n">
        <v>46237</v>
      </c>
      <c r="C47" t="inlineStr">
        <is>
          <t>Administradora</t>
        </is>
      </c>
      <c r="D47" s="30" t="inlineStr">
        <is>
          <t>WBS-200</t>
        </is>
      </c>
      <c r="E47" s="30" t="inlineStr">
        <is>
          <t>SUB_MONTAJE_BUZON</t>
        </is>
      </c>
      <c r="F47" t="inlineStr">
        <is>
          <t>SUBCONTRATO MONTAJE BUZONES</t>
        </is>
      </c>
      <c r="G47" t="n">
        <v>1</v>
      </c>
      <c r="H47" s="30" t="inlineStr">
        <is>
          <t>und</t>
        </is>
      </c>
      <c r="I47">
        <f>IFERROR(VLOOKUP(E47, '05_MAESTRO_RECURSOS'!A:D, 4, FALSE), IFERROR(VLOOKUP(E47, '06_MAESTRO_PARTIDAS_EV'!B:F, 5, FALSE), 0))</f>
        <v/>
      </c>
      <c r="J47">
        <f>ROUND(G47 * I47, 2)</f>
        <v/>
      </c>
      <c r="K47" t="inlineStr">
        <is>
          <t>AC_SUB</t>
        </is>
      </c>
      <c r="L47" t="inlineStr">
        <is>
          <t>administradora.html</t>
        </is>
      </c>
    </row>
    <row r="48">
      <c r="A48" s="30" t="inlineStr">
        <is>
          <t>LOG-20260803-047</t>
        </is>
      </c>
      <c r="B48" s="32" t="n">
        <v>46237</v>
      </c>
      <c r="C48" t="inlineStr">
        <is>
          <t>Ing. de Campo</t>
        </is>
      </c>
      <c r="D48" s="30" t="inlineStr">
        <is>
          <t>WBS-200</t>
        </is>
      </c>
      <c r="E48" s="30" t="inlineStr">
        <is>
          <t>01.02.06</t>
        </is>
      </c>
      <c r="F48" t="inlineStr">
        <is>
          <t>CONSTRUCCION DE BUZONES PREFABRICADOS H=1.5 A 2.5M</t>
        </is>
      </c>
      <c r="G48" t="n">
        <v>1</v>
      </c>
      <c r="H48" s="30" t="inlineStr">
        <is>
          <t>UND</t>
        </is>
      </c>
      <c r="I48">
        <f>IFERROR(VLOOKUP(E48, '05_MAESTRO_RECURSOS'!A:D, 4, FALSE), IFERROR(VLOOKUP(E48, '06_MAESTRO_PARTIDAS_EV'!B:F, 5, FALSE), 0))</f>
        <v/>
      </c>
      <c r="J48">
        <f>ROUND(G48 * I48, 2)</f>
        <v/>
      </c>
      <c r="K48" t="inlineStr">
        <is>
          <t>EV_PRODUCCION</t>
        </is>
      </c>
      <c r="L48" t="inlineStr">
        <is>
          <t>ing_campo.html</t>
        </is>
      </c>
    </row>
    <row r="49">
      <c r="A49" s="30" t="inlineStr">
        <is>
          <t>LOG-20260803-048</t>
        </is>
      </c>
      <c r="B49" s="32" t="n">
        <v>46237</v>
      </c>
      <c r="C49" t="inlineStr">
        <is>
          <t>Administradora</t>
        </is>
      </c>
      <c r="D49" s="30" t="inlineStr">
        <is>
          <t>WBS-200</t>
        </is>
      </c>
      <c r="E49" s="30" t="inlineStr">
        <is>
          <t>EQ_EXCAVADORA</t>
        </is>
      </c>
      <c r="F49" t="inlineStr">
        <is>
          <t>EXCAVADORA ORUGAS 140 HP</t>
        </is>
      </c>
      <c r="G49" t="n">
        <v>8</v>
      </c>
      <c r="H49" s="30" t="inlineStr">
        <is>
          <t>hm</t>
        </is>
      </c>
      <c r="I49">
        <f>IFERROR(VLOOKUP(E49, '05_MAESTRO_RECURSOS'!A:D, 4, FALSE), IFERROR(VLOOKUP(E49, '06_MAESTRO_PARTIDAS_EV'!B:F, 5, FALSE), 0))</f>
        <v/>
      </c>
      <c r="J49">
        <f>ROUND(G49 * I49, 2)</f>
        <v/>
      </c>
      <c r="K49" t="inlineStr">
        <is>
          <t>AC_EQP</t>
        </is>
      </c>
      <c r="L49" t="inlineStr">
        <is>
          <t>administradora.html</t>
        </is>
      </c>
    </row>
    <row r="50">
      <c r="A50" s="30" t="inlineStr">
        <is>
          <t>LOG-20260803-049</t>
        </is>
      </c>
      <c r="B50" s="32" t="n">
        <v>46237</v>
      </c>
      <c r="C50" t="inlineStr">
        <is>
          <t>Administradora</t>
        </is>
      </c>
      <c r="D50" s="30" t="inlineStr">
        <is>
          <t>WBS-200</t>
        </is>
      </c>
      <c r="E50" s="30" t="inlineStr">
        <is>
          <t>EQ_PLANCHA</t>
        </is>
      </c>
      <c r="F50" t="inlineStr">
        <is>
          <t>PLANCHA COMPACTADORA 7 HP</t>
        </is>
      </c>
      <c r="G50" t="n">
        <v>8</v>
      </c>
      <c r="H50" s="30" t="inlineStr">
        <is>
          <t>hm</t>
        </is>
      </c>
      <c r="I50">
        <f>IFERROR(VLOOKUP(E50, '05_MAESTRO_RECURSOS'!A:D, 4, FALSE), IFERROR(VLOOKUP(E50, '06_MAESTRO_PARTIDAS_EV'!B:F, 5, FALSE), 0))</f>
        <v/>
      </c>
      <c r="J50">
        <f>ROUND(G50 * I50, 2)</f>
        <v/>
      </c>
      <c r="K50" t="inlineStr">
        <is>
          <t>AC_EQP</t>
        </is>
      </c>
      <c r="L50" t="inlineStr">
        <is>
          <t>administradora.html</t>
        </is>
      </c>
    </row>
    <row r="51">
      <c r="A51" s="30" t="inlineStr">
        <is>
          <t>LOG-20260803-050</t>
        </is>
      </c>
      <c r="B51" s="32" t="n">
        <v>46237</v>
      </c>
      <c r="C51" t="inlineStr">
        <is>
          <t>Administradora</t>
        </is>
      </c>
      <c r="D51" s="30" t="inlineStr">
        <is>
          <t>WBS-200</t>
        </is>
      </c>
      <c r="E51" s="30" t="inlineStr">
        <is>
          <t>EQ_RODILLO_CAMINANTE</t>
        </is>
      </c>
      <c r="F51" t="inlineStr">
        <is>
          <t>RODILLO VIBRATORIO 1.5 TN</t>
        </is>
      </c>
      <c r="G51" t="n">
        <v>8</v>
      </c>
      <c r="H51" s="30" t="inlineStr">
        <is>
          <t>hm</t>
        </is>
      </c>
      <c r="I51">
        <f>IFERROR(VLOOKUP(E51, '05_MAESTRO_RECURSOS'!A:D, 4, FALSE), IFERROR(VLOOKUP(E51, '06_MAESTRO_PARTIDAS_EV'!B:F, 5, FALSE), 0))</f>
        <v/>
      </c>
      <c r="J51">
        <f>ROUND(G51 * I51, 2)</f>
        <v/>
      </c>
      <c r="K51" t="inlineStr">
        <is>
          <t>AC_EQP</t>
        </is>
      </c>
      <c r="L51" t="inlineStr">
        <is>
          <t>administradora.html</t>
        </is>
      </c>
    </row>
    <row r="52">
      <c r="A52" s="30" t="inlineStr">
        <is>
          <t>LOG-20260803-051</t>
        </is>
      </c>
      <c r="B52" s="32" t="n">
        <v>46237</v>
      </c>
      <c r="C52" t="inlineStr">
        <is>
          <t>Ing. de Campo</t>
        </is>
      </c>
      <c r="D52" s="30" t="inlineStr">
        <is>
          <t>WBS-200</t>
        </is>
      </c>
      <c r="E52" s="30" t="inlineStr">
        <is>
          <t>01.02.02</t>
        </is>
      </c>
      <c r="F52" t="inlineStr">
        <is>
          <t>EXCAVACION DE ZANJA C/MAQUINA EN T. SEMIROCOSO</t>
        </is>
      </c>
      <c r="G52" t="n">
        <v>150</v>
      </c>
      <c r="H52" s="30" t="inlineStr">
        <is>
          <t>M3</t>
        </is>
      </c>
      <c r="I52">
        <f>IFERROR(VLOOKUP(E52, '05_MAESTRO_RECURSOS'!A:D, 4, FALSE), IFERROR(VLOOKUP(E52, '06_MAESTRO_PARTIDAS_EV'!B:F, 5, FALSE), 0))</f>
        <v/>
      </c>
      <c r="J52">
        <f>ROUND(G52 * I52, 2)</f>
        <v/>
      </c>
      <c r="K52" t="inlineStr">
        <is>
          <t>EV_PRODUCCION</t>
        </is>
      </c>
      <c r="L52" t="inlineStr">
        <is>
          <t>ing_campo.html</t>
        </is>
      </c>
    </row>
    <row r="53">
      <c r="A53" s="30" t="inlineStr">
        <is>
          <t>LOG-20260803-052</t>
        </is>
      </c>
      <c r="B53" s="32" t="n">
        <v>46237</v>
      </c>
      <c r="C53" t="inlineStr">
        <is>
          <t>Ing. de Campo</t>
        </is>
      </c>
      <c r="D53" s="30" t="inlineStr">
        <is>
          <t>WBS-200</t>
        </is>
      </c>
      <c r="E53" s="30" t="inlineStr">
        <is>
          <t>01.02.03</t>
        </is>
      </c>
      <c r="F53" t="inlineStr">
        <is>
          <t>CAMA DE APOYO H=0.10 M CON ARENA SELECCIONADA</t>
        </is>
      </c>
      <c r="G53" t="n">
        <v>120</v>
      </c>
      <c r="H53" s="30" t="inlineStr">
        <is>
          <t>M</t>
        </is>
      </c>
      <c r="I53">
        <f>IFERROR(VLOOKUP(E53, '05_MAESTRO_RECURSOS'!A:D, 4, FALSE), IFERROR(VLOOKUP(E53, '06_MAESTRO_PARTIDAS_EV'!B:F, 5, FALSE), 0))</f>
        <v/>
      </c>
      <c r="J53">
        <f>ROUND(G53 * I53, 2)</f>
        <v/>
      </c>
      <c r="K53" t="inlineStr">
        <is>
          <t>EV_PRODUCCION</t>
        </is>
      </c>
      <c r="L53" t="inlineStr">
        <is>
          <t>ing_campo.html</t>
        </is>
      </c>
    </row>
    <row r="54">
      <c r="A54" s="30" t="inlineStr">
        <is>
          <t>LOG-20260803-053</t>
        </is>
      </c>
      <c r="B54" s="32" t="n">
        <v>46237</v>
      </c>
      <c r="C54" t="inlineStr">
        <is>
          <t>Ing. de Campo</t>
        </is>
      </c>
      <c r="D54" s="30" t="inlineStr">
        <is>
          <t>WBS-200</t>
        </is>
      </c>
      <c r="E54" s="30" t="inlineStr">
        <is>
          <t>01.02.04</t>
        </is>
      </c>
      <c r="F54" t="inlineStr">
        <is>
          <t>SUMINISTRO E INSTALACION DE TUBERIA PVC DN 200MM S-20</t>
        </is>
      </c>
      <c r="G54" t="n">
        <v>120</v>
      </c>
      <c r="H54" s="30" t="inlineStr">
        <is>
          <t>M</t>
        </is>
      </c>
      <c r="I54">
        <f>IFERROR(VLOOKUP(E54, '05_MAESTRO_RECURSOS'!A:D, 4, FALSE), IFERROR(VLOOKUP(E54, '06_MAESTRO_PARTIDAS_EV'!B:F, 5, FALSE), 0))</f>
        <v/>
      </c>
      <c r="J54">
        <f>ROUND(G54 * I54, 2)</f>
        <v/>
      </c>
      <c r="K54" t="inlineStr">
        <is>
          <t>EV_PRODUCCION</t>
        </is>
      </c>
      <c r="L54" t="inlineStr">
        <is>
          <t>ing_campo.html</t>
        </is>
      </c>
    </row>
    <row r="55">
      <c r="A55" s="30" t="inlineStr">
        <is>
          <t>LOG-20260803-054</t>
        </is>
      </c>
      <c r="B55" s="32" t="n">
        <v>46237</v>
      </c>
      <c r="C55" t="inlineStr">
        <is>
          <t>Ing. de Campo</t>
        </is>
      </c>
      <c r="D55" s="30" t="inlineStr">
        <is>
          <t>WBS-200</t>
        </is>
      </c>
      <c r="E55" s="30" t="inlineStr">
        <is>
          <t>01.02.05</t>
        </is>
      </c>
      <c r="F55" t="inlineStr">
        <is>
          <t>RELLENO COMPACTADO DE ZANJA C/MATERIAL PRESTAMO</t>
        </is>
      </c>
      <c r="G55" t="n">
        <v>120</v>
      </c>
      <c r="H55" s="30" t="inlineStr">
        <is>
          <t>M</t>
        </is>
      </c>
      <c r="I55">
        <f>IFERROR(VLOOKUP(E55, '05_MAESTRO_RECURSOS'!A:D, 4, FALSE), IFERROR(VLOOKUP(E55, '06_MAESTRO_PARTIDAS_EV'!B:F, 5, FALSE), 0))</f>
        <v/>
      </c>
      <c r="J55">
        <f>ROUND(G55 * I55, 2)</f>
        <v/>
      </c>
      <c r="K55" t="inlineStr">
        <is>
          <t>EV_PRODUCCION</t>
        </is>
      </c>
      <c r="L55" t="inlineStr">
        <is>
          <t>ing_campo.html</t>
        </is>
      </c>
    </row>
    <row r="56">
      <c r="A56" s="30" t="inlineStr">
        <is>
          <t>LOG-20260804-055</t>
        </is>
      </c>
      <c r="B56" s="32" t="n">
        <v>46238</v>
      </c>
      <c r="C56" t="inlineStr">
        <is>
          <t>Tareador (Bildin)</t>
        </is>
      </c>
      <c r="D56" s="30" t="inlineStr">
        <is>
          <t>WBS-200</t>
        </is>
      </c>
      <c r="E56" s="30" t="inlineStr">
        <is>
          <t>MO_CAPATAZ</t>
        </is>
      </c>
      <c r="F56" t="inlineStr">
        <is>
          <t>CAPATAZ</t>
        </is>
      </c>
      <c r="G56" t="n">
        <v>8</v>
      </c>
      <c r="H56" s="30" t="inlineStr">
        <is>
          <t>hh</t>
        </is>
      </c>
      <c r="I56">
        <f>IFERROR(VLOOKUP(E56, '05_MAESTRO_RECURSOS'!A:D, 4, FALSE), IFERROR(VLOOKUP(E56, '06_MAESTRO_PARTIDAS_EV'!B:F, 5, FALSE), 0))</f>
        <v/>
      </c>
      <c r="J56">
        <f>ROUND(G56 * I56, 2)</f>
        <v/>
      </c>
      <c r="K56" t="inlineStr">
        <is>
          <t>AC_MO</t>
        </is>
      </c>
      <c r="L56" t="inlineStr">
        <is>
          <t>tareador.html</t>
        </is>
      </c>
    </row>
    <row r="57">
      <c r="A57" s="30" t="inlineStr">
        <is>
          <t>LOG-20260804-056</t>
        </is>
      </c>
      <c r="B57" s="32" t="n">
        <v>46238</v>
      </c>
      <c r="C57" t="inlineStr">
        <is>
          <t>Tareador (Bildin)</t>
        </is>
      </c>
      <c r="D57" s="30" t="inlineStr">
        <is>
          <t>WBS-200</t>
        </is>
      </c>
      <c r="E57" s="30" t="inlineStr">
        <is>
          <t>MO_OPERARIO</t>
        </is>
      </c>
      <c r="F57" t="inlineStr">
        <is>
          <t>OPERARIO</t>
        </is>
      </c>
      <c r="G57" t="n">
        <v>24</v>
      </c>
      <c r="H57" s="30" t="inlineStr">
        <is>
          <t>hh</t>
        </is>
      </c>
      <c r="I57">
        <f>IFERROR(VLOOKUP(E57, '05_MAESTRO_RECURSOS'!A:D, 4, FALSE), IFERROR(VLOOKUP(E57, '06_MAESTRO_PARTIDAS_EV'!B:F, 5, FALSE), 0))</f>
        <v/>
      </c>
      <c r="J57">
        <f>ROUND(G57 * I57, 2)</f>
        <v/>
      </c>
      <c r="K57" t="inlineStr">
        <is>
          <t>AC_MO</t>
        </is>
      </c>
      <c r="L57" t="inlineStr">
        <is>
          <t>tareador.html</t>
        </is>
      </c>
    </row>
    <row r="58">
      <c r="A58" s="30" t="inlineStr">
        <is>
          <t>LOG-20260804-057</t>
        </is>
      </c>
      <c r="B58" s="32" t="n">
        <v>46238</v>
      </c>
      <c r="C58" t="inlineStr">
        <is>
          <t>Tareador (Bildin)</t>
        </is>
      </c>
      <c r="D58" s="30" t="inlineStr">
        <is>
          <t>WBS-200</t>
        </is>
      </c>
      <c r="E58" s="30" t="inlineStr">
        <is>
          <t>MO_OFICIAL</t>
        </is>
      </c>
      <c r="F58" t="inlineStr">
        <is>
          <t>OFICIAL</t>
        </is>
      </c>
      <c r="G58" t="n">
        <v>16</v>
      </c>
      <c r="H58" s="30" t="inlineStr">
        <is>
          <t>hh</t>
        </is>
      </c>
      <c r="I58">
        <f>IFERROR(VLOOKUP(E58, '05_MAESTRO_RECURSOS'!A:D, 4, FALSE), IFERROR(VLOOKUP(E58, '06_MAESTRO_PARTIDAS_EV'!B:F, 5, FALSE), 0))</f>
        <v/>
      </c>
      <c r="J58">
        <f>ROUND(G58 * I58, 2)</f>
        <v/>
      </c>
      <c r="K58" t="inlineStr">
        <is>
          <t>AC_MO</t>
        </is>
      </c>
      <c r="L58" t="inlineStr">
        <is>
          <t>tareador.html</t>
        </is>
      </c>
    </row>
    <row r="59">
      <c r="A59" s="30" t="inlineStr">
        <is>
          <t>LOG-20260804-058</t>
        </is>
      </c>
      <c r="B59" s="32" t="n">
        <v>46238</v>
      </c>
      <c r="C59" t="inlineStr">
        <is>
          <t>Tareador (Bildin)</t>
        </is>
      </c>
      <c r="D59" s="30" t="inlineStr">
        <is>
          <t>WBS-200</t>
        </is>
      </c>
      <c r="E59" s="30" t="inlineStr">
        <is>
          <t>MO_PEON</t>
        </is>
      </c>
      <c r="F59" t="inlineStr">
        <is>
          <t>PEON</t>
        </is>
      </c>
      <c r="G59" t="n">
        <v>64</v>
      </c>
      <c r="H59" s="30" t="inlineStr">
        <is>
          <t>hh</t>
        </is>
      </c>
      <c r="I59">
        <f>IFERROR(VLOOKUP(E59, '05_MAESTRO_RECURSOS'!A:D, 4, FALSE), IFERROR(VLOOKUP(E59, '06_MAESTRO_PARTIDAS_EV'!B:F, 5, FALSE), 0))</f>
        <v/>
      </c>
      <c r="J59">
        <f>ROUND(G59 * I59, 2)</f>
        <v/>
      </c>
      <c r="K59" t="inlineStr">
        <is>
          <t>AC_MO</t>
        </is>
      </c>
      <c r="L59" t="inlineStr">
        <is>
          <t>tareador.html</t>
        </is>
      </c>
    </row>
    <row r="60">
      <c r="A60" s="30" t="inlineStr">
        <is>
          <t>LOG-20260804-059</t>
        </is>
      </c>
      <c r="B60" s="32" t="n">
        <v>46238</v>
      </c>
      <c r="C60" t="inlineStr">
        <is>
          <t>Almacenero</t>
        </is>
      </c>
      <c r="D60" s="30" t="inlineStr">
        <is>
          <t>WBS-200</t>
        </is>
      </c>
      <c r="E60" s="30" t="inlineStr">
        <is>
          <t>MAT_ARENA_CAMAS</t>
        </is>
      </c>
      <c r="F60" t="inlineStr">
        <is>
          <t>ARENA FINA SELECCIONADA PARA CAMA</t>
        </is>
      </c>
      <c r="G60" t="n">
        <v>10</v>
      </c>
      <c r="H60" s="30" t="inlineStr">
        <is>
          <t>m3</t>
        </is>
      </c>
      <c r="I60">
        <f>IFERROR(VLOOKUP(E60, '05_MAESTRO_RECURSOS'!A:D, 4, FALSE), IFERROR(VLOOKUP(E60, '06_MAESTRO_PARTIDAS_EV'!B:F, 5, FALSE), 0))</f>
        <v/>
      </c>
      <c r="J60">
        <f>ROUND(G60 * I60, 2)</f>
        <v/>
      </c>
      <c r="K60" t="inlineStr">
        <is>
          <t>AC_MAT</t>
        </is>
      </c>
      <c r="L60" t="inlineStr">
        <is>
          <t>almacenero.html</t>
        </is>
      </c>
    </row>
    <row r="61">
      <c r="A61" s="30" t="inlineStr">
        <is>
          <t>LOG-20260804-060</t>
        </is>
      </c>
      <c r="B61" s="32" t="n">
        <v>46238</v>
      </c>
      <c r="C61" t="inlineStr">
        <is>
          <t>Almacenero</t>
        </is>
      </c>
      <c r="D61" s="30" t="inlineStr">
        <is>
          <t>WBS-200</t>
        </is>
      </c>
      <c r="E61" s="30" t="inlineStr">
        <is>
          <t>MAT_TUB_PVC_200</t>
        </is>
      </c>
      <c r="F61" t="inlineStr">
        <is>
          <t>TUBERIA PVC UF DN 200MM S-20 ALCANTARILLADO</t>
        </is>
      </c>
      <c r="G61" t="n">
        <v>120</v>
      </c>
      <c r="H61" s="30" t="inlineStr">
        <is>
          <t>m</t>
        </is>
      </c>
      <c r="I61">
        <f>IFERROR(VLOOKUP(E61, '05_MAESTRO_RECURSOS'!A:D, 4, FALSE), IFERROR(VLOOKUP(E61, '06_MAESTRO_PARTIDAS_EV'!B:F, 5, FALSE), 0))</f>
        <v/>
      </c>
      <c r="J61">
        <f>ROUND(G61 * I61, 2)</f>
        <v/>
      </c>
      <c r="K61" t="inlineStr">
        <is>
          <t>AC_MAT</t>
        </is>
      </c>
      <c r="L61" t="inlineStr">
        <is>
          <t>almacenero.html</t>
        </is>
      </c>
    </row>
    <row r="62">
      <c r="A62" s="30" t="inlineStr">
        <is>
          <t>LOG-20260804-061</t>
        </is>
      </c>
      <c r="B62" s="32" t="n">
        <v>46238</v>
      </c>
      <c r="C62" t="inlineStr">
        <is>
          <t>Almacenero</t>
        </is>
      </c>
      <c r="D62" s="30" t="inlineStr">
        <is>
          <t>WBS-200</t>
        </is>
      </c>
      <c r="E62" s="30" t="inlineStr">
        <is>
          <t>MAT_LUBRICANTE</t>
        </is>
      </c>
      <c r="F62" t="inlineStr">
        <is>
          <t>LUBRICANTE PARA TUBERIA</t>
        </is>
      </c>
      <c r="G62" t="n">
        <v>2</v>
      </c>
      <c r="H62" s="30" t="inlineStr">
        <is>
          <t>kg</t>
        </is>
      </c>
      <c r="I62">
        <f>IFERROR(VLOOKUP(E62, '05_MAESTRO_RECURSOS'!A:D, 4, FALSE), IFERROR(VLOOKUP(E62, '06_MAESTRO_PARTIDAS_EV'!B:F, 5, FALSE), 0))</f>
        <v/>
      </c>
      <c r="J62">
        <f>ROUND(G62 * I62, 2)</f>
        <v/>
      </c>
      <c r="K62" t="inlineStr">
        <is>
          <t>AC_MAT</t>
        </is>
      </c>
      <c r="L62" t="inlineStr">
        <is>
          <t>almacenero.html</t>
        </is>
      </c>
    </row>
    <row r="63">
      <c r="A63" s="30" t="inlineStr">
        <is>
          <t>LOG-20260804-062</t>
        </is>
      </c>
      <c r="B63" s="32" t="n">
        <v>46238</v>
      </c>
      <c r="C63" t="inlineStr">
        <is>
          <t>Almacenero</t>
        </is>
      </c>
      <c r="D63" s="30" t="inlineStr">
        <is>
          <t>WBS-200</t>
        </is>
      </c>
      <c r="E63" s="30" t="inlineStr">
        <is>
          <t>MAT_CAJA_REGISTRO</t>
        </is>
      </c>
      <c r="F63" t="inlineStr">
        <is>
          <t>CAJA REGISTRO CONCRETO 12X24</t>
        </is>
      </c>
      <c r="G63" t="n">
        <v>3</v>
      </c>
      <c r="H63" s="30" t="inlineStr">
        <is>
          <t>und</t>
        </is>
      </c>
      <c r="I63">
        <f>IFERROR(VLOOKUP(E63, '05_MAESTRO_RECURSOS'!A:D, 4, FALSE), IFERROR(VLOOKUP(E63, '06_MAESTRO_PARTIDAS_EV'!B:F, 5, FALSE), 0))</f>
        <v/>
      </c>
      <c r="J63">
        <f>ROUND(G63 * I63, 2)</f>
        <v/>
      </c>
      <c r="K63" t="inlineStr">
        <is>
          <t>AC_MAT</t>
        </is>
      </c>
      <c r="L63" t="inlineStr">
        <is>
          <t>almacenero.html</t>
        </is>
      </c>
    </row>
    <row r="64">
      <c r="A64" s="30" t="inlineStr">
        <is>
          <t>LOG-20260804-063</t>
        </is>
      </c>
      <c r="B64" s="32" t="n">
        <v>46238</v>
      </c>
      <c r="C64" t="inlineStr">
        <is>
          <t>Almacenero</t>
        </is>
      </c>
      <c r="D64" s="30" t="inlineStr">
        <is>
          <t>WBS-200</t>
        </is>
      </c>
      <c r="E64" s="30" t="inlineStr">
        <is>
          <t>MAT_TUB_PVC_160_CONEX</t>
        </is>
      </c>
      <c r="F64" t="inlineStr">
        <is>
          <t>TUBERIA PVC SAL 160MM ACOMETIDA</t>
        </is>
      </c>
      <c r="G64" t="n">
        <v>18</v>
      </c>
      <c r="H64" s="30" t="inlineStr">
        <is>
          <t>m</t>
        </is>
      </c>
      <c r="I64">
        <f>IFERROR(VLOOKUP(E64, '05_MAESTRO_RECURSOS'!A:D, 4, FALSE), IFERROR(VLOOKUP(E64, '06_MAESTRO_PARTIDAS_EV'!B:F, 5, FALSE), 0))</f>
        <v/>
      </c>
      <c r="J64">
        <f>ROUND(G64 * I64, 2)</f>
        <v/>
      </c>
      <c r="K64" t="inlineStr">
        <is>
          <t>AC_MAT</t>
        </is>
      </c>
      <c r="L64" t="inlineStr">
        <is>
          <t>almacenero.html</t>
        </is>
      </c>
    </row>
    <row r="65">
      <c r="A65" s="30" t="inlineStr">
        <is>
          <t>LOG-20260804-064</t>
        </is>
      </c>
      <c r="B65" s="32" t="n">
        <v>46238</v>
      </c>
      <c r="C65" t="inlineStr">
        <is>
          <t>Administradora</t>
        </is>
      </c>
      <c r="D65" s="30" t="inlineStr">
        <is>
          <t>WBS-200</t>
        </is>
      </c>
      <c r="E65" s="30" t="inlineStr">
        <is>
          <t>SUB_ENSAYOS_COMPAC</t>
        </is>
      </c>
      <c r="F65" t="inlineStr">
        <is>
          <t>SUBCONTRATO DENSIDADES PROCTOR</t>
        </is>
      </c>
      <c r="G65" t="n">
        <v>2</v>
      </c>
      <c r="H65" s="30" t="inlineStr">
        <is>
          <t>und</t>
        </is>
      </c>
      <c r="I65">
        <f>IFERROR(VLOOKUP(E65, '05_MAESTRO_RECURSOS'!A:D, 4, FALSE), IFERROR(VLOOKUP(E65, '06_MAESTRO_PARTIDAS_EV'!B:F, 5, FALSE), 0))</f>
        <v/>
      </c>
      <c r="J65">
        <f>ROUND(G65 * I65, 2)</f>
        <v/>
      </c>
      <c r="K65" t="inlineStr">
        <is>
          <t>AC_SUB</t>
        </is>
      </c>
      <c r="L65" t="inlineStr">
        <is>
          <t>administradora.html</t>
        </is>
      </c>
    </row>
    <row r="66">
      <c r="A66" s="30" t="inlineStr">
        <is>
          <t>LOG-20260804-065</t>
        </is>
      </c>
      <c r="B66" s="32" t="n">
        <v>46238</v>
      </c>
      <c r="C66" t="inlineStr">
        <is>
          <t>Ing. de Campo</t>
        </is>
      </c>
      <c r="D66" s="30" t="inlineStr">
        <is>
          <t>WBS-200</t>
        </is>
      </c>
      <c r="E66" s="30" t="inlineStr">
        <is>
          <t>01.02.07</t>
        </is>
      </c>
      <c r="F66" t="inlineStr">
        <is>
          <t>CONEXIONES DOMICILIARIAS ALCANTARILLADO DN 160MM</t>
        </is>
      </c>
      <c r="G66" t="n">
        <v>3</v>
      </c>
      <c r="H66" s="30" t="inlineStr">
        <is>
          <t>UND</t>
        </is>
      </c>
      <c r="I66">
        <f>IFERROR(VLOOKUP(E66, '05_MAESTRO_RECURSOS'!A:D, 4, FALSE), IFERROR(VLOOKUP(E66, '06_MAESTRO_PARTIDAS_EV'!B:F, 5, FALSE), 0))</f>
        <v/>
      </c>
      <c r="J66">
        <f>ROUND(G66 * I66, 2)</f>
        <v/>
      </c>
      <c r="K66" t="inlineStr">
        <is>
          <t>EV_PRODUCCION</t>
        </is>
      </c>
      <c r="L66" t="inlineStr">
        <is>
          <t>ing_campo.html</t>
        </is>
      </c>
    </row>
    <row r="67">
      <c r="A67" s="30" t="inlineStr">
        <is>
          <t>LOG-20260804-066</t>
        </is>
      </c>
      <c r="B67" s="32" t="n">
        <v>46238</v>
      </c>
      <c r="C67" t="inlineStr">
        <is>
          <t>Administradora</t>
        </is>
      </c>
      <c r="D67" s="30" t="inlineStr">
        <is>
          <t>WBS-200</t>
        </is>
      </c>
      <c r="E67" s="30" t="inlineStr">
        <is>
          <t>EQ_EXCAVADORA</t>
        </is>
      </c>
      <c r="F67" t="inlineStr">
        <is>
          <t>EXCAVADORA ORUGAS 140 HP</t>
        </is>
      </c>
      <c r="G67" t="n">
        <v>8</v>
      </c>
      <c r="H67" s="30" t="inlineStr">
        <is>
          <t>hm</t>
        </is>
      </c>
      <c r="I67">
        <f>IFERROR(VLOOKUP(E67, '05_MAESTRO_RECURSOS'!A:D, 4, FALSE), IFERROR(VLOOKUP(E67, '06_MAESTRO_PARTIDAS_EV'!B:F, 5, FALSE), 0))</f>
        <v/>
      </c>
      <c r="J67">
        <f>ROUND(G67 * I67, 2)</f>
        <v/>
      </c>
      <c r="K67" t="inlineStr">
        <is>
          <t>AC_EQP</t>
        </is>
      </c>
      <c r="L67" t="inlineStr">
        <is>
          <t>administradora.html</t>
        </is>
      </c>
    </row>
    <row r="68">
      <c r="A68" s="30" t="inlineStr">
        <is>
          <t>LOG-20260804-067</t>
        </is>
      </c>
      <c r="B68" s="32" t="n">
        <v>46238</v>
      </c>
      <c r="C68" t="inlineStr">
        <is>
          <t>Administradora</t>
        </is>
      </c>
      <c r="D68" s="30" t="inlineStr">
        <is>
          <t>WBS-200</t>
        </is>
      </c>
      <c r="E68" s="30" t="inlineStr">
        <is>
          <t>EQ_PLANCHA</t>
        </is>
      </c>
      <c r="F68" t="inlineStr">
        <is>
          <t>PLANCHA COMPACTADORA 7 HP</t>
        </is>
      </c>
      <c r="G68" t="n">
        <v>8</v>
      </c>
      <c r="H68" s="30" t="inlineStr">
        <is>
          <t>hm</t>
        </is>
      </c>
      <c r="I68">
        <f>IFERROR(VLOOKUP(E68, '05_MAESTRO_RECURSOS'!A:D, 4, FALSE), IFERROR(VLOOKUP(E68, '06_MAESTRO_PARTIDAS_EV'!B:F, 5, FALSE), 0))</f>
        <v/>
      </c>
      <c r="J68">
        <f>ROUND(G68 * I68, 2)</f>
        <v/>
      </c>
      <c r="K68" t="inlineStr">
        <is>
          <t>AC_EQP</t>
        </is>
      </c>
      <c r="L68" t="inlineStr">
        <is>
          <t>administradora.html</t>
        </is>
      </c>
    </row>
    <row r="69">
      <c r="A69" s="30" t="inlineStr">
        <is>
          <t>LOG-20260804-068</t>
        </is>
      </c>
      <c r="B69" s="32" t="n">
        <v>46238</v>
      </c>
      <c r="C69" t="inlineStr">
        <is>
          <t>Administradora</t>
        </is>
      </c>
      <c r="D69" s="30" t="inlineStr">
        <is>
          <t>WBS-200</t>
        </is>
      </c>
      <c r="E69" s="30" t="inlineStr">
        <is>
          <t>EQ_RODILLO_CAMINANTE</t>
        </is>
      </c>
      <c r="F69" t="inlineStr">
        <is>
          <t>RODILLO VIBRATORIO 1.5 TN</t>
        </is>
      </c>
      <c r="G69" t="n">
        <v>8</v>
      </c>
      <c r="H69" s="30" t="inlineStr">
        <is>
          <t>hm</t>
        </is>
      </c>
      <c r="I69">
        <f>IFERROR(VLOOKUP(E69, '05_MAESTRO_RECURSOS'!A:D, 4, FALSE), IFERROR(VLOOKUP(E69, '06_MAESTRO_PARTIDAS_EV'!B:F, 5, FALSE), 0))</f>
        <v/>
      </c>
      <c r="J69">
        <f>ROUND(G69 * I69, 2)</f>
        <v/>
      </c>
      <c r="K69" t="inlineStr">
        <is>
          <t>AC_EQP</t>
        </is>
      </c>
      <c r="L69" t="inlineStr">
        <is>
          <t>administradora.html</t>
        </is>
      </c>
    </row>
    <row r="70">
      <c r="A70" s="30" t="inlineStr">
        <is>
          <t>LOG-20260804-069</t>
        </is>
      </c>
      <c r="B70" s="32" t="n">
        <v>46238</v>
      </c>
      <c r="C70" t="inlineStr">
        <is>
          <t>Ing. de Campo</t>
        </is>
      </c>
      <c r="D70" s="30" t="inlineStr">
        <is>
          <t>WBS-200</t>
        </is>
      </c>
      <c r="E70" s="30" t="inlineStr">
        <is>
          <t>01.02.02</t>
        </is>
      </c>
      <c r="F70" t="inlineStr">
        <is>
          <t>EXCAVACION DE ZANJA C/MAQUINA EN T. SEMIROCOSO</t>
        </is>
      </c>
      <c r="G70" t="n">
        <v>150</v>
      </c>
      <c r="H70" s="30" t="inlineStr">
        <is>
          <t>M3</t>
        </is>
      </c>
      <c r="I70">
        <f>IFERROR(VLOOKUP(E70, '05_MAESTRO_RECURSOS'!A:D, 4, FALSE), IFERROR(VLOOKUP(E70, '06_MAESTRO_PARTIDAS_EV'!B:F, 5, FALSE), 0))</f>
        <v/>
      </c>
      <c r="J70">
        <f>ROUND(G70 * I70, 2)</f>
        <v/>
      </c>
      <c r="K70" t="inlineStr">
        <is>
          <t>EV_PRODUCCION</t>
        </is>
      </c>
      <c r="L70" t="inlineStr">
        <is>
          <t>ing_campo.html</t>
        </is>
      </c>
    </row>
    <row r="71">
      <c r="A71" s="30" t="inlineStr">
        <is>
          <t>LOG-20260804-070</t>
        </is>
      </c>
      <c r="B71" s="32" t="n">
        <v>46238</v>
      </c>
      <c r="C71" t="inlineStr">
        <is>
          <t>Ing. de Campo</t>
        </is>
      </c>
      <c r="D71" s="30" t="inlineStr">
        <is>
          <t>WBS-200</t>
        </is>
      </c>
      <c r="E71" s="30" t="inlineStr">
        <is>
          <t>01.02.03</t>
        </is>
      </c>
      <c r="F71" t="inlineStr">
        <is>
          <t>CAMA DE APOYO H=0.10 M CON ARENA SELECCIONADA</t>
        </is>
      </c>
      <c r="G71" t="n">
        <v>120</v>
      </c>
      <c r="H71" s="30" t="inlineStr">
        <is>
          <t>M</t>
        </is>
      </c>
      <c r="I71">
        <f>IFERROR(VLOOKUP(E71, '05_MAESTRO_RECURSOS'!A:D, 4, FALSE), IFERROR(VLOOKUP(E71, '06_MAESTRO_PARTIDAS_EV'!B:F, 5, FALSE), 0))</f>
        <v/>
      </c>
      <c r="J71">
        <f>ROUND(G71 * I71, 2)</f>
        <v/>
      </c>
      <c r="K71" t="inlineStr">
        <is>
          <t>EV_PRODUCCION</t>
        </is>
      </c>
      <c r="L71" t="inlineStr">
        <is>
          <t>ing_campo.html</t>
        </is>
      </c>
    </row>
    <row r="72">
      <c r="A72" s="30" t="inlineStr">
        <is>
          <t>LOG-20260804-071</t>
        </is>
      </c>
      <c r="B72" s="32" t="n">
        <v>46238</v>
      </c>
      <c r="C72" t="inlineStr">
        <is>
          <t>Ing. de Campo</t>
        </is>
      </c>
      <c r="D72" s="30" t="inlineStr">
        <is>
          <t>WBS-200</t>
        </is>
      </c>
      <c r="E72" s="30" t="inlineStr">
        <is>
          <t>01.02.04</t>
        </is>
      </c>
      <c r="F72" t="inlineStr">
        <is>
          <t>SUMINISTRO E INSTALACION DE TUBERIA PVC DN 200MM S-20</t>
        </is>
      </c>
      <c r="G72" t="n">
        <v>120</v>
      </c>
      <c r="H72" s="30" t="inlineStr">
        <is>
          <t>M</t>
        </is>
      </c>
      <c r="I72">
        <f>IFERROR(VLOOKUP(E72, '05_MAESTRO_RECURSOS'!A:D, 4, FALSE), IFERROR(VLOOKUP(E72, '06_MAESTRO_PARTIDAS_EV'!B:F, 5, FALSE), 0))</f>
        <v/>
      </c>
      <c r="J72">
        <f>ROUND(G72 * I72, 2)</f>
        <v/>
      </c>
      <c r="K72" t="inlineStr">
        <is>
          <t>EV_PRODUCCION</t>
        </is>
      </c>
      <c r="L72" t="inlineStr">
        <is>
          <t>ing_campo.html</t>
        </is>
      </c>
    </row>
    <row r="73">
      <c r="A73" s="30" t="inlineStr">
        <is>
          <t>LOG-20260804-072</t>
        </is>
      </c>
      <c r="B73" s="32" t="n">
        <v>46238</v>
      </c>
      <c r="C73" t="inlineStr">
        <is>
          <t>Ing. de Campo</t>
        </is>
      </c>
      <c r="D73" s="30" t="inlineStr">
        <is>
          <t>WBS-200</t>
        </is>
      </c>
      <c r="E73" s="30" t="inlineStr">
        <is>
          <t>01.02.05</t>
        </is>
      </c>
      <c r="F73" t="inlineStr">
        <is>
          <t>RELLENO COMPACTADO DE ZANJA C/MATERIAL PRESTAMO</t>
        </is>
      </c>
      <c r="G73" t="n">
        <v>120</v>
      </c>
      <c r="H73" s="30" t="inlineStr">
        <is>
          <t>M</t>
        </is>
      </c>
      <c r="I73">
        <f>IFERROR(VLOOKUP(E73, '05_MAESTRO_RECURSOS'!A:D, 4, FALSE), IFERROR(VLOOKUP(E73, '06_MAESTRO_PARTIDAS_EV'!B:F, 5, FALSE), 0))</f>
        <v/>
      </c>
      <c r="J73">
        <f>ROUND(G73 * I73, 2)</f>
        <v/>
      </c>
      <c r="K73" t="inlineStr">
        <is>
          <t>EV_PRODUCCION</t>
        </is>
      </c>
      <c r="L73" t="inlineStr">
        <is>
          <t>ing_campo.html</t>
        </is>
      </c>
    </row>
    <row r="74">
      <c r="A74" s="30" t="inlineStr">
        <is>
          <t>LOG-20260805-073</t>
        </is>
      </c>
      <c r="B74" s="32" t="n">
        <v>46239</v>
      </c>
      <c r="C74" t="inlineStr">
        <is>
          <t>Tareador (Bildin)</t>
        </is>
      </c>
      <c r="D74" s="30" t="inlineStr">
        <is>
          <t>WBS-200</t>
        </is>
      </c>
      <c r="E74" s="30" t="inlineStr">
        <is>
          <t>MO_CAPATAZ</t>
        </is>
      </c>
      <c r="F74" t="inlineStr">
        <is>
          <t>CAPATAZ</t>
        </is>
      </c>
      <c r="G74" t="n">
        <v>8</v>
      </c>
      <c r="H74" s="30" t="inlineStr">
        <is>
          <t>hh</t>
        </is>
      </c>
      <c r="I74">
        <f>IFERROR(VLOOKUP(E74, '05_MAESTRO_RECURSOS'!A:D, 4, FALSE), IFERROR(VLOOKUP(E74, '06_MAESTRO_PARTIDAS_EV'!B:F, 5, FALSE), 0))</f>
        <v/>
      </c>
      <c r="J74">
        <f>ROUND(G74 * I74, 2)</f>
        <v/>
      </c>
      <c r="K74" t="inlineStr">
        <is>
          <t>AC_MO</t>
        </is>
      </c>
      <c r="L74" t="inlineStr">
        <is>
          <t>tareador.html</t>
        </is>
      </c>
    </row>
    <row r="75">
      <c r="A75" s="30" t="inlineStr">
        <is>
          <t>LOG-20260805-074</t>
        </is>
      </c>
      <c r="B75" s="32" t="n">
        <v>46239</v>
      </c>
      <c r="C75" t="inlineStr">
        <is>
          <t>Tareador (Bildin)</t>
        </is>
      </c>
      <c r="D75" s="30" t="inlineStr">
        <is>
          <t>WBS-200</t>
        </is>
      </c>
      <c r="E75" s="30" t="inlineStr">
        <is>
          <t>MO_OPERARIO</t>
        </is>
      </c>
      <c r="F75" t="inlineStr">
        <is>
          <t>OPERARIO</t>
        </is>
      </c>
      <c r="G75" t="n">
        <v>24</v>
      </c>
      <c r="H75" s="30" t="inlineStr">
        <is>
          <t>hh</t>
        </is>
      </c>
      <c r="I75">
        <f>IFERROR(VLOOKUP(E75, '05_MAESTRO_RECURSOS'!A:D, 4, FALSE), IFERROR(VLOOKUP(E75, '06_MAESTRO_PARTIDAS_EV'!B:F, 5, FALSE), 0))</f>
        <v/>
      </c>
      <c r="J75">
        <f>ROUND(G75 * I75, 2)</f>
        <v/>
      </c>
      <c r="K75" t="inlineStr">
        <is>
          <t>AC_MO</t>
        </is>
      </c>
      <c r="L75" t="inlineStr">
        <is>
          <t>tareador.html</t>
        </is>
      </c>
    </row>
    <row r="76">
      <c r="A76" s="30" t="inlineStr">
        <is>
          <t>LOG-20260805-075</t>
        </is>
      </c>
      <c r="B76" s="32" t="n">
        <v>46239</v>
      </c>
      <c r="C76" t="inlineStr">
        <is>
          <t>Tareador (Bildin)</t>
        </is>
      </c>
      <c r="D76" s="30" t="inlineStr">
        <is>
          <t>WBS-200</t>
        </is>
      </c>
      <c r="E76" s="30" t="inlineStr">
        <is>
          <t>MO_OFICIAL</t>
        </is>
      </c>
      <c r="F76" t="inlineStr">
        <is>
          <t>OFICIAL</t>
        </is>
      </c>
      <c r="G76" t="n">
        <v>16</v>
      </c>
      <c r="H76" s="30" t="inlineStr">
        <is>
          <t>hh</t>
        </is>
      </c>
      <c r="I76">
        <f>IFERROR(VLOOKUP(E76, '05_MAESTRO_RECURSOS'!A:D, 4, FALSE), IFERROR(VLOOKUP(E76, '06_MAESTRO_PARTIDAS_EV'!B:F, 5, FALSE), 0))</f>
        <v/>
      </c>
      <c r="J76">
        <f>ROUND(G76 * I76, 2)</f>
        <v/>
      </c>
      <c r="K76" t="inlineStr">
        <is>
          <t>AC_MO</t>
        </is>
      </c>
      <c r="L76" t="inlineStr">
        <is>
          <t>tareador.html</t>
        </is>
      </c>
    </row>
    <row r="77">
      <c r="A77" s="30" t="inlineStr">
        <is>
          <t>LOG-20260805-076</t>
        </is>
      </c>
      <c r="B77" s="32" t="n">
        <v>46239</v>
      </c>
      <c r="C77" t="inlineStr">
        <is>
          <t>Tareador (Bildin)</t>
        </is>
      </c>
      <c r="D77" s="30" t="inlineStr">
        <is>
          <t>WBS-200</t>
        </is>
      </c>
      <c r="E77" s="30" t="inlineStr">
        <is>
          <t>MO_PEON</t>
        </is>
      </c>
      <c r="F77" t="inlineStr">
        <is>
          <t>PEON</t>
        </is>
      </c>
      <c r="G77" t="n">
        <v>64</v>
      </c>
      <c r="H77" s="30" t="inlineStr">
        <is>
          <t>hh</t>
        </is>
      </c>
      <c r="I77">
        <f>IFERROR(VLOOKUP(E77, '05_MAESTRO_RECURSOS'!A:D, 4, FALSE), IFERROR(VLOOKUP(E77, '06_MAESTRO_PARTIDAS_EV'!B:F, 5, FALSE), 0))</f>
        <v/>
      </c>
      <c r="J77">
        <f>ROUND(G77 * I77, 2)</f>
        <v/>
      </c>
      <c r="K77" t="inlineStr">
        <is>
          <t>AC_MO</t>
        </is>
      </c>
      <c r="L77" t="inlineStr">
        <is>
          <t>tareador.html</t>
        </is>
      </c>
    </row>
    <row r="78">
      <c r="A78" s="30" t="inlineStr">
        <is>
          <t>LOG-20260805-077</t>
        </is>
      </c>
      <c r="B78" s="32" t="n">
        <v>46239</v>
      </c>
      <c r="C78" t="inlineStr">
        <is>
          <t>Almacenero</t>
        </is>
      </c>
      <c r="D78" s="30" t="inlineStr">
        <is>
          <t>WBS-200</t>
        </is>
      </c>
      <c r="E78" s="30" t="inlineStr">
        <is>
          <t>MAT_ARENA_CAMAS</t>
        </is>
      </c>
      <c r="F78" t="inlineStr">
        <is>
          <t>ARENA FINA SELECCIONADA PARA CAMA</t>
        </is>
      </c>
      <c r="G78" t="n">
        <v>10</v>
      </c>
      <c r="H78" s="30" t="inlineStr">
        <is>
          <t>m3</t>
        </is>
      </c>
      <c r="I78">
        <f>IFERROR(VLOOKUP(E78, '05_MAESTRO_RECURSOS'!A:D, 4, FALSE), IFERROR(VLOOKUP(E78, '06_MAESTRO_PARTIDAS_EV'!B:F, 5, FALSE), 0))</f>
        <v/>
      </c>
      <c r="J78">
        <f>ROUND(G78 * I78, 2)</f>
        <v/>
      </c>
      <c r="K78" t="inlineStr">
        <is>
          <t>AC_MAT</t>
        </is>
      </c>
      <c r="L78" t="inlineStr">
        <is>
          <t>almacenero.html</t>
        </is>
      </c>
    </row>
    <row r="79">
      <c r="A79" s="30" t="inlineStr">
        <is>
          <t>LOG-20260805-078</t>
        </is>
      </c>
      <c r="B79" s="32" t="n">
        <v>46239</v>
      </c>
      <c r="C79" t="inlineStr">
        <is>
          <t>Almacenero</t>
        </is>
      </c>
      <c r="D79" s="30" t="inlineStr">
        <is>
          <t>WBS-200</t>
        </is>
      </c>
      <c r="E79" s="30" t="inlineStr">
        <is>
          <t>MAT_TUB_PVC_200</t>
        </is>
      </c>
      <c r="F79" t="inlineStr">
        <is>
          <t>TUBERIA PVC UF DN 200MM S-20 ALCANTARILLADO</t>
        </is>
      </c>
      <c r="G79" t="n">
        <v>120</v>
      </c>
      <c r="H79" s="30" t="inlineStr">
        <is>
          <t>m</t>
        </is>
      </c>
      <c r="I79">
        <f>IFERROR(VLOOKUP(E79, '05_MAESTRO_RECURSOS'!A:D, 4, FALSE), IFERROR(VLOOKUP(E79, '06_MAESTRO_PARTIDAS_EV'!B:F, 5, FALSE), 0))</f>
        <v/>
      </c>
      <c r="J79">
        <f>ROUND(G79 * I79, 2)</f>
        <v/>
      </c>
      <c r="K79" t="inlineStr">
        <is>
          <t>AC_MAT</t>
        </is>
      </c>
      <c r="L79" t="inlineStr">
        <is>
          <t>almacenero.html</t>
        </is>
      </c>
    </row>
    <row r="80">
      <c r="A80" s="30" t="inlineStr">
        <is>
          <t>LOG-20260805-079</t>
        </is>
      </c>
      <c r="B80" s="32" t="n">
        <v>46239</v>
      </c>
      <c r="C80" t="inlineStr">
        <is>
          <t>Almacenero</t>
        </is>
      </c>
      <c r="D80" s="30" t="inlineStr">
        <is>
          <t>WBS-200</t>
        </is>
      </c>
      <c r="E80" s="30" t="inlineStr">
        <is>
          <t>MAT_LUBRICANTE</t>
        </is>
      </c>
      <c r="F80" t="inlineStr">
        <is>
          <t>LUBRICANTE PARA TUBERIA</t>
        </is>
      </c>
      <c r="G80" t="n">
        <v>2</v>
      </c>
      <c r="H80" s="30" t="inlineStr">
        <is>
          <t>kg</t>
        </is>
      </c>
      <c r="I80">
        <f>IFERROR(VLOOKUP(E80, '05_MAESTRO_RECURSOS'!A:D, 4, FALSE), IFERROR(VLOOKUP(E80, '06_MAESTRO_PARTIDAS_EV'!B:F, 5, FALSE), 0))</f>
        <v/>
      </c>
      <c r="J80">
        <f>ROUND(G80 * I80, 2)</f>
        <v/>
      </c>
      <c r="K80" t="inlineStr">
        <is>
          <t>AC_MAT</t>
        </is>
      </c>
      <c r="L80" t="inlineStr">
        <is>
          <t>almacenero.html</t>
        </is>
      </c>
    </row>
    <row r="81">
      <c r="A81" s="30" t="inlineStr">
        <is>
          <t>LOG-20260805-080</t>
        </is>
      </c>
      <c r="B81" s="32" t="n">
        <v>46239</v>
      </c>
      <c r="C81" t="inlineStr">
        <is>
          <t>Almacenero</t>
        </is>
      </c>
      <c r="D81" s="30" t="inlineStr">
        <is>
          <t>WBS-200</t>
        </is>
      </c>
      <c r="E81" s="30" t="inlineStr">
        <is>
          <t>MAT_BUZON_PREF</t>
        </is>
      </c>
      <c r="F81" t="inlineStr">
        <is>
          <t>BUZON PREFABRICADO CONCRETO</t>
        </is>
      </c>
      <c r="G81" t="n">
        <v>1</v>
      </c>
      <c r="H81" s="30" t="inlineStr">
        <is>
          <t>und</t>
        </is>
      </c>
      <c r="I81">
        <f>IFERROR(VLOOKUP(E81, '05_MAESTRO_RECURSOS'!A:D, 4, FALSE), IFERROR(VLOOKUP(E81, '06_MAESTRO_PARTIDAS_EV'!B:F, 5, FALSE), 0))</f>
        <v/>
      </c>
      <c r="J81">
        <f>ROUND(G81 * I81, 2)</f>
        <v/>
      </c>
      <c r="K81" t="inlineStr">
        <is>
          <t>AC_MAT</t>
        </is>
      </c>
      <c r="L81" t="inlineStr">
        <is>
          <t>almacenero.html</t>
        </is>
      </c>
    </row>
    <row r="82">
      <c r="A82" s="30" t="inlineStr">
        <is>
          <t>LOG-20260805-081</t>
        </is>
      </c>
      <c r="B82" s="32" t="n">
        <v>46239</v>
      </c>
      <c r="C82" t="inlineStr">
        <is>
          <t>Administradora</t>
        </is>
      </c>
      <c r="D82" s="30" t="inlineStr">
        <is>
          <t>WBS-200</t>
        </is>
      </c>
      <c r="E82" s="30" t="inlineStr">
        <is>
          <t>EQ_CAMION_GRUAN</t>
        </is>
      </c>
      <c r="F82" t="inlineStr">
        <is>
          <t>CAMION GRUA 5 TN MONTAJE BUZONES</t>
        </is>
      </c>
      <c r="G82" t="n">
        <v>4</v>
      </c>
      <c r="H82" s="30" t="inlineStr">
        <is>
          <t>hm</t>
        </is>
      </c>
      <c r="I82">
        <f>IFERROR(VLOOKUP(E82, '05_MAESTRO_RECURSOS'!A:D, 4, FALSE), IFERROR(VLOOKUP(E82, '06_MAESTRO_PARTIDAS_EV'!B:F, 5, FALSE), 0))</f>
        <v/>
      </c>
      <c r="J82">
        <f>ROUND(G82 * I82, 2)</f>
        <v/>
      </c>
      <c r="K82" t="inlineStr">
        <is>
          <t>AC_EQP</t>
        </is>
      </c>
      <c r="L82" t="inlineStr">
        <is>
          <t>administradora.html</t>
        </is>
      </c>
    </row>
    <row r="83">
      <c r="A83" s="30" t="inlineStr">
        <is>
          <t>LOG-20260805-082</t>
        </is>
      </c>
      <c r="B83" s="32" t="n">
        <v>46239</v>
      </c>
      <c r="C83" t="inlineStr">
        <is>
          <t>Administradora</t>
        </is>
      </c>
      <c r="D83" s="30" t="inlineStr">
        <is>
          <t>WBS-200</t>
        </is>
      </c>
      <c r="E83" s="30" t="inlineStr">
        <is>
          <t>SUB_MONTAJE_BUZON</t>
        </is>
      </c>
      <c r="F83" t="inlineStr">
        <is>
          <t>SUBCONTRATO MONTAJE BUZONES</t>
        </is>
      </c>
      <c r="G83" t="n">
        <v>1</v>
      </c>
      <c r="H83" s="30" t="inlineStr">
        <is>
          <t>und</t>
        </is>
      </c>
      <c r="I83">
        <f>IFERROR(VLOOKUP(E83, '05_MAESTRO_RECURSOS'!A:D, 4, FALSE), IFERROR(VLOOKUP(E83, '06_MAESTRO_PARTIDAS_EV'!B:F, 5, FALSE), 0))</f>
        <v/>
      </c>
      <c r="J83">
        <f>ROUND(G83 * I83, 2)</f>
        <v/>
      </c>
      <c r="K83" t="inlineStr">
        <is>
          <t>AC_SUB</t>
        </is>
      </c>
      <c r="L83" t="inlineStr">
        <is>
          <t>administradora.html</t>
        </is>
      </c>
    </row>
    <row r="84">
      <c r="A84" s="30" t="inlineStr">
        <is>
          <t>LOG-20260805-083</t>
        </is>
      </c>
      <c r="B84" s="32" t="n">
        <v>46239</v>
      </c>
      <c r="C84" t="inlineStr">
        <is>
          <t>Ing. de Campo</t>
        </is>
      </c>
      <c r="D84" s="30" t="inlineStr">
        <is>
          <t>WBS-200</t>
        </is>
      </c>
      <c r="E84" s="30" t="inlineStr">
        <is>
          <t>01.02.06</t>
        </is>
      </c>
      <c r="F84" t="inlineStr">
        <is>
          <t>CONSTRUCCION DE BUZONES PREFABRICADOS H=1.5 A 2.5M</t>
        </is>
      </c>
      <c r="G84" t="n">
        <v>1</v>
      </c>
      <c r="H84" s="30" t="inlineStr">
        <is>
          <t>UND</t>
        </is>
      </c>
      <c r="I84">
        <f>IFERROR(VLOOKUP(E84, '05_MAESTRO_RECURSOS'!A:D, 4, FALSE), IFERROR(VLOOKUP(E84, '06_MAESTRO_PARTIDAS_EV'!B:F, 5, FALSE), 0))</f>
        <v/>
      </c>
      <c r="J84">
        <f>ROUND(G84 * I84, 2)</f>
        <v/>
      </c>
      <c r="K84" t="inlineStr">
        <is>
          <t>EV_PRODUCCION</t>
        </is>
      </c>
      <c r="L84" t="inlineStr">
        <is>
          <t>ing_campo.html</t>
        </is>
      </c>
    </row>
    <row r="85">
      <c r="A85" s="30" t="inlineStr">
        <is>
          <t>LOG-20260805-084</t>
        </is>
      </c>
      <c r="B85" s="32" t="n">
        <v>46239</v>
      </c>
      <c r="C85" t="inlineStr">
        <is>
          <t>Almacenero</t>
        </is>
      </c>
      <c r="D85" s="30" t="inlineStr">
        <is>
          <t>WBS-200</t>
        </is>
      </c>
      <c r="E85" s="30" t="inlineStr">
        <is>
          <t>MAT_CAJA_REGISTRO</t>
        </is>
      </c>
      <c r="F85" t="inlineStr">
        <is>
          <t>CAJA REGISTRO CONCRETO 12X24</t>
        </is>
      </c>
      <c r="G85" t="n">
        <v>3</v>
      </c>
      <c r="H85" s="30" t="inlineStr">
        <is>
          <t>und</t>
        </is>
      </c>
      <c r="I85">
        <f>IFERROR(VLOOKUP(E85, '05_MAESTRO_RECURSOS'!A:D, 4, FALSE), IFERROR(VLOOKUP(E85, '06_MAESTRO_PARTIDAS_EV'!B:F, 5, FALSE), 0))</f>
        <v/>
      </c>
      <c r="J85">
        <f>ROUND(G85 * I85, 2)</f>
        <v/>
      </c>
      <c r="K85" t="inlineStr">
        <is>
          <t>AC_MAT</t>
        </is>
      </c>
      <c r="L85" t="inlineStr">
        <is>
          <t>almacenero.html</t>
        </is>
      </c>
    </row>
    <row r="86">
      <c r="A86" s="30" t="inlineStr">
        <is>
          <t>LOG-20260805-085</t>
        </is>
      </c>
      <c r="B86" s="32" t="n">
        <v>46239</v>
      </c>
      <c r="C86" t="inlineStr">
        <is>
          <t>Almacenero</t>
        </is>
      </c>
      <c r="D86" s="30" t="inlineStr">
        <is>
          <t>WBS-200</t>
        </is>
      </c>
      <c r="E86" s="30" t="inlineStr">
        <is>
          <t>MAT_TUB_PVC_160_CONEX</t>
        </is>
      </c>
      <c r="F86" t="inlineStr">
        <is>
          <t>TUBERIA PVC SAL 160MM ACOMETIDA</t>
        </is>
      </c>
      <c r="G86" t="n">
        <v>18</v>
      </c>
      <c r="H86" s="30" t="inlineStr">
        <is>
          <t>m</t>
        </is>
      </c>
      <c r="I86">
        <f>IFERROR(VLOOKUP(E86, '05_MAESTRO_RECURSOS'!A:D, 4, FALSE), IFERROR(VLOOKUP(E86, '06_MAESTRO_PARTIDAS_EV'!B:F, 5, FALSE), 0))</f>
        <v/>
      </c>
      <c r="J86">
        <f>ROUND(G86 * I86, 2)</f>
        <v/>
      </c>
      <c r="K86" t="inlineStr">
        <is>
          <t>AC_MAT</t>
        </is>
      </c>
      <c r="L86" t="inlineStr">
        <is>
          <t>almacenero.html</t>
        </is>
      </c>
    </row>
    <row r="87">
      <c r="A87" s="30" t="inlineStr">
        <is>
          <t>LOG-20260805-086</t>
        </is>
      </c>
      <c r="B87" s="32" t="n">
        <v>46239</v>
      </c>
      <c r="C87" t="inlineStr">
        <is>
          <t>Administradora</t>
        </is>
      </c>
      <c r="D87" s="30" t="inlineStr">
        <is>
          <t>WBS-200</t>
        </is>
      </c>
      <c r="E87" s="30" t="inlineStr">
        <is>
          <t>SUB_ENSAYOS_COMPAC</t>
        </is>
      </c>
      <c r="F87" t="inlineStr">
        <is>
          <t>SUBCONTRATO DENSIDADES PROCTOR</t>
        </is>
      </c>
      <c r="G87" t="n">
        <v>2</v>
      </c>
      <c r="H87" s="30" t="inlineStr">
        <is>
          <t>und</t>
        </is>
      </c>
      <c r="I87">
        <f>IFERROR(VLOOKUP(E87, '05_MAESTRO_RECURSOS'!A:D, 4, FALSE), IFERROR(VLOOKUP(E87, '06_MAESTRO_PARTIDAS_EV'!B:F, 5, FALSE), 0))</f>
        <v/>
      </c>
      <c r="J87">
        <f>ROUND(G87 * I87, 2)</f>
        <v/>
      </c>
      <c r="K87" t="inlineStr">
        <is>
          <t>AC_SUB</t>
        </is>
      </c>
      <c r="L87" t="inlineStr">
        <is>
          <t>administradora.html</t>
        </is>
      </c>
    </row>
    <row r="88">
      <c r="A88" s="30" t="inlineStr">
        <is>
          <t>LOG-20260805-087</t>
        </is>
      </c>
      <c r="B88" s="32" t="n">
        <v>46239</v>
      </c>
      <c r="C88" t="inlineStr">
        <is>
          <t>Ing. de Campo</t>
        </is>
      </c>
      <c r="D88" s="30" t="inlineStr">
        <is>
          <t>WBS-200</t>
        </is>
      </c>
      <c r="E88" s="30" t="inlineStr">
        <is>
          <t>01.02.07</t>
        </is>
      </c>
      <c r="F88" t="inlineStr">
        <is>
          <t>CONEXIONES DOMICILIARIAS ALCANTARILLADO DN 160MM</t>
        </is>
      </c>
      <c r="G88" t="n">
        <v>3</v>
      </c>
      <c r="H88" s="30" t="inlineStr">
        <is>
          <t>UND</t>
        </is>
      </c>
      <c r="I88">
        <f>IFERROR(VLOOKUP(E88, '05_MAESTRO_RECURSOS'!A:D, 4, FALSE), IFERROR(VLOOKUP(E88, '06_MAESTRO_PARTIDAS_EV'!B:F, 5, FALSE), 0))</f>
        <v/>
      </c>
      <c r="J88">
        <f>ROUND(G88 * I88, 2)</f>
        <v/>
      </c>
      <c r="K88" t="inlineStr">
        <is>
          <t>EV_PRODUCCION</t>
        </is>
      </c>
      <c r="L88" t="inlineStr">
        <is>
          <t>ing_campo.html</t>
        </is>
      </c>
    </row>
    <row r="89">
      <c r="A89" s="30" t="inlineStr">
        <is>
          <t>LOG-20260805-088</t>
        </is>
      </c>
      <c r="B89" s="32" t="n">
        <v>46239</v>
      </c>
      <c r="C89" t="inlineStr">
        <is>
          <t>Administradora</t>
        </is>
      </c>
      <c r="D89" s="30" t="inlineStr">
        <is>
          <t>WBS-200</t>
        </is>
      </c>
      <c r="E89" s="30" t="inlineStr">
        <is>
          <t>EQ_EXCAVADORA</t>
        </is>
      </c>
      <c r="F89" t="inlineStr">
        <is>
          <t>EXCAVADORA ORUGAS 140 HP</t>
        </is>
      </c>
      <c r="G89" t="n">
        <v>8</v>
      </c>
      <c r="H89" s="30" t="inlineStr">
        <is>
          <t>hm</t>
        </is>
      </c>
      <c r="I89">
        <f>IFERROR(VLOOKUP(E89, '05_MAESTRO_RECURSOS'!A:D, 4, FALSE), IFERROR(VLOOKUP(E89, '06_MAESTRO_PARTIDAS_EV'!B:F, 5, FALSE), 0))</f>
        <v/>
      </c>
      <c r="J89">
        <f>ROUND(G89 * I89, 2)</f>
        <v/>
      </c>
      <c r="K89" t="inlineStr">
        <is>
          <t>AC_EQP</t>
        </is>
      </c>
      <c r="L89" t="inlineStr">
        <is>
          <t>administradora.html</t>
        </is>
      </c>
    </row>
    <row r="90">
      <c r="A90" s="30" t="inlineStr">
        <is>
          <t>LOG-20260805-089</t>
        </is>
      </c>
      <c r="B90" s="32" t="n">
        <v>46239</v>
      </c>
      <c r="C90" t="inlineStr">
        <is>
          <t>Administradora</t>
        </is>
      </c>
      <c r="D90" s="30" t="inlineStr">
        <is>
          <t>WBS-200</t>
        </is>
      </c>
      <c r="E90" s="30" t="inlineStr">
        <is>
          <t>EQ_PLANCHA</t>
        </is>
      </c>
      <c r="F90" t="inlineStr">
        <is>
          <t>PLANCHA COMPACTADORA 7 HP</t>
        </is>
      </c>
      <c r="G90" t="n">
        <v>8</v>
      </c>
      <c r="H90" s="30" t="inlineStr">
        <is>
          <t>hm</t>
        </is>
      </c>
      <c r="I90">
        <f>IFERROR(VLOOKUP(E90, '05_MAESTRO_RECURSOS'!A:D, 4, FALSE), IFERROR(VLOOKUP(E90, '06_MAESTRO_PARTIDAS_EV'!B:F, 5, FALSE), 0))</f>
        <v/>
      </c>
      <c r="J90">
        <f>ROUND(G90 * I90, 2)</f>
        <v/>
      </c>
      <c r="K90" t="inlineStr">
        <is>
          <t>AC_EQP</t>
        </is>
      </c>
      <c r="L90" t="inlineStr">
        <is>
          <t>administradora.html</t>
        </is>
      </c>
    </row>
    <row r="91">
      <c r="A91" s="30" t="inlineStr">
        <is>
          <t>LOG-20260805-090</t>
        </is>
      </c>
      <c r="B91" s="32" t="n">
        <v>46239</v>
      </c>
      <c r="C91" t="inlineStr">
        <is>
          <t>Administradora</t>
        </is>
      </c>
      <c r="D91" s="30" t="inlineStr">
        <is>
          <t>WBS-200</t>
        </is>
      </c>
      <c r="E91" s="30" t="inlineStr">
        <is>
          <t>EQ_RODILLO_CAMINANTE</t>
        </is>
      </c>
      <c r="F91" t="inlineStr">
        <is>
          <t>RODILLO VIBRATORIO 1.5 TN</t>
        </is>
      </c>
      <c r="G91" t="n">
        <v>8</v>
      </c>
      <c r="H91" s="30" t="inlineStr">
        <is>
          <t>hm</t>
        </is>
      </c>
      <c r="I91">
        <f>IFERROR(VLOOKUP(E91, '05_MAESTRO_RECURSOS'!A:D, 4, FALSE), IFERROR(VLOOKUP(E91, '06_MAESTRO_PARTIDAS_EV'!B:F, 5, FALSE), 0))</f>
        <v/>
      </c>
      <c r="J91">
        <f>ROUND(G91 * I91, 2)</f>
        <v/>
      </c>
      <c r="K91" t="inlineStr">
        <is>
          <t>AC_EQP</t>
        </is>
      </c>
      <c r="L91" t="inlineStr">
        <is>
          <t>administradora.html</t>
        </is>
      </c>
    </row>
    <row r="92">
      <c r="A92" s="30" t="inlineStr">
        <is>
          <t>LOG-20260805-091</t>
        </is>
      </c>
      <c r="B92" s="32" t="n">
        <v>46239</v>
      </c>
      <c r="C92" t="inlineStr">
        <is>
          <t>Ing. de Campo</t>
        </is>
      </c>
      <c r="D92" s="30" t="inlineStr">
        <is>
          <t>WBS-200</t>
        </is>
      </c>
      <c r="E92" s="30" t="inlineStr">
        <is>
          <t>01.02.02</t>
        </is>
      </c>
      <c r="F92" t="inlineStr">
        <is>
          <t>EXCAVACION DE ZANJA C/MAQUINA EN T. SEMIROCOSO</t>
        </is>
      </c>
      <c r="G92" t="n">
        <v>150</v>
      </c>
      <c r="H92" s="30" t="inlineStr">
        <is>
          <t>M3</t>
        </is>
      </c>
      <c r="I92">
        <f>IFERROR(VLOOKUP(E92, '05_MAESTRO_RECURSOS'!A:D, 4, FALSE), IFERROR(VLOOKUP(E92, '06_MAESTRO_PARTIDAS_EV'!B:F, 5, FALSE), 0))</f>
        <v/>
      </c>
      <c r="J92">
        <f>ROUND(G92 * I92, 2)</f>
        <v/>
      </c>
      <c r="K92" t="inlineStr">
        <is>
          <t>EV_PRODUCCION</t>
        </is>
      </c>
      <c r="L92" t="inlineStr">
        <is>
          <t>ing_campo.html</t>
        </is>
      </c>
    </row>
    <row r="93">
      <c r="A93" s="30" t="inlineStr">
        <is>
          <t>LOG-20260805-092</t>
        </is>
      </c>
      <c r="B93" s="32" t="n">
        <v>46239</v>
      </c>
      <c r="C93" t="inlineStr">
        <is>
          <t>Ing. de Campo</t>
        </is>
      </c>
      <c r="D93" s="30" t="inlineStr">
        <is>
          <t>WBS-200</t>
        </is>
      </c>
      <c r="E93" s="30" t="inlineStr">
        <is>
          <t>01.02.03</t>
        </is>
      </c>
      <c r="F93" t="inlineStr">
        <is>
          <t>CAMA DE APOYO H=0.10 M CON ARENA SELECCIONADA</t>
        </is>
      </c>
      <c r="G93" t="n">
        <v>120</v>
      </c>
      <c r="H93" s="30" t="inlineStr">
        <is>
          <t>M</t>
        </is>
      </c>
      <c r="I93">
        <f>IFERROR(VLOOKUP(E93, '05_MAESTRO_RECURSOS'!A:D, 4, FALSE), IFERROR(VLOOKUP(E93, '06_MAESTRO_PARTIDAS_EV'!B:F, 5, FALSE), 0))</f>
        <v/>
      </c>
      <c r="J93">
        <f>ROUND(G93 * I93, 2)</f>
        <v/>
      </c>
      <c r="K93" t="inlineStr">
        <is>
          <t>EV_PRODUCCION</t>
        </is>
      </c>
      <c r="L93" t="inlineStr">
        <is>
          <t>ing_campo.html</t>
        </is>
      </c>
    </row>
    <row r="94">
      <c r="A94" s="30" t="inlineStr">
        <is>
          <t>LOG-20260805-093</t>
        </is>
      </c>
      <c r="B94" s="32" t="n">
        <v>46239</v>
      </c>
      <c r="C94" t="inlineStr">
        <is>
          <t>Ing. de Campo</t>
        </is>
      </c>
      <c r="D94" s="30" t="inlineStr">
        <is>
          <t>WBS-200</t>
        </is>
      </c>
      <c r="E94" s="30" t="inlineStr">
        <is>
          <t>01.02.04</t>
        </is>
      </c>
      <c r="F94" t="inlineStr">
        <is>
          <t>SUMINISTRO E INSTALACION DE TUBERIA PVC DN 200MM S-20</t>
        </is>
      </c>
      <c r="G94" t="n">
        <v>120</v>
      </c>
      <c r="H94" s="30" t="inlineStr">
        <is>
          <t>M</t>
        </is>
      </c>
      <c r="I94">
        <f>IFERROR(VLOOKUP(E94, '05_MAESTRO_RECURSOS'!A:D, 4, FALSE), IFERROR(VLOOKUP(E94, '06_MAESTRO_PARTIDAS_EV'!B:F, 5, FALSE), 0))</f>
        <v/>
      </c>
      <c r="J94">
        <f>ROUND(G94 * I94, 2)</f>
        <v/>
      </c>
      <c r="K94" t="inlineStr">
        <is>
          <t>EV_PRODUCCION</t>
        </is>
      </c>
      <c r="L94" t="inlineStr">
        <is>
          <t>ing_campo.html</t>
        </is>
      </c>
    </row>
    <row r="95">
      <c r="A95" s="30" t="inlineStr">
        <is>
          <t>LOG-20260805-094</t>
        </is>
      </c>
      <c r="B95" s="32" t="n">
        <v>46239</v>
      </c>
      <c r="C95" t="inlineStr">
        <is>
          <t>Ing. de Campo</t>
        </is>
      </c>
      <c r="D95" s="30" t="inlineStr">
        <is>
          <t>WBS-200</t>
        </is>
      </c>
      <c r="E95" s="30" t="inlineStr">
        <is>
          <t>01.02.05</t>
        </is>
      </c>
      <c r="F95" t="inlineStr">
        <is>
          <t>RELLENO COMPACTADO DE ZANJA C/MATERIAL PRESTAMO</t>
        </is>
      </c>
      <c r="G95" t="n">
        <v>120</v>
      </c>
      <c r="H95" s="30" t="inlineStr">
        <is>
          <t>M</t>
        </is>
      </c>
      <c r="I95">
        <f>IFERROR(VLOOKUP(E95, '05_MAESTRO_RECURSOS'!A:D, 4, FALSE), IFERROR(VLOOKUP(E95, '06_MAESTRO_PARTIDAS_EV'!B:F, 5, FALSE), 0))</f>
        <v/>
      </c>
      <c r="J95">
        <f>ROUND(G95 * I95, 2)</f>
        <v/>
      </c>
      <c r="K95" t="inlineStr">
        <is>
          <t>EV_PRODUCCION</t>
        </is>
      </c>
      <c r="L95" t="inlineStr">
        <is>
          <t>ing_campo.html</t>
        </is>
      </c>
    </row>
    <row r="96">
      <c r="A96" s="30" t="inlineStr">
        <is>
          <t>LOG-20260805-095</t>
        </is>
      </c>
      <c r="B96" s="32" t="n">
        <v>46239</v>
      </c>
      <c r="C96" t="inlineStr">
        <is>
          <t>Tareador (Bildin)</t>
        </is>
      </c>
      <c r="D96" s="30" t="inlineStr">
        <is>
          <t>WBS-300</t>
        </is>
      </c>
      <c r="E96" s="30" t="inlineStr">
        <is>
          <t>MO_CAPATAZ</t>
        </is>
      </c>
      <c r="F96" t="inlineStr">
        <is>
          <t>CAPATAZ</t>
        </is>
      </c>
      <c r="G96" t="n">
        <v>4</v>
      </c>
      <c r="H96" s="30" t="inlineStr">
        <is>
          <t>hh</t>
        </is>
      </c>
      <c r="I96">
        <f>IFERROR(VLOOKUP(E96, '05_MAESTRO_RECURSOS'!A:D, 4, FALSE), IFERROR(VLOOKUP(E96, '06_MAESTRO_PARTIDAS_EV'!B:F, 5, FALSE), 0))</f>
        <v/>
      </c>
      <c r="J96">
        <f>ROUND(G96 * I96, 2)</f>
        <v/>
      </c>
      <c r="K96" t="inlineStr">
        <is>
          <t>AC_MO</t>
        </is>
      </c>
      <c r="L96" t="inlineStr">
        <is>
          <t>tareador.html</t>
        </is>
      </c>
    </row>
    <row r="97">
      <c r="A97" s="30" t="inlineStr">
        <is>
          <t>LOG-20260805-096</t>
        </is>
      </c>
      <c r="B97" s="32" t="n">
        <v>46239</v>
      </c>
      <c r="C97" t="inlineStr">
        <is>
          <t>Tareador (Bildin)</t>
        </is>
      </c>
      <c r="D97" s="30" t="inlineStr">
        <is>
          <t>WBS-300</t>
        </is>
      </c>
      <c r="E97" s="30" t="inlineStr">
        <is>
          <t>MO_OPERARIO</t>
        </is>
      </c>
      <c r="F97" t="inlineStr">
        <is>
          <t>OPERARIO</t>
        </is>
      </c>
      <c r="G97" t="n">
        <v>16</v>
      </c>
      <c r="H97" s="30" t="inlineStr">
        <is>
          <t>hh</t>
        </is>
      </c>
      <c r="I97">
        <f>IFERROR(VLOOKUP(E97, '05_MAESTRO_RECURSOS'!A:D, 4, FALSE), IFERROR(VLOOKUP(E97, '06_MAESTRO_PARTIDAS_EV'!B:F, 5, FALSE), 0))</f>
        <v/>
      </c>
      <c r="J97">
        <f>ROUND(G97 * I97, 2)</f>
        <v/>
      </c>
      <c r="K97" t="inlineStr">
        <is>
          <t>AC_MO</t>
        </is>
      </c>
      <c r="L97" t="inlineStr">
        <is>
          <t>tareador.html</t>
        </is>
      </c>
    </row>
    <row r="98">
      <c r="A98" s="30" t="inlineStr">
        <is>
          <t>LOG-20260805-097</t>
        </is>
      </c>
      <c r="B98" s="32" t="n">
        <v>46239</v>
      </c>
      <c r="C98" t="inlineStr">
        <is>
          <t>Tareador (Bildin)</t>
        </is>
      </c>
      <c r="D98" s="30" t="inlineStr">
        <is>
          <t>WBS-300</t>
        </is>
      </c>
      <c r="E98" s="30" t="inlineStr">
        <is>
          <t>MO_PEON</t>
        </is>
      </c>
      <c r="F98" t="inlineStr">
        <is>
          <t>PEON</t>
        </is>
      </c>
      <c r="G98" t="n">
        <v>32</v>
      </c>
      <c r="H98" s="30" t="inlineStr">
        <is>
          <t>hh</t>
        </is>
      </c>
      <c r="I98">
        <f>IFERROR(VLOOKUP(E98, '05_MAESTRO_RECURSOS'!A:D, 4, FALSE), IFERROR(VLOOKUP(E98, '06_MAESTRO_PARTIDAS_EV'!B:F, 5, FALSE), 0))</f>
        <v/>
      </c>
      <c r="J98">
        <f>ROUND(G98 * I98, 2)</f>
        <v/>
      </c>
      <c r="K98" t="inlineStr">
        <is>
          <t>AC_MO</t>
        </is>
      </c>
      <c r="L98" t="inlineStr">
        <is>
          <t>tareador.html</t>
        </is>
      </c>
    </row>
    <row r="99">
      <c r="A99" s="30" t="inlineStr">
        <is>
          <t>LOG-20260805-098</t>
        </is>
      </c>
      <c r="B99" s="32" t="n">
        <v>46239</v>
      </c>
      <c r="C99" t="inlineStr">
        <is>
          <t>Almacenero</t>
        </is>
      </c>
      <c r="D99" s="30" t="inlineStr">
        <is>
          <t>WBS-300</t>
        </is>
      </c>
      <c r="E99" s="30" t="inlineStr">
        <is>
          <t>MAT_TUB_PVC_110_AGUA</t>
        </is>
      </c>
      <c r="F99" t="inlineStr">
        <is>
          <t>TUBERIA PVC C-10 DN 110MM AGUA</t>
        </is>
      </c>
      <c r="G99" t="n">
        <v>150</v>
      </c>
      <c r="H99" s="30" t="inlineStr">
        <is>
          <t>m</t>
        </is>
      </c>
      <c r="I99">
        <f>IFERROR(VLOOKUP(E99, '05_MAESTRO_RECURSOS'!A:D, 4, FALSE), IFERROR(VLOOKUP(E99, '06_MAESTRO_PARTIDAS_EV'!B:F, 5, FALSE), 0))</f>
        <v/>
      </c>
      <c r="J99">
        <f>ROUND(G99 * I99, 2)</f>
        <v/>
      </c>
      <c r="K99" t="inlineStr">
        <is>
          <t>AC_MAT</t>
        </is>
      </c>
      <c r="L99" t="inlineStr">
        <is>
          <t>almacenero.html</t>
        </is>
      </c>
    </row>
    <row r="100">
      <c r="A100" s="30" t="inlineStr">
        <is>
          <t>LOG-20260805-099</t>
        </is>
      </c>
      <c r="B100" s="32" t="n">
        <v>46239</v>
      </c>
      <c r="C100" t="inlineStr">
        <is>
          <t>Almacenero</t>
        </is>
      </c>
      <c r="D100" s="30" t="inlineStr">
        <is>
          <t>WBS-300</t>
        </is>
      </c>
      <c r="E100" s="30" t="inlineStr">
        <is>
          <t>MAT_ACCESORIOS_AGUA</t>
        </is>
      </c>
      <c r="F100" t="inlineStr">
        <is>
          <t>ACCESORIOS PVC AGUA 110MM</t>
        </is>
      </c>
      <c r="G100" t="n">
        <v>1</v>
      </c>
      <c r="H100" s="30" t="inlineStr">
        <is>
          <t>glb</t>
        </is>
      </c>
      <c r="I100">
        <f>IFERROR(VLOOKUP(E100, '05_MAESTRO_RECURSOS'!A:D, 4, FALSE), IFERROR(VLOOKUP(E100, '06_MAESTRO_PARTIDAS_EV'!B:F, 5, FALSE), 0))</f>
        <v/>
      </c>
      <c r="J100">
        <f>ROUND(G100 * I100, 2)</f>
        <v/>
      </c>
      <c r="K100" t="inlineStr">
        <is>
          <t>AC_MAT</t>
        </is>
      </c>
      <c r="L100" t="inlineStr">
        <is>
          <t>almacenero.html</t>
        </is>
      </c>
    </row>
    <row r="101">
      <c r="A101" s="30" t="inlineStr">
        <is>
          <t>LOG-20260805-100</t>
        </is>
      </c>
      <c r="B101" s="32" t="n">
        <v>46239</v>
      </c>
      <c r="C101" t="inlineStr">
        <is>
          <t>Administradora</t>
        </is>
      </c>
      <c r="D101" s="30" t="inlineStr">
        <is>
          <t>WBS-300</t>
        </is>
      </c>
      <c r="E101" s="30" t="inlineStr">
        <is>
          <t>EQ_RETROEXCAVADORA</t>
        </is>
      </c>
      <c r="F101" t="inlineStr">
        <is>
          <t>RETROEXCAVADORA LLANTAS 62 HP</t>
        </is>
      </c>
      <c r="G101" t="n">
        <v>8</v>
      </c>
      <c r="H101" s="30" t="inlineStr">
        <is>
          <t>hm</t>
        </is>
      </c>
      <c r="I101">
        <f>IFERROR(VLOOKUP(E101, '05_MAESTRO_RECURSOS'!A:D, 4, FALSE), IFERROR(VLOOKUP(E101, '06_MAESTRO_PARTIDAS_EV'!B:F, 5, FALSE), 0))</f>
        <v/>
      </c>
      <c r="J101">
        <f>ROUND(G101 * I101, 2)</f>
        <v/>
      </c>
      <c r="K101" t="inlineStr">
        <is>
          <t>AC_EQP</t>
        </is>
      </c>
      <c r="L101" t="inlineStr">
        <is>
          <t>administradora.html</t>
        </is>
      </c>
    </row>
    <row r="102">
      <c r="A102" s="30" t="inlineStr">
        <is>
          <t>LOG-20260805-101</t>
        </is>
      </c>
      <c r="B102" s="32" t="n">
        <v>46239</v>
      </c>
      <c r="C102" t="inlineStr">
        <is>
          <t>Administradora</t>
        </is>
      </c>
      <c r="D102" s="30" t="inlineStr">
        <is>
          <t>WBS-300</t>
        </is>
      </c>
      <c r="E102" s="30" t="inlineStr">
        <is>
          <t>EQ_PLANCHA</t>
        </is>
      </c>
      <c r="F102" t="inlineStr">
        <is>
          <t>PLANCHA COMPACTADORA 7 HP</t>
        </is>
      </c>
      <c r="G102" t="n">
        <v>8</v>
      </c>
      <c r="H102" s="30" t="inlineStr">
        <is>
          <t>hm</t>
        </is>
      </c>
      <c r="I102">
        <f>IFERROR(VLOOKUP(E102, '05_MAESTRO_RECURSOS'!A:D, 4, FALSE), IFERROR(VLOOKUP(E102, '06_MAESTRO_PARTIDAS_EV'!B:F, 5, FALSE), 0))</f>
        <v/>
      </c>
      <c r="J102">
        <f>ROUND(G102 * I102, 2)</f>
        <v/>
      </c>
      <c r="K102" t="inlineStr">
        <is>
          <t>AC_EQP</t>
        </is>
      </c>
      <c r="L102" t="inlineStr">
        <is>
          <t>administradora.html</t>
        </is>
      </c>
    </row>
    <row r="103">
      <c r="A103" s="30" t="inlineStr">
        <is>
          <t>LOG-20260805-102</t>
        </is>
      </c>
      <c r="B103" s="32" t="n">
        <v>46239</v>
      </c>
      <c r="C103" t="inlineStr">
        <is>
          <t>Administradora</t>
        </is>
      </c>
      <c r="D103" s="30" t="inlineStr">
        <is>
          <t>WBS-300</t>
        </is>
      </c>
      <c r="E103" s="30" t="inlineStr">
        <is>
          <t>EQ_RODILLO_CAMINANTE</t>
        </is>
      </c>
      <c r="F103" t="inlineStr">
        <is>
          <t>RODILLO VIBRATORIO 1.5 TN</t>
        </is>
      </c>
      <c r="G103" t="n">
        <v>8</v>
      </c>
      <c r="H103" s="30" t="inlineStr">
        <is>
          <t>hm</t>
        </is>
      </c>
      <c r="I103">
        <f>IFERROR(VLOOKUP(E103, '05_MAESTRO_RECURSOS'!A:D, 4, FALSE), IFERROR(VLOOKUP(E103, '06_MAESTRO_PARTIDAS_EV'!B:F, 5, FALSE), 0))</f>
        <v/>
      </c>
      <c r="J103">
        <f>ROUND(G103 * I103, 2)</f>
        <v/>
      </c>
      <c r="K103" t="inlineStr">
        <is>
          <t>AC_EQP</t>
        </is>
      </c>
      <c r="L103" t="inlineStr">
        <is>
          <t>administradora.html</t>
        </is>
      </c>
    </row>
    <row r="104">
      <c r="A104" s="30" t="inlineStr">
        <is>
          <t>LOG-20260805-103</t>
        </is>
      </c>
      <c r="B104" s="32" t="n">
        <v>46239</v>
      </c>
      <c r="C104" t="inlineStr">
        <is>
          <t>Ing. de Campo</t>
        </is>
      </c>
      <c r="D104" s="30" t="inlineStr">
        <is>
          <t>WBS-300</t>
        </is>
      </c>
      <c r="E104" s="30" t="inlineStr">
        <is>
          <t>01.03.01</t>
        </is>
      </c>
      <c r="F104" t="inlineStr">
        <is>
          <t>INSTALACION TUBERIA PVC C-10 DN 110MM AGUA POTABLE</t>
        </is>
      </c>
      <c r="G104" t="n">
        <v>150</v>
      </c>
      <c r="H104" s="30" t="inlineStr">
        <is>
          <t>M</t>
        </is>
      </c>
      <c r="I104">
        <f>IFERROR(VLOOKUP(E104, '05_MAESTRO_RECURSOS'!A:D, 4, FALSE), IFERROR(VLOOKUP(E104, '06_MAESTRO_PARTIDAS_EV'!B:F, 5, FALSE), 0))</f>
        <v/>
      </c>
      <c r="J104">
        <f>ROUND(G104 * I104, 2)</f>
        <v/>
      </c>
      <c r="K104" t="inlineStr">
        <is>
          <t>EV_PRODUCCION</t>
        </is>
      </c>
      <c r="L104" t="inlineStr">
        <is>
          <t>ing_campo.html</t>
        </is>
      </c>
    </row>
    <row r="105">
      <c r="A105" s="30" t="inlineStr">
        <is>
          <t>LOG-20260806-104</t>
        </is>
      </c>
      <c r="B105" s="32" t="n">
        <v>46240</v>
      </c>
      <c r="C105" t="inlineStr">
        <is>
          <t>Tareador (Bildin)</t>
        </is>
      </c>
      <c r="D105" s="30" t="inlineStr">
        <is>
          <t>WBS-200</t>
        </is>
      </c>
      <c r="E105" s="30" t="inlineStr">
        <is>
          <t>MO_CAPATAZ</t>
        </is>
      </c>
      <c r="F105" t="inlineStr">
        <is>
          <t>CAPATAZ</t>
        </is>
      </c>
      <c r="G105" t="n">
        <v>8</v>
      </c>
      <c r="H105" s="30" t="inlineStr">
        <is>
          <t>hh</t>
        </is>
      </c>
      <c r="I105">
        <f>IFERROR(VLOOKUP(E105, '05_MAESTRO_RECURSOS'!A:D, 4, FALSE), IFERROR(VLOOKUP(E105, '06_MAESTRO_PARTIDAS_EV'!B:F, 5, FALSE), 0))</f>
        <v/>
      </c>
      <c r="J105">
        <f>ROUND(G105 * I105, 2)</f>
        <v/>
      </c>
      <c r="K105" t="inlineStr">
        <is>
          <t>AC_MO</t>
        </is>
      </c>
      <c r="L105" t="inlineStr">
        <is>
          <t>tareador.html</t>
        </is>
      </c>
    </row>
    <row r="106">
      <c r="A106" s="30" t="inlineStr">
        <is>
          <t>LOG-20260806-105</t>
        </is>
      </c>
      <c r="B106" s="32" t="n">
        <v>46240</v>
      </c>
      <c r="C106" t="inlineStr">
        <is>
          <t>Tareador (Bildin)</t>
        </is>
      </c>
      <c r="D106" s="30" t="inlineStr">
        <is>
          <t>WBS-200</t>
        </is>
      </c>
      <c r="E106" s="30" t="inlineStr">
        <is>
          <t>MO_OPERARIO</t>
        </is>
      </c>
      <c r="F106" t="inlineStr">
        <is>
          <t>OPERARIO</t>
        </is>
      </c>
      <c r="G106" t="n">
        <v>24</v>
      </c>
      <c r="H106" s="30" t="inlineStr">
        <is>
          <t>hh</t>
        </is>
      </c>
      <c r="I106">
        <f>IFERROR(VLOOKUP(E106, '05_MAESTRO_RECURSOS'!A:D, 4, FALSE), IFERROR(VLOOKUP(E106, '06_MAESTRO_PARTIDAS_EV'!B:F, 5, FALSE), 0))</f>
        <v/>
      </c>
      <c r="J106">
        <f>ROUND(G106 * I106, 2)</f>
        <v/>
      </c>
      <c r="K106" t="inlineStr">
        <is>
          <t>AC_MO</t>
        </is>
      </c>
      <c r="L106" t="inlineStr">
        <is>
          <t>tareador.html</t>
        </is>
      </c>
    </row>
    <row r="107">
      <c r="A107" s="30" t="inlineStr">
        <is>
          <t>LOG-20260806-106</t>
        </is>
      </c>
      <c r="B107" s="32" t="n">
        <v>46240</v>
      </c>
      <c r="C107" t="inlineStr">
        <is>
          <t>Tareador (Bildin)</t>
        </is>
      </c>
      <c r="D107" s="30" t="inlineStr">
        <is>
          <t>WBS-200</t>
        </is>
      </c>
      <c r="E107" s="30" t="inlineStr">
        <is>
          <t>MO_OFICIAL</t>
        </is>
      </c>
      <c r="F107" t="inlineStr">
        <is>
          <t>OFICIAL</t>
        </is>
      </c>
      <c r="G107" t="n">
        <v>16</v>
      </c>
      <c r="H107" s="30" t="inlineStr">
        <is>
          <t>hh</t>
        </is>
      </c>
      <c r="I107">
        <f>IFERROR(VLOOKUP(E107, '05_MAESTRO_RECURSOS'!A:D, 4, FALSE), IFERROR(VLOOKUP(E107, '06_MAESTRO_PARTIDAS_EV'!B:F, 5, FALSE), 0))</f>
        <v/>
      </c>
      <c r="J107">
        <f>ROUND(G107 * I107, 2)</f>
        <v/>
      </c>
      <c r="K107" t="inlineStr">
        <is>
          <t>AC_MO</t>
        </is>
      </c>
      <c r="L107" t="inlineStr">
        <is>
          <t>tareador.html</t>
        </is>
      </c>
    </row>
    <row r="108">
      <c r="A108" s="30" t="inlineStr">
        <is>
          <t>LOG-20260806-107</t>
        </is>
      </c>
      <c r="B108" s="32" t="n">
        <v>46240</v>
      </c>
      <c r="C108" t="inlineStr">
        <is>
          <t>Tareador (Bildin)</t>
        </is>
      </c>
      <c r="D108" s="30" t="inlineStr">
        <is>
          <t>WBS-200</t>
        </is>
      </c>
      <c r="E108" s="30" t="inlineStr">
        <is>
          <t>MO_PEON</t>
        </is>
      </c>
      <c r="F108" t="inlineStr">
        <is>
          <t>PEON</t>
        </is>
      </c>
      <c r="G108" t="n">
        <v>64</v>
      </c>
      <c r="H108" s="30" t="inlineStr">
        <is>
          <t>hh</t>
        </is>
      </c>
      <c r="I108">
        <f>IFERROR(VLOOKUP(E108, '05_MAESTRO_RECURSOS'!A:D, 4, FALSE), IFERROR(VLOOKUP(E108, '06_MAESTRO_PARTIDAS_EV'!B:F, 5, FALSE), 0))</f>
        <v/>
      </c>
      <c r="J108">
        <f>ROUND(G108 * I108, 2)</f>
        <v/>
      </c>
      <c r="K108" t="inlineStr">
        <is>
          <t>AC_MO</t>
        </is>
      </c>
      <c r="L108" t="inlineStr">
        <is>
          <t>tareador.html</t>
        </is>
      </c>
    </row>
    <row r="109">
      <c r="A109" s="30" t="inlineStr">
        <is>
          <t>LOG-20260806-108</t>
        </is>
      </c>
      <c r="B109" s="32" t="n">
        <v>46240</v>
      </c>
      <c r="C109" t="inlineStr">
        <is>
          <t>Almacenero</t>
        </is>
      </c>
      <c r="D109" s="30" t="inlineStr">
        <is>
          <t>WBS-200</t>
        </is>
      </c>
      <c r="E109" s="30" t="inlineStr">
        <is>
          <t>MAT_ARENA_CAMAS</t>
        </is>
      </c>
      <c r="F109" t="inlineStr">
        <is>
          <t>ARENA FINA SELECCIONADA PARA CAMA</t>
        </is>
      </c>
      <c r="G109" t="n">
        <v>10</v>
      </c>
      <c r="H109" s="30" t="inlineStr">
        <is>
          <t>m3</t>
        </is>
      </c>
      <c r="I109">
        <f>IFERROR(VLOOKUP(E109, '05_MAESTRO_RECURSOS'!A:D, 4, FALSE), IFERROR(VLOOKUP(E109, '06_MAESTRO_PARTIDAS_EV'!B:F, 5, FALSE), 0))</f>
        <v/>
      </c>
      <c r="J109">
        <f>ROUND(G109 * I109, 2)</f>
        <v/>
      </c>
      <c r="K109" t="inlineStr">
        <is>
          <t>AC_MAT</t>
        </is>
      </c>
      <c r="L109" t="inlineStr">
        <is>
          <t>almacenero.html</t>
        </is>
      </c>
    </row>
    <row r="110">
      <c r="A110" s="30" t="inlineStr">
        <is>
          <t>LOG-20260806-109</t>
        </is>
      </c>
      <c r="B110" s="32" t="n">
        <v>46240</v>
      </c>
      <c r="C110" t="inlineStr">
        <is>
          <t>Almacenero</t>
        </is>
      </c>
      <c r="D110" s="30" t="inlineStr">
        <is>
          <t>WBS-200</t>
        </is>
      </c>
      <c r="E110" s="30" t="inlineStr">
        <is>
          <t>MAT_TUB_PVC_200</t>
        </is>
      </c>
      <c r="F110" t="inlineStr">
        <is>
          <t>TUBERIA PVC UF DN 200MM S-20 ALCANTARILLADO</t>
        </is>
      </c>
      <c r="G110" t="n">
        <v>120</v>
      </c>
      <c r="H110" s="30" t="inlineStr">
        <is>
          <t>m</t>
        </is>
      </c>
      <c r="I110">
        <f>IFERROR(VLOOKUP(E110, '05_MAESTRO_RECURSOS'!A:D, 4, FALSE), IFERROR(VLOOKUP(E110, '06_MAESTRO_PARTIDAS_EV'!B:F, 5, FALSE), 0))</f>
        <v/>
      </c>
      <c r="J110">
        <f>ROUND(G110 * I110, 2)</f>
        <v/>
      </c>
      <c r="K110" t="inlineStr">
        <is>
          <t>AC_MAT</t>
        </is>
      </c>
      <c r="L110" t="inlineStr">
        <is>
          <t>almacenero.html</t>
        </is>
      </c>
    </row>
    <row r="111">
      <c r="A111" s="30" t="inlineStr">
        <is>
          <t>LOG-20260806-110</t>
        </is>
      </c>
      <c r="B111" s="32" t="n">
        <v>46240</v>
      </c>
      <c r="C111" t="inlineStr">
        <is>
          <t>Almacenero</t>
        </is>
      </c>
      <c r="D111" s="30" t="inlineStr">
        <is>
          <t>WBS-200</t>
        </is>
      </c>
      <c r="E111" s="30" t="inlineStr">
        <is>
          <t>MAT_LUBRICANTE</t>
        </is>
      </c>
      <c r="F111" t="inlineStr">
        <is>
          <t>LUBRICANTE PARA TUBERIA</t>
        </is>
      </c>
      <c r="G111" t="n">
        <v>2</v>
      </c>
      <c r="H111" s="30" t="inlineStr">
        <is>
          <t>kg</t>
        </is>
      </c>
      <c r="I111">
        <f>IFERROR(VLOOKUP(E111, '05_MAESTRO_RECURSOS'!A:D, 4, FALSE), IFERROR(VLOOKUP(E111, '06_MAESTRO_PARTIDAS_EV'!B:F, 5, FALSE), 0))</f>
        <v/>
      </c>
      <c r="J111">
        <f>ROUND(G111 * I111, 2)</f>
        <v/>
      </c>
      <c r="K111" t="inlineStr">
        <is>
          <t>AC_MAT</t>
        </is>
      </c>
      <c r="L111" t="inlineStr">
        <is>
          <t>almacenero.html</t>
        </is>
      </c>
    </row>
    <row r="112">
      <c r="A112" s="30" t="inlineStr">
        <is>
          <t>LOG-20260806-111</t>
        </is>
      </c>
      <c r="B112" s="32" t="n">
        <v>46240</v>
      </c>
      <c r="C112" t="inlineStr">
        <is>
          <t>Almacenero</t>
        </is>
      </c>
      <c r="D112" s="30" t="inlineStr">
        <is>
          <t>WBS-200</t>
        </is>
      </c>
      <c r="E112" s="30" t="inlineStr">
        <is>
          <t>MAT_CAJA_REGISTRO</t>
        </is>
      </c>
      <c r="F112" t="inlineStr">
        <is>
          <t>CAJA REGISTRO CONCRETO 12X24</t>
        </is>
      </c>
      <c r="G112" t="n">
        <v>3</v>
      </c>
      <c r="H112" s="30" t="inlineStr">
        <is>
          <t>und</t>
        </is>
      </c>
      <c r="I112">
        <f>IFERROR(VLOOKUP(E112, '05_MAESTRO_RECURSOS'!A:D, 4, FALSE), IFERROR(VLOOKUP(E112, '06_MAESTRO_PARTIDAS_EV'!B:F, 5, FALSE), 0))</f>
        <v/>
      </c>
      <c r="J112">
        <f>ROUND(G112 * I112, 2)</f>
        <v/>
      </c>
      <c r="K112" t="inlineStr">
        <is>
          <t>AC_MAT</t>
        </is>
      </c>
      <c r="L112" t="inlineStr">
        <is>
          <t>almacenero.html</t>
        </is>
      </c>
    </row>
    <row r="113">
      <c r="A113" s="30" t="inlineStr">
        <is>
          <t>LOG-20260806-112</t>
        </is>
      </c>
      <c r="B113" s="32" t="n">
        <v>46240</v>
      </c>
      <c r="C113" t="inlineStr">
        <is>
          <t>Almacenero</t>
        </is>
      </c>
      <c r="D113" s="30" t="inlineStr">
        <is>
          <t>WBS-200</t>
        </is>
      </c>
      <c r="E113" s="30" t="inlineStr">
        <is>
          <t>MAT_TUB_PVC_160_CONEX</t>
        </is>
      </c>
      <c r="F113" t="inlineStr">
        <is>
          <t>TUBERIA PVC SAL 160MM ACOMETIDA</t>
        </is>
      </c>
      <c r="G113" t="n">
        <v>18</v>
      </c>
      <c r="H113" s="30" t="inlineStr">
        <is>
          <t>m</t>
        </is>
      </c>
      <c r="I113">
        <f>IFERROR(VLOOKUP(E113, '05_MAESTRO_RECURSOS'!A:D, 4, FALSE), IFERROR(VLOOKUP(E113, '06_MAESTRO_PARTIDAS_EV'!B:F, 5, FALSE), 0))</f>
        <v/>
      </c>
      <c r="J113">
        <f>ROUND(G113 * I113, 2)</f>
        <v/>
      </c>
      <c r="K113" t="inlineStr">
        <is>
          <t>AC_MAT</t>
        </is>
      </c>
      <c r="L113" t="inlineStr">
        <is>
          <t>almacenero.html</t>
        </is>
      </c>
    </row>
    <row r="114">
      <c r="A114" s="30" t="inlineStr">
        <is>
          <t>LOG-20260806-113</t>
        </is>
      </c>
      <c r="B114" s="32" t="n">
        <v>46240</v>
      </c>
      <c r="C114" t="inlineStr">
        <is>
          <t>Administradora</t>
        </is>
      </c>
      <c r="D114" s="30" t="inlineStr">
        <is>
          <t>WBS-200</t>
        </is>
      </c>
      <c r="E114" s="30" t="inlineStr">
        <is>
          <t>SUB_ENSAYOS_COMPAC</t>
        </is>
      </c>
      <c r="F114" t="inlineStr">
        <is>
          <t>SUBCONTRATO DENSIDADES PROCTOR</t>
        </is>
      </c>
      <c r="G114" t="n">
        <v>2</v>
      </c>
      <c r="H114" s="30" t="inlineStr">
        <is>
          <t>und</t>
        </is>
      </c>
      <c r="I114">
        <f>IFERROR(VLOOKUP(E114, '05_MAESTRO_RECURSOS'!A:D, 4, FALSE), IFERROR(VLOOKUP(E114, '06_MAESTRO_PARTIDAS_EV'!B:F, 5, FALSE), 0))</f>
        <v/>
      </c>
      <c r="J114">
        <f>ROUND(G114 * I114, 2)</f>
        <v/>
      </c>
      <c r="K114" t="inlineStr">
        <is>
          <t>AC_SUB</t>
        </is>
      </c>
      <c r="L114" t="inlineStr">
        <is>
          <t>administradora.html</t>
        </is>
      </c>
    </row>
    <row r="115">
      <c r="A115" s="30" t="inlineStr">
        <is>
          <t>LOG-20260806-114</t>
        </is>
      </c>
      <c r="B115" s="32" t="n">
        <v>46240</v>
      </c>
      <c r="C115" t="inlineStr">
        <is>
          <t>Ing. de Campo</t>
        </is>
      </c>
      <c r="D115" s="30" t="inlineStr">
        <is>
          <t>WBS-200</t>
        </is>
      </c>
      <c r="E115" s="30" t="inlineStr">
        <is>
          <t>01.02.07</t>
        </is>
      </c>
      <c r="F115" t="inlineStr">
        <is>
          <t>CONEXIONES DOMICILIARIAS ALCANTARILLADO DN 160MM</t>
        </is>
      </c>
      <c r="G115" t="n">
        <v>3</v>
      </c>
      <c r="H115" s="30" t="inlineStr">
        <is>
          <t>UND</t>
        </is>
      </c>
      <c r="I115">
        <f>IFERROR(VLOOKUP(E115, '05_MAESTRO_RECURSOS'!A:D, 4, FALSE), IFERROR(VLOOKUP(E115, '06_MAESTRO_PARTIDAS_EV'!B:F, 5, FALSE), 0))</f>
        <v/>
      </c>
      <c r="J115">
        <f>ROUND(G115 * I115, 2)</f>
        <v/>
      </c>
      <c r="K115" t="inlineStr">
        <is>
          <t>EV_PRODUCCION</t>
        </is>
      </c>
      <c r="L115" t="inlineStr">
        <is>
          <t>ing_campo.html</t>
        </is>
      </c>
    </row>
    <row r="116">
      <c r="A116" s="30" t="inlineStr">
        <is>
          <t>LOG-20260806-115</t>
        </is>
      </c>
      <c r="B116" s="32" t="n">
        <v>46240</v>
      </c>
      <c r="C116" t="inlineStr">
        <is>
          <t>Administradora</t>
        </is>
      </c>
      <c r="D116" s="30" t="inlineStr">
        <is>
          <t>WBS-200</t>
        </is>
      </c>
      <c r="E116" s="30" t="inlineStr">
        <is>
          <t>EQ_EXCAVADORA</t>
        </is>
      </c>
      <c r="F116" t="inlineStr">
        <is>
          <t>EXCAVADORA ORUGAS 140 HP</t>
        </is>
      </c>
      <c r="G116" t="n">
        <v>8</v>
      </c>
      <c r="H116" s="30" t="inlineStr">
        <is>
          <t>hm</t>
        </is>
      </c>
      <c r="I116">
        <f>IFERROR(VLOOKUP(E116, '05_MAESTRO_RECURSOS'!A:D, 4, FALSE), IFERROR(VLOOKUP(E116, '06_MAESTRO_PARTIDAS_EV'!B:F, 5, FALSE), 0))</f>
        <v/>
      </c>
      <c r="J116">
        <f>ROUND(G116 * I116, 2)</f>
        <v/>
      </c>
      <c r="K116" t="inlineStr">
        <is>
          <t>AC_EQP</t>
        </is>
      </c>
      <c r="L116" t="inlineStr">
        <is>
          <t>administradora.html</t>
        </is>
      </c>
    </row>
    <row r="117">
      <c r="A117" s="30" t="inlineStr">
        <is>
          <t>LOG-20260806-116</t>
        </is>
      </c>
      <c r="B117" s="32" t="n">
        <v>46240</v>
      </c>
      <c r="C117" t="inlineStr">
        <is>
          <t>Administradora</t>
        </is>
      </c>
      <c r="D117" s="30" t="inlineStr">
        <is>
          <t>WBS-200</t>
        </is>
      </c>
      <c r="E117" s="30" t="inlineStr">
        <is>
          <t>EQ_PLANCHA</t>
        </is>
      </c>
      <c r="F117" t="inlineStr">
        <is>
          <t>PLANCHA COMPACTADORA 7 HP</t>
        </is>
      </c>
      <c r="G117" t="n">
        <v>8</v>
      </c>
      <c r="H117" s="30" t="inlineStr">
        <is>
          <t>hm</t>
        </is>
      </c>
      <c r="I117">
        <f>IFERROR(VLOOKUP(E117, '05_MAESTRO_RECURSOS'!A:D, 4, FALSE), IFERROR(VLOOKUP(E117, '06_MAESTRO_PARTIDAS_EV'!B:F, 5, FALSE), 0))</f>
        <v/>
      </c>
      <c r="J117">
        <f>ROUND(G117 * I117, 2)</f>
        <v/>
      </c>
      <c r="K117" t="inlineStr">
        <is>
          <t>AC_EQP</t>
        </is>
      </c>
      <c r="L117" t="inlineStr">
        <is>
          <t>administradora.html</t>
        </is>
      </c>
    </row>
    <row r="118">
      <c r="A118" s="30" t="inlineStr">
        <is>
          <t>LOG-20260806-117</t>
        </is>
      </c>
      <c r="B118" s="32" t="n">
        <v>46240</v>
      </c>
      <c r="C118" t="inlineStr">
        <is>
          <t>Administradora</t>
        </is>
      </c>
      <c r="D118" s="30" t="inlineStr">
        <is>
          <t>WBS-200</t>
        </is>
      </c>
      <c r="E118" s="30" t="inlineStr">
        <is>
          <t>EQ_RODILLO_CAMINANTE</t>
        </is>
      </c>
      <c r="F118" t="inlineStr">
        <is>
          <t>RODILLO VIBRATORIO 1.5 TN</t>
        </is>
      </c>
      <c r="G118" t="n">
        <v>8</v>
      </c>
      <c r="H118" s="30" t="inlineStr">
        <is>
          <t>hm</t>
        </is>
      </c>
      <c r="I118">
        <f>IFERROR(VLOOKUP(E118, '05_MAESTRO_RECURSOS'!A:D, 4, FALSE), IFERROR(VLOOKUP(E118, '06_MAESTRO_PARTIDAS_EV'!B:F, 5, FALSE), 0))</f>
        <v/>
      </c>
      <c r="J118">
        <f>ROUND(G118 * I118, 2)</f>
        <v/>
      </c>
      <c r="K118" t="inlineStr">
        <is>
          <t>AC_EQP</t>
        </is>
      </c>
      <c r="L118" t="inlineStr">
        <is>
          <t>administradora.html</t>
        </is>
      </c>
    </row>
    <row r="119">
      <c r="A119" s="30" t="inlineStr">
        <is>
          <t>LOG-20260806-118</t>
        </is>
      </c>
      <c r="B119" s="32" t="n">
        <v>46240</v>
      </c>
      <c r="C119" t="inlineStr">
        <is>
          <t>Ing. de Campo</t>
        </is>
      </c>
      <c r="D119" s="30" t="inlineStr">
        <is>
          <t>WBS-200</t>
        </is>
      </c>
      <c r="E119" s="30" t="inlineStr">
        <is>
          <t>01.02.02</t>
        </is>
      </c>
      <c r="F119" t="inlineStr">
        <is>
          <t>EXCAVACION DE ZANJA C/MAQUINA EN T. SEMIROCOSO</t>
        </is>
      </c>
      <c r="G119" t="n">
        <v>150</v>
      </c>
      <c r="H119" s="30" t="inlineStr">
        <is>
          <t>M3</t>
        </is>
      </c>
      <c r="I119">
        <f>IFERROR(VLOOKUP(E119, '05_MAESTRO_RECURSOS'!A:D, 4, FALSE), IFERROR(VLOOKUP(E119, '06_MAESTRO_PARTIDAS_EV'!B:F, 5, FALSE), 0))</f>
        <v/>
      </c>
      <c r="J119">
        <f>ROUND(G119 * I119, 2)</f>
        <v/>
      </c>
      <c r="K119" t="inlineStr">
        <is>
          <t>EV_PRODUCCION</t>
        </is>
      </c>
      <c r="L119" t="inlineStr">
        <is>
          <t>ing_campo.html</t>
        </is>
      </c>
    </row>
    <row r="120">
      <c r="A120" s="30" t="inlineStr">
        <is>
          <t>LOG-20260806-119</t>
        </is>
      </c>
      <c r="B120" s="32" t="n">
        <v>46240</v>
      </c>
      <c r="C120" t="inlineStr">
        <is>
          <t>Ing. de Campo</t>
        </is>
      </c>
      <c r="D120" s="30" t="inlineStr">
        <is>
          <t>WBS-200</t>
        </is>
      </c>
      <c r="E120" s="30" t="inlineStr">
        <is>
          <t>01.02.03</t>
        </is>
      </c>
      <c r="F120" t="inlineStr">
        <is>
          <t>CAMA DE APOYO H=0.10 M CON ARENA SELECCIONADA</t>
        </is>
      </c>
      <c r="G120" t="n">
        <v>120</v>
      </c>
      <c r="H120" s="30" t="inlineStr">
        <is>
          <t>M</t>
        </is>
      </c>
      <c r="I120">
        <f>IFERROR(VLOOKUP(E120, '05_MAESTRO_RECURSOS'!A:D, 4, FALSE), IFERROR(VLOOKUP(E120, '06_MAESTRO_PARTIDAS_EV'!B:F, 5, FALSE), 0))</f>
        <v/>
      </c>
      <c r="J120">
        <f>ROUND(G120 * I120, 2)</f>
        <v/>
      </c>
      <c r="K120" t="inlineStr">
        <is>
          <t>EV_PRODUCCION</t>
        </is>
      </c>
      <c r="L120" t="inlineStr">
        <is>
          <t>ing_campo.html</t>
        </is>
      </c>
    </row>
    <row r="121">
      <c r="A121" s="30" t="inlineStr">
        <is>
          <t>LOG-20260806-120</t>
        </is>
      </c>
      <c r="B121" s="32" t="n">
        <v>46240</v>
      </c>
      <c r="C121" t="inlineStr">
        <is>
          <t>Ing. de Campo</t>
        </is>
      </c>
      <c r="D121" s="30" t="inlineStr">
        <is>
          <t>WBS-200</t>
        </is>
      </c>
      <c r="E121" s="30" t="inlineStr">
        <is>
          <t>01.02.04</t>
        </is>
      </c>
      <c r="F121" t="inlineStr">
        <is>
          <t>SUMINISTRO E INSTALACION DE TUBERIA PVC DN 200MM S-20</t>
        </is>
      </c>
      <c r="G121" t="n">
        <v>120</v>
      </c>
      <c r="H121" s="30" t="inlineStr">
        <is>
          <t>M</t>
        </is>
      </c>
      <c r="I121">
        <f>IFERROR(VLOOKUP(E121, '05_MAESTRO_RECURSOS'!A:D, 4, FALSE), IFERROR(VLOOKUP(E121, '06_MAESTRO_PARTIDAS_EV'!B:F, 5, FALSE), 0))</f>
        <v/>
      </c>
      <c r="J121">
        <f>ROUND(G121 * I121, 2)</f>
        <v/>
      </c>
      <c r="K121" t="inlineStr">
        <is>
          <t>EV_PRODUCCION</t>
        </is>
      </c>
      <c r="L121" t="inlineStr">
        <is>
          <t>ing_campo.html</t>
        </is>
      </c>
    </row>
    <row r="122">
      <c r="A122" s="30" t="inlineStr">
        <is>
          <t>LOG-20260806-121</t>
        </is>
      </c>
      <c r="B122" s="32" t="n">
        <v>46240</v>
      </c>
      <c r="C122" t="inlineStr">
        <is>
          <t>Ing. de Campo</t>
        </is>
      </c>
      <c r="D122" s="30" t="inlineStr">
        <is>
          <t>WBS-200</t>
        </is>
      </c>
      <c r="E122" s="30" t="inlineStr">
        <is>
          <t>01.02.05</t>
        </is>
      </c>
      <c r="F122" t="inlineStr">
        <is>
          <t>RELLENO COMPACTADO DE ZANJA C/MATERIAL PRESTAMO</t>
        </is>
      </c>
      <c r="G122" t="n">
        <v>120</v>
      </c>
      <c r="H122" s="30" t="inlineStr">
        <is>
          <t>M</t>
        </is>
      </c>
      <c r="I122">
        <f>IFERROR(VLOOKUP(E122, '05_MAESTRO_RECURSOS'!A:D, 4, FALSE), IFERROR(VLOOKUP(E122, '06_MAESTRO_PARTIDAS_EV'!B:F, 5, FALSE), 0))</f>
        <v/>
      </c>
      <c r="J122">
        <f>ROUND(G122 * I122, 2)</f>
        <v/>
      </c>
      <c r="K122" t="inlineStr">
        <is>
          <t>EV_PRODUCCION</t>
        </is>
      </c>
      <c r="L122" t="inlineStr">
        <is>
          <t>ing_campo.html</t>
        </is>
      </c>
    </row>
    <row r="123">
      <c r="A123" s="30" t="inlineStr">
        <is>
          <t>LOG-20260806-122</t>
        </is>
      </c>
      <c r="B123" s="32" t="n">
        <v>46240</v>
      </c>
      <c r="C123" t="inlineStr">
        <is>
          <t>Tareador (Bildin)</t>
        </is>
      </c>
      <c r="D123" s="30" t="inlineStr">
        <is>
          <t>WBS-300</t>
        </is>
      </c>
      <c r="E123" s="30" t="inlineStr">
        <is>
          <t>MO_CAPATAZ</t>
        </is>
      </c>
      <c r="F123" t="inlineStr">
        <is>
          <t>CAPATAZ</t>
        </is>
      </c>
      <c r="G123" t="n">
        <v>4</v>
      </c>
      <c r="H123" s="30" t="inlineStr">
        <is>
          <t>hh</t>
        </is>
      </c>
      <c r="I123">
        <f>IFERROR(VLOOKUP(E123, '05_MAESTRO_RECURSOS'!A:D, 4, FALSE), IFERROR(VLOOKUP(E123, '06_MAESTRO_PARTIDAS_EV'!B:F, 5, FALSE), 0))</f>
        <v/>
      </c>
      <c r="J123">
        <f>ROUND(G123 * I123, 2)</f>
        <v/>
      </c>
      <c r="K123" t="inlineStr">
        <is>
          <t>AC_MO</t>
        </is>
      </c>
      <c r="L123" t="inlineStr">
        <is>
          <t>tareador.html</t>
        </is>
      </c>
    </row>
    <row r="124">
      <c r="A124" s="30" t="inlineStr">
        <is>
          <t>LOG-20260806-123</t>
        </is>
      </c>
      <c r="B124" s="32" t="n">
        <v>46240</v>
      </c>
      <c r="C124" t="inlineStr">
        <is>
          <t>Tareador (Bildin)</t>
        </is>
      </c>
      <c r="D124" s="30" t="inlineStr">
        <is>
          <t>WBS-300</t>
        </is>
      </c>
      <c r="E124" s="30" t="inlineStr">
        <is>
          <t>MO_OPERARIO</t>
        </is>
      </c>
      <c r="F124" t="inlineStr">
        <is>
          <t>OPERARIO</t>
        </is>
      </c>
      <c r="G124" t="n">
        <v>16</v>
      </c>
      <c r="H124" s="30" t="inlineStr">
        <is>
          <t>hh</t>
        </is>
      </c>
      <c r="I124">
        <f>IFERROR(VLOOKUP(E124, '05_MAESTRO_RECURSOS'!A:D, 4, FALSE), IFERROR(VLOOKUP(E124, '06_MAESTRO_PARTIDAS_EV'!B:F, 5, FALSE), 0))</f>
        <v/>
      </c>
      <c r="J124">
        <f>ROUND(G124 * I124, 2)</f>
        <v/>
      </c>
      <c r="K124" t="inlineStr">
        <is>
          <t>AC_MO</t>
        </is>
      </c>
      <c r="L124" t="inlineStr">
        <is>
          <t>tareador.html</t>
        </is>
      </c>
    </row>
    <row r="125">
      <c r="A125" s="30" t="inlineStr">
        <is>
          <t>LOG-20260806-124</t>
        </is>
      </c>
      <c r="B125" s="32" t="n">
        <v>46240</v>
      </c>
      <c r="C125" t="inlineStr">
        <is>
          <t>Tareador (Bildin)</t>
        </is>
      </c>
      <c r="D125" s="30" t="inlineStr">
        <is>
          <t>WBS-300</t>
        </is>
      </c>
      <c r="E125" s="30" t="inlineStr">
        <is>
          <t>MO_PEON</t>
        </is>
      </c>
      <c r="F125" t="inlineStr">
        <is>
          <t>PEON</t>
        </is>
      </c>
      <c r="G125" t="n">
        <v>32</v>
      </c>
      <c r="H125" s="30" t="inlineStr">
        <is>
          <t>hh</t>
        </is>
      </c>
      <c r="I125">
        <f>IFERROR(VLOOKUP(E125, '05_MAESTRO_RECURSOS'!A:D, 4, FALSE), IFERROR(VLOOKUP(E125, '06_MAESTRO_PARTIDAS_EV'!B:F, 5, FALSE), 0))</f>
        <v/>
      </c>
      <c r="J125">
        <f>ROUND(G125 * I125, 2)</f>
        <v/>
      </c>
      <c r="K125" t="inlineStr">
        <is>
          <t>AC_MO</t>
        </is>
      </c>
      <c r="L125" t="inlineStr">
        <is>
          <t>tareador.html</t>
        </is>
      </c>
    </row>
    <row r="126">
      <c r="A126" s="30" t="inlineStr">
        <is>
          <t>LOG-20260806-125</t>
        </is>
      </c>
      <c r="B126" s="32" t="n">
        <v>46240</v>
      </c>
      <c r="C126" t="inlineStr">
        <is>
          <t>Almacenero</t>
        </is>
      </c>
      <c r="D126" s="30" t="inlineStr">
        <is>
          <t>WBS-300</t>
        </is>
      </c>
      <c r="E126" s="30" t="inlineStr">
        <is>
          <t>MAT_TUB_PVC_110_AGUA</t>
        </is>
      </c>
      <c r="F126" t="inlineStr">
        <is>
          <t>TUBERIA PVC C-10 DN 110MM AGUA</t>
        </is>
      </c>
      <c r="G126" t="n">
        <v>150</v>
      </c>
      <c r="H126" s="30" t="inlineStr">
        <is>
          <t>m</t>
        </is>
      </c>
      <c r="I126">
        <f>IFERROR(VLOOKUP(E126, '05_MAESTRO_RECURSOS'!A:D, 4, FALSE), IFERROR(VLOOKUP(E126, '06_MAESTRO_PARTIDAS_EV'!B:F, 5, FALSE), 0))</f>
        <v/>
      </c>
      <c r="J126">
        <f>ROUND(G126 * I126, 2)</f>
        <v/>
      </c>
      <c r="K126" t="inlineStr">
        <is>
          <t>AC_MAT</t>
        </is>
      </c>
      <c r="L126" t="inlineStr">
        <is>
          <t>almacenero.html</t>
        </is>
      </c>
    </row>
    <row r="127">
      <c r="A127" s="30" t="inlineStr">
        <is>
          <t>LOG-20260806-126</t>
        </is>
      </c>
      <c r="B127" s="32" t="n">
        <v>46240</v>
      </c>
      <c r="C127" t="inlineStr">
        <is>
          <t>Almacenero</t>
        </is>
      </c>
      <c r="D127" s="30" t="inlineStr">
        <is>
          <t>WBS-300</t>
        </is>
      </c>
      <c r="E127" s="30" t="inlineStr">
        <is>
          <t>MAT_ACCESORIOS_AGUA</t>
        </is>
      </c>
      <c r="F127" t="inlineStr">
        <is>
          <t>ACCESORIOS PVC AGUA 110MM</t>
        </is>
      </c>
      <c r="G127" t="n">
        <v>1</v>
      </c>
      <c r="H127" s="30" t="inlineStr">
        <is>
          <t>glb</t>
        </is>
      </c>
      <c r="I127">
        <f>IFERROR(VLOOKUP(E127, '05_MAESTRO_RECURSOS'!A:D, 4, FALSE), IFERROR(VLOOKUP(E127, '06_MAESTRO_PARTIDAS_EV'!B:F, 5, FALSE), 0))</f>
        <v/>
      </c>
      <c r="J127">
        <f>ROUND(G127 * I127, 2)</f>
        <v/>
      </c>
      <c r="K127" t="inlineStr">
        <is>
          <t>AC_MAT</t>
        </is>
      </c>
      <c r="L127" t="inlineStr">
        <is>
          <t>almacenero.html</t>
        </is>
      </c>
    </row>
    <row r="128">
      <c r="A128" s="30" t="inlineStr">
        <is>
          <t>LOG-20260806-127</t>
        </is>
      </c>
      <c r="B128" s="32" t="n">
        <v>46240</v>
      </c>
      <c r="C128" t="inlineStr">
        <is>
          <t>Almacenero</t>
        </is>
      </c>
      <c r="D128" s="30" t="inlineStr">
        <is>
          <t>WBS-300</t>
        </is>
      </c>
      <c r="E128" s="30" t="inlineStr">
        <is>
          <t>MAT_CAJA_AGUA</t>
        </is>
      </c>
      <c r="F128" t="inlineStr">
        <is>
          <t>CAJA TERMOFORMADA AGUA + MEDIDOR</t>
        </is>
      </c>
      <c r="G128" t="n">
        <v>5</v>
      </c>
      <c r="H128" s="30" t="inlineStr">
        <is>
          <t>und</t>
        </is>
      </c>
      <c r="I128">
        <f>IFERROR(VLOOKUP(E128, '05_MAESTRO_RECURSOS'!A:D, 4, FALSE), IFERROR(VLOOKUP(E128, '06_MAESTRO_PARTIDAS_EV'!B:F, 5, FALSE), 0))</f>
        <v/>
      </c>
      <c r="J128">
        <f>ROUND(G128 * I128, 2)</f>
        <v/>
      </c>
      <c r="K128" t="inlineStr">
        <is>
          <t>AC_MAT</t>
        </is>
      </c>
      <c r="L128" t="inlineStr">
        <is>
          <t>almacenero.html</t>
        </is>
      </c>
    </row>
    <row r="129">
      <c r="A129" s="30" t="inlineStr">
        <is>
          <t>LOG-20260806-128</t>
        </is>
      </c>
      <c r="B129" s="32" t="n">
        <v>46240</v>
      </c>
      <c r="C129" t="inlineStr">
        <is>
          <t>Almacenero</t>
        </is>
      </c>
      <c r="D129" s="30" t="inlineStr">
        <is>
          <t>WBS-300</t>
        </is>
      </c>
      <c r="E129" s="30" t="inlineStr">
        <is>
          <t>MAT_TUB_HDPE_1_2</t>
        </is>
      </c>
      <c r="F129" t="inlineStr">
        <is>
          <t>TUBERIA HDPE 1/2 ACOMETIDA AGUA</t>
        </is>
      </c>
      <c r="G129" t="n">
        <v>30</v>
      </c>
      <c r="H129" s="30" t="inlineStr">
        <is>
          <t>m</t>
        </is>
      </c>
      <c r="I129">
        <f>IFERROR(VLOOKUP(E129, '05_MAESTRO_RECURSOS'!A:D, 4, FALSE), IFERROR(VLOOKUP(E129, '06_MAESTRO_PARTIDAS_EV'!B:F, 5, FALSE), 0))</f>
        <v/>
      </c>
      <c r="J129">
        <f>ROUND(G129 * I129, 2)</f>
        <v/>
      </c>
      <c r="K129" t="inlineStr">
        <is>
          <t>AC_MAT</t>
        </is>
      </c>
      <c r="L129" t="inlineStr">
        <is>
          <t>almacenero.html</t>
        </is>
      </c>
    </row>
    <row r="130">
      <c r="A130" s="30" t="inlineStr">
        <is>
          <t>LOG-20260806-129</t>
        </is>
      </c>
      <c r="B130" s="32" t="n">
        <v>46240</v>
      </c>
      <c r="C130" t="inlineStr">
        <is>
          <t>Ing. de Campo</t>
        </is>
      </c>
      <c r="D130" s="30" t="inlineStr">
        <is>
          <t>WBS-300</t>
        </is>
      </c>
      <c r="E130" s="30" t="inlineStr">
        <is>
          <t>01.03.02</t>
        </is>
      </c>
      <c r="F130" t="inlineStr">
        <is>
          <t>CONEXIONES DOMICILIARIAS AGUA POTABLE</t>
        </is>
      </c>
      <c r="G130" t="n">
        <v>5</v>
      </c>
      <c r="H130" s="30" t="inlineStr">
        <is>
          <t>UND</t>
        </is>
      </c>
      <c r="I130">
        <f>IFERROR(VLOOKUP(E130, '05_MAESTRO_RECURSOS'!A:D, 4, FALSE), IFERROR(VLOOKUP(E130, '06_MAESTRO_PARTIDAS_EV'!B:F, 5, FALSE), 0))</f>
        <v/>
      </c>
      <c r="J130">
        <f>ROUND(G130 * I130, 2)</f>
        <v/>
      </c>
      <c r="K130" t="inlineStr">
        <is>
          <t>EV_PRODUCCION</t>
        </is>
      </c>
      <c r="L130" t="inlineStr">
        <is>
          <t>ing_campo.html</t>
        </is>
      </c>
    </row>
    <row r="131">
      <c r="A131" s="30" t="inlineStr">
        <is>
          <t>LOG-20260806-130</t>
        </is>
      </c>
      <c r="B131" s="32" t="n">
        <v>46240</v>
      </c>
      <c r="C131" t="inlineStr">
        <is>
          <t>Administradora</t>
        </is>
      </c>
      <c r="D131" s="30" t="inlineStr">
        <is>
          <t>WBS-300</t>
        </is>
      </c>
      <c r="E131" s="30" t="inlineStr">
        <is>
          <t>EQ_RETROEXCAVADORA</t>
        </is>
      </c>
      <c r="F131" t="inlineStr">
        <is>
          <t>RETROEXCAVADORA LLANTAS 62 HP</t>
        </is>
      </c>
      <c r="G131" t="n">
        <v>8</v>
      </c>
      <c r="H131" s="30" t="inlineStr">
        <is>
          <t>hm</t>
        </is>
      </c>
      <c r="I131">
        <f>IFERROR(VLOOKUP(E131, '05_MAESTRO_RECURSOS'!A:D, 4, FALSE), IFERROR(VLOOKUP(E131, '06_MAESTRO_PARTIDAS_EV'!B:F, 5, FALSE), 0))</f>
        <v/>
      </c>
      <c r="J131">
        <f>ROUND(G131 * I131, 2)</f>
        <v/>
      </c>
      <c r="K131" t="inlineStr">
        <is>
          <t>AC_EQP</t>
        </is>
      </c>
      <c r="L131" t="inlineStr">
        <is>
          <t>administradora.html</t>
        </is>
      </c>
    </row>
    <row r="132">
      <c r="A132" s="30" t="inlineStr">
        <is>
          <t>LOG-20260806-131</t>
        </is>
      </c>
      <c r="B132" s="32" t="n">
        <v>46240</v>
      </c>
      <c r="C132" t="inlineStr">
        <is>
          <t>Administradora</t>
        </is>
      </c>
      <c r="D132" s="30" t="inlineStr">
        <is>
          <t>WBS-300</t>
        </is>
      </c>
      <c r="E132" s="30" t="inlineStr">
        <is>
          <t>EQ_PLANCHA</t>
        </is>
      </c>
      <c r="F132" t="inlineStr">
        <is>
          <t>PLANCHA COMPACTADORA 7 HP</t>
        </is>
      </c>
      <c r="G132" t="n">
        <v>8</v>
      </c>
      <c r="H132" s="30" t="inlineStr">
        <is>
          <t>hm</t>
        </is>
      </c>
      <c r="I132">
        <f>IFERROR(VLOOKUP(E132, '05_MAESTRO_RECURSOS'!A:D, 4, FALSE), IFERROR(VLOOKUP(E132, '06_MAESTRO_PARTIDAS_EV'!B:F, 5, FALSE), 0))</f>
        <v/>
      </c>
      <c r="J132">
        <f>ROUND(G132 * I132, 2)</f>
        <v/>
      </c>
      <c r="K132" t="inlineStr">
        <is>
          <t>AC_EQP</t>
        </is>
      </c>
      <c r="L132" t="inlineStr">
        <is>
          <t>administradora.html</t>
        </is>
      </c>
    </row>
    <row r="133">
      <c r="A133" s="30" t="inlineStr">
        <is>
          <t>LOG-20260806-132</t>
        </is>
      </c>
      <c r="B133" s="32" t="n">
        <v>46240</v>
      </c>
      <c r="C133" t="inlineStr">
        <is>
          <t>Administradora</t>
        </is>
      </c>
      <c r="D133" s="30" t="inlineStr">
        <is>
          <t>WBS-300</t>
        </is>
      </c>
      <c r="E133" s="30" t="inlineStr">
        <is>
          <t>EQ_RODILLO_CAMINANTE</t>
        </is>
      </c>
      <c r="F133" t="inlineStr">
        <is>
          <t>RODILLO VIBRATORIO 1.5 TN</t>
        </is>
      </c>
      <c r="G133" t="n">
        <v>8</v>
      </c>
      <c r="H133" s="30" t="inlineStr">
        <is>
          <t>hm</t>
        </is>
      </c>
      <c r="I133">
        <f>IFERROR(VLOOKUP(E133, '05_MAESTRO_RECURSOS'!A:D, 4, FALSE), IFERROR(VLOOKUP(E133, '06_MAESTRO_PARTIDAS_EV'!B:F, 5, FALSE), 0))</f>
        <v/>
      </c>
      <c r="J133">
        <f>ROUND(G133 * I133, 2)</f>
        <v/>
      </c>
      <c r="K133" t="inlineStr">
        <is>
          <t>AC_EQP</t>
        </is>
      </c>
      <c r="L133" t="inlineStr">
        <is>
          <t>administradora.html</t>
        </is>
      </c>
    </row>
    <row r="134">
      <c r="A134" s="30" t="inlineStr">
        <is>
          <t>LOG-20260806-133</t>
        </is>
      </c>
      <c r="B134" s="32" t="n">
        <v>46240</v>
      </c>
      <c r="C134" t="inlineStr">
        <is>
          <t>Ing. de Campo</t>
        </is>
      </c>
      <c r="D134" s="30" t="inlineStr">
        <is>
          <t>WBS-300</t>
        </is>
      </c>
      <c r="E134" s="30" t="inlineStr">
        <is>
          <t>01.03.01</t>
        </is>
      </c>
      <c r="F134" t="inlineStr">
        <is>
          <t>INSTALACION TUBERIA PVC C-10 DN 110MM AGUA POTABLE</t>
        </is>
      </c>
      <c r="G134" t="n">
        <v>150</v>
      </c>
      <c r="H134" s="30" t="inlineStr">
        <is>
          <t>M</t>
        </is>
      </c>
      <c r="I134">
        <f>IFERROR(VLOOKUP(E134, '05_MAESTRO_RECURSOS'!A:D, 4, FALSE), IFERROR(VLOOKUP(E134, '06_MAESTRO_PARTIDAS_EV'!B:F, 5, FALSE), 0))</f>
        <v/>
      </c>
      <c r="J134">
        <f>ROUND(G134 * I134, 2)</f>
        <v/>
      </c>
      <c r="K134" t="inlineStr">
        <is>
          <t>EV_PRODUCCION</t>
        </is>
      </c>
      <c r="L134" t="inlineStr">
        <is>
          <t>ing_campo.html</t>
        </is>
      </c>
    </row>
    <row r="135">
      <c r="A135" s="30" t="inlineStr">
        <is>
          <t>LOG-20260807-134</t>
        </is>
      </c>
      <c r="B135" s="32" t="n">
        <v>46241</v>
      </c>
      <c r="C135" t="inlineStr">
        <is>
          <t>Tareador (Bildin)</t>
        </is>
      </c>
      <c r="D135" s="30" t="inlineStr">
        <is>
          <t>WBS-200</t>
        </is>
      </c>
      <c r="E135" s="30" t="inlineStr">
        <is>
          <t>MO_CAPATAZ</t>
        </is>
      </c>
      <c r="F135" t="inlineStr">
        <is>
          <t>CAPATAZ</t>
        </is>
      </c>
      <c r="G135" t="n">
        <v>8</v>
      </c>
      <c r="H135" s="30" t="inlineStr">
        <is>
          <t>hh</t>
        </is>
      </c>
      <c r="I135">
        <f>IFERROR(VLOOKUP(E135, '05_MAESTRO_RECURSOS'!A:D, 4, FALSE), IFERROR(VLOOKUP(E135, '06_MAESTRO_PARTIDAS_EV'!B:F, 5, FALSE), 0))</f>
        <v/>
      </c>
      <c r="J135">
        <f>ROUND(G135 * I135, 2)</f>
        <v/>
      </c>
      <c r="K135" t="inlineStr">
        <is>
          <t>AC_MO</t>
        </is>
      </c>
      <c r="L135" t="inlineStr">
        <is>
          <t>tareador.html</t>
        </is>
      </c>
    </row>
    <row r="136">
      <c r="A136" s="30" t="inlineStr">
        <is>
          <t>LOG-20260807-135</t>
        </is>
      </c>
      <c r="B136" s="32" t="n">
        <v>46241</v>
      </c>
      <c r="C136" t="inlineStr">
        <is>
          <t>Tareador (Bildin)</t>
        </is>
      </c>
      <c r="D136" s="30" t="inlineStr">
        <is>
          <t>WBS-200</t>
        </is>
      </c>
      <c r="E136" s="30" t="inlineStr">
        <is>
          <t>MO_OPERARIO</t>
        </is>
      </c>
      <c r="F136" t="inlineStr">
        <is>
          <t>OPERARIO</t>
        </is>
      </c>
      <c r="G136" t="n">
        <v>24</v>
      </c>
      <c r="H136" s="30" t="inlineStr">
        <is>
          <t>hh</t>
        </is>
      </c>
      <c r="I136">
        <f>IFERROR(VLOOKUP(E136, '05_MAESTRO_RECURSOS'!A:D, 4, FALSE), IFERROR(VLOOKUP(E136, '06_MAESTRO_PARTIDAS_EV'!B:F, 5, FALSE), 0))</f>
        <v/>
      </c>
      <c r="J136">
        <f>ROUND(G136 * I136, 2)</f>
        <v/>
      </c>
      <c r="K136" t="inlineStr">
        <is>
          <t>AC_MO</t>
        </is>
      </c>
      <c r="L136" t="inlineStr">
        <is>
          <t>tareador.html</t>
        </is>
      </c>
    </row>
    <row r="137">
      <c r="A137" s="30" t="inlineStr">
        <is>
          <t>LOG-20260807-136</t>
        </is>
      </c>
      <c r="B137" s="32" t="n">
        <v>46241</v>
      </c>
      <c r="C137" t="inlineStr">
        <is>
          <t>Tareador (Bildin)</t>
        </is>
      </c>
      <c r="D137" s="30" t="inlineStr">
        <is>
          <t>WBS-200</t>
        </is>
      </c>
      <c r="E137" s="30" t="inlineStr">
        <is>
          <t>MO_OFICIAL</t>
        </is>
      </c>
      <c r="F137" t="inlineStr">
        <is>
          <t>OFICIAL</t>
        </is>
      </c>
      <c r="G137" t="n">
        <v>16</v>
      </c>
      <c r="H137" s="30" t="inlineStr">
        <is>
          <t>hh</t>
        </is>
      </c>
      <c r="I137">
        <f>IFERROR(VLOOKUP(E137, '05_MAESTRO_RECURSOS'!A:D, 4, FALSE), IFERROR(VLOOKUP(E137, '06_MAESTRO_PARTIDAS_EV'!B:F, 5, FALSE), 0))</f>
        <v/>
      </c>
      <c r="J137">
        <f>ROUND(G137 * I137, 2)</f>
        <v/>
      </c>
      <c r="K137" t="inlineStr">
        <is>
          <t>AC_MO</t>
        </is>
      </c>
      <c r="L137" t="inlineStr">
        <is>
          <t>tareador.html</t>
        </is>
      </c>
    </row>
    <row r="138">
      <c r="A138" s="30" t="inlineStr">
        <is>
          <t>LOG-20260807-137</t>
        </is>
      </c>
      <c r="B138" s="32" t="n">
        <v>46241</v>
      </c>
      <c r="C138" t="inlineStr">
        <is>
          <t>Tareador (Bildin)</t>
        </is>
      </c>
      <c r="D138" s="30" t="inlineStr">
        <is>
          <t>WBS-200</t>
        </is>
      </c>
      <c r="E138" s="30" t="inlineStr">
        <is>
          <t>MO_PEON</t>
        </is>
      </c>
      <c r="F138" t="inlineStr">
        <is>
          <t>PEON</t>
        </is>
      </c>
      <c r="G138" t="n">
        <v>64</v>
      </c>
      <c r="H138" s="30" t="inlineStr">
        <is>
          <t>hh</t>
        </is>
      </c>
      <c r="I138">
        <f>IFERROR(VLOOKUP(E138, '05_MAESTRO_RECURSOS'!A:D, 4, FALSE), IFERROR(VLOOKUP(E138, '06_MAESTRO_PARTIDAS_EV'!B:F, 5, FALSE), 0))</f>
        <v/>
      </c>
      <c r="J138">
        <f>ROUND(G138 * I138, 2)</f>
        <v/>
      </c>
      <c r="K138" t="inlineStr">
        <is>
          <t>AC_MO</t>
        </is>
      </c>
      <c r="L138" t="inlineStr">
        <is>
          <t>tareador.html</t>
        </is>
      </c>
    </row>
    <row r="139">
      <c r="A139" s="30" t="inlineStr">
        <is>
          <t>LOG-20260807-138</t>
        </is>
      </c>
      <c r="B139" s="32" t="n">
        <v>46241</v>
      </c>
      <c r="C139" t="inlineStr">
        <is>
          <t>Almacenero</t>
        </is>
      </c>
      <c r="D139" s="30" t="inlineStr">
        <is>
          <t>WBS-200</t>
        </is>
      </c>
      <c r="E139" s="30" t="inlineStr">
        <is>
          <t>MAT_ARENA_CAMAS</t>
        </is>
      </c>
      <c r="F139" t="inlineStr">
        <is>
          <t>ARENA FINA SELECCIONADA PARA CAMA</t>
        </is>
      </c>
      <c r="G139" t="n">
        <v>10</v>
      </c>
      <c r="H139" s="30" t="inlineStr">
        <is>
          <t>m3</t>
        </is>
      </c>
      <c r="I139">
        <f>IFERROR(VLOOKUP(E139, '05_MAESTRO_RECURSOS'!A:D, 4, FALSE), IFERROR(VLOOKUP(E139, '06_MAESTRO_PARTIDAS_EV'!B:F, 5, FALSE), 0))</f>
        <v/>
      </c>
      <c r="J139">
        <f>ROUND(G139 * I139, 2)</f>
        <v/>
      </c>
      <c r="K139" t="inlineStr">
        <is>
          <t>AC_MAT</t>
        </is>
      </c>
      <c r="L139" t="inlineStr">
        <is>
          <t>almacenero.html</t>
        </is>
      </c>
    </row>
    <row r="140">
      <c r="A140" s="30" t="inlineStr">
        <is>
          <t>LOG-20260807-139</t>
        </is>
      </c>
      <c r="B140" s="32" t="n">
        <v>46241</v>
      </c>
      <c r="C140" t="inlineStr">
        <is>
          <t>Almacenero</t>
        </is>
      </c>
      <c r="D140" s="30" t="inlineStr">
        <is>
          <t>WBS-200</t>
        </is>
      </c>
      <c r="E140" s="30" t="inlineStr">
        <is>
          <t>MAT_TUB_PVC_200</t>
        </is>
      </c>
      <c r="F140" t="inlineStr">
        <is>
          <t>TUBERIA PVC UF DN 200MM S-20 ALCANTARILLADO</t>
        </is>
      </c>
      <c r="G140" t="n">
        <v>120</v>
      </c>
      <c r="H140" s="30" t="inlineStr">
        <is>
          <t>m</t>
        </is>
      </c>
      <c r="I140">
        <f>IFERROR(VLOOKUP(E140, '05_MAESTRO_RECURSOS'!A:D, 4, FALSE), IFERROR(VLOOKUP(E140, '06_MAESTRO_PARTIDAS_EV'!B:F, 5, FALSE), 0))</f>
        <v/>
      </c>
      <c r="J140">
        <f>ROUND(G140 * I140, 2)</f>
        <v/>
      </c>
      <c r="K140" t="inlineStr">
        <is>
          <t>AC_MAT</t>
        </is>
      </c>
      <c r="L140" t="inlineStr">
        <is>
          <t>almacenero.html</t>
        </is>
      </c>
    </row>
    <row r="141">
      <c r="A141" s="30" t="inlineStr">
        <is>
          <t>LOG-20260807-140</t>
        </is>
      </c>
      <c r="B141" s="32" t="n">
        <v>46241</v>
      </c>
      <c r="C141" t="inlineStr">
        <is>
          <t>Almacenero</t>
        </is>
      </c>
      <c r="D141" s="30" t="inlineStr">
        <is>
          <t>WBS-200</t>
        </is>
      </c>
      <c r="E141" s="30" t="inlineStr">
        <is>
          <t>MAT_LUBRICANTE</t>
        </is>
      </c>
      <c r="F141" t="inlineStr">
        <is>
          <t>LUBRICANTE PARA TUBERIA</t>
        </is>
      </c>
      <c r="G141" t="n">
        <v>2</v>
      </c>
      <c r="H141" s="30" t="inlineStr">
        <is>
          <t>kg</t>
        </is>
      </c>
      <c r="I141">
        <f>IFERROR(VLOOKUP(E141, '05_MAESTRO_RECURSOS'!A:D, 4, FALSE), IFERROR(VLOOKUP(E141, '06_MAESTRO_PARTIDAS_EV'!B:F, 5, FALSE), 0))</f>
        <v/>
      </c>
      <c r="J141">
        <f>ROUND(G141 * I141, 2)</f>
        <v/>
      </c>
      <c r="K141" t="inlineStr">
        <is>
          <t>AC_MAT</t>
        </is>
      </c>
      <c r="L141" t="inlineStr">
        <is>
          <t>almacenero.html</t>
        </is>
      </c>
    </row>
    <row r="142">
      <c r="A142" s="30" t="inlineStr">
        <is>
          <t>LOG-20260807-141</t>
        </is>
      </c>
      <c r="B142" s="32" t="n">
        <v>46241</v>
      </c>
      <c r="C142" t="inlineStr">
        <is>
          <t>Almacenero</t>
        </is>
      </c>
      <c r="D142" s="30" t="inlineStr">
        <is>
          <t>WBS-200</t>
        </is>
      </c>
      <c r="E142" s="30" t="inlineStr">
        <is>
          <t>MAT_BUZON_PREF</t>
        </is>
      </c>
      <c r="F142" t="inlineStr">
        <is>
          <t>BUZON PREFABRICADO CONCRETO</t>
        </is>
      </c>
      <c r="G142" t="n">
        <v>1</v>
      </c>
      <c r="H142" s="30" t="inlineStr">
        <is>
          <t>und</t>
        </is>
      </c>
      <c r="I142">
        <f>IFERROR(VLOOKUP(E142, '05_MAESTRO_RECURSOS'!A:D, 4, FALSE), IFERROR(VLOOKUP(E142, '06_MAESTRO_PARTIDAS_EV'!B:F, 5, FALSE), 0))</f>
        <v/>
      </c>
      <c r="J142">
        <f>ROUND(G142 * I142, 2)</f>
        <v/>
      </c>
      <c r="K142" t="inlineStr">
        <is>
          <t>AC_MAT</t>
        </is>
      </c>
      <c r="L142" t="inlineStr">
        <is>
          <t>almacenero.html</t>
        </is>
      </c>
    </row>
    <row r="143">
      <c r="A143" s="30" t="inlineStr">
        <is>
          <t>LOG-20260807-142</t>
        </is>
      </c>
      <c r="B143" s="32" t="n">
        <v>46241</v>
      </c>
      <c r="C143" t="inlineStr">
        <is>
          <t>Administradora</t>
        </is>
      </c>
      <c r="D143" s="30" t="inlineStr">
        <is>
          <t>WBS-200</t>
        </is>
      </c>
      <c r="E143" s="30" t="inlineStr">
        <is>
          <t>EQ_CAMION_GRUAN</t>
        </is>
      </c>
      <c r="F143" t="inlineStr">
        <is>
          <t>CAMION GRUA 5 TN MONTAJE BUZONES</t>
        </is>
      </c>
      <c r="G143" t="n">
        <v>4</v>
      </c>
      <c r="H143" s="30" t="inlineStr">
        <is>
          <t>hm</t>
        </is>
      </c>
      <c r="I143">
        <f>IFERROR(VLOOKUP(E143, '05_MAESTRO_RECURSOS'!A:D, 4, FALSE), IFERROR(VLOOKUP(E143, '06_MAESTRO_PARTIDAS_EV'!B:F, 5, FALSE), 0))</f>
        <v/>
      </c>
      <c r="J143">
        <f>ROUND(G143 * I143, 2)</f>
        <v/>
      </c>
      <c r="K143" t="inlineStr">
        <is>
          <t>AC_EQP</t>
        </is>
      </c>
      <c r="L143" t="inlineStr">
        <is>
          <t>administradora.html</t>
        </is>
      </c>
    </row>
    <row r="144">
      <c r="A144" s="30" t="inlineStr">
        <is>
          <t>LOG-20260807-143</t>
        </is>
      </c>
      <c r="B144" s="32" t="n">
        <v>46241</v>
      </c>
      <c r="C144" t="inlineStr">
        <is>
          <t>Administradora</t>
        </is>
      </c>
      <c r="D144" s="30" t="inlineStr">
        <is>
          <t>WBS-200</t>
        </is>
      </c>
      <c r="E144" s="30" t="inlineStr">
        <is>
          <t>SUB_MONTAJE_BUZON</t>
        </is>
      </c>
      <c r="F144" t="inlineStr">
        <is>
          <t>SUBCONTRATO MONTAJE BUZONES</t>
        </is>
      </c>
      <c r="G144" t="n">
        <v>1</v>
      </c>
      <c r="H144" s="30" t="inlineStr">
        <is>
          <t>und</t>
        </is>
      </c>
      <c r="I144">
        <f>IFERROR(VLOOKUP(E144, '05_MAESTRO_RECURSOS'!A:D, 4, FALSE), IFERROR(VLOOKUP(E144, '06_MAESTRO_PARTIDAS_EV'!B:F, 5, FALSE), 0))</f>
        <v/>
      </c>
      <c r="J144">
        <f>ROUND(G144 * I144, 2)</f>
        <v/>
      </c>
      <c r="K144" t="inlineStr">
        <is>
          <t>AC_SUB</t>
        </is>
      </c>
      <c r="L144" t="inlineStr">
        <is>
          <t>administradora.html</t>
        </is>
      </c>
    </row>
    <row r="145">
      <c r="A145" s="30" t="inlineStr">
        <is>
          <t>LOG-20260807-144</t>
        </is>
      </c>
      <c r="B145" s="32" t="n">
        <v>46241</v>
      </c>
      <c r="C145" t="inlineStr">
        <is>
          <t>Ing. de Campo</t>
        </is>
      </c>
      <c r="D145" s="30" t="inlineStr">
        <is>
          <t>WBS-200</t>
        </is>
      </c>
      <c r="E145" s="30" t="inlineStr">
        <is>
          <t>01.02.06</t>
        </is>
      </c>
      <c r="F145" t="inlineStr">
        <is>
          <t>CONSTRUCCION DE BUZONES PREFABRICADOS H=1.5 A 2.5M</t>
        </is>
      </c>
      <c r="G145" t="n">
        <v>1</v>
      </c>
      <c r="H145" s="30" t="inlineStr">
        <is>
          <t>UND</t>
        </is>
      </c>
      <c r="I145">
        <f>IFERROR(VLOOKUP(E145, '05_MAESTRO_RECURSOS'!A:D, 4, FALSE), IFERROR(VLOOKUP(E145, '06_MAESTRO_PARTIDAS_EV'!B:F, 5, FALSE), 0))</f>
        <v/>
      </c>
      <c r="J145">
        <f>ROUND(G145 * I145, 2)</f>
        <v/>
      </c>
      <c r="K145" t="inlineStr">
        <is>
          <t>EV_PRODUCCION</t>
        </is>
      </c>
      <c r="L145" t="inlineStr">
        <is>
          <t>ing_campo.html</t>
        </is>
      </c>
    </row>
    <row r="146">
      <c r="A146" s="30" t="inlineStr">
        <is>
          <t>LOG-20260807-145</t>
        </is>
      </c>
      <c r="B146" s="32" t="n">
        <v>46241</v>
      </c>
      <c r="C146" t="inlineStr">
        <is>
          <t>Almacenero</t>
        </is>
      </c>
      <c r="D146" s="30" t="inlineStr">
        <is>
          <t>WBS-200</t>
        </is>
      </c>
      <c r="E146" s="30" t="inlineStr">
        <is>
          <t>MAT_CAJA_REGISTRO</t>
        </is>
      </c>
      <c r="F146" t="inlineStr">
        <is>
          <t>CAJA REGISTRO CONCRETO 12X24</t>
        </is>
      </c>
      <c r="G146" t="n">
        <v>3</v>
      </c>
      <c r="H146" s="30" t="inlineStr">
        <is>
          <t>und</t>
        </is>
      </c>
      <c r="I146">
        <f>IFERROR(VLOOKUP(E146, '05_MAESTRO_RECURSOS'!A:D, 4, FALSE), IFERROR(VLOOKUP(E146, '06_MAESTRO_PARTIDAS_EV'!B:F, 5, FALSE), 0))</f>
        <v/>
      </c>
      <c r="J146">
        <f>ROUND(G146 * I146, 2)</f>
        <v/>
      </c>
      <c r="K146" t="inlineStr">
        <is>
          <t>AC_MAT</t>
        </is>
      </c>
      <c r="L146" t="inlineStr">
        <is>
          <t>almacenero.html</t>
        </is>
      </c>
    </row>
    <row r="147">
      <c r="A147" s="30" t="inlineStr">
        <is>
          <t>LOG-20260807-146</t>
        </is>
      </c>
      <c r="B147" s="32" t="n">
        <v>46241</v>
      </c>
      <c r="C147" t="inlineStr">
        <is>
          <t>Almacenero</t>
        </is>
      </c>
      <c r="D147" s="30" t="inlineStr">
        <is>
          <t>WBS-200</t>
        </is>
      </c>
      <c r="E147" s="30" t="inlineStr">
        <is>
          <t>MAT_TUB_PVC_160_CONEX</t>
        </is>
      </c>
      <c r="F147" t="inlineStr">
        <is>
          <t>TUBERIA PVC SAL 160MM ACOMETIDA</t>
        </is>
      </c>
      <c r="G147" t="n">
        <v>18</v>
      </c>
      <c r="H147" s="30" t="inlineStr">
        <is>
          <t>m</t>
        </is>
      </c>
      <c r="I147">
        <f>IFERROR(VLOOKUP(E147, '05_MAESTRO_RECURSOS'!A:D, 4, FALSE), IFERROR(VLOOKUP(E147, '06_MAESTRO_PARTIDAS_EV'!B:F, 5, FALSE), 0))</f>
        <v/>
      </c>
      <c r="J147">
        <f>ROUND(G147 * I147, 2)</f>
        <v/>
      </c>
      <c r="K147" t="inlineStr">
        <is>
          <t>AC_MAT</t>
        </is>
      </c>
      <c r="L147" t="inlineStr">
        <is>
          <t>almacenero.html</t>
        </is>
      </c>
    </row>
    <row r="148">
      <c r="A148" s="30" t="inlineStr">
        <is>
          <t>LOG-20260807-147</t>
        </is>
      </c>
      <c r="B148" s="32" t="n">
        <v>46241</v>
      </c>
      <c r="C148" t="inlineStr">
        <is>
          <t>Administradora</t>
        </is>
      </c>
      <c r="D148" s="30" t="inlineStr">
        <is>
          <t>WBS-200</t>
        </is>
      </c>
      <c r="E148" s="30" t="inlineStr">
        <is>
          <t>SUB_ENSAYOS_COMPAC</t>
        </is>
      </c>
      <c r="F148" t="inlineStr">
        <is>
          <t>SUBCONTRATO DENSIDADES PROCTOR</t>
        </is>
      </c>
      <c r="G148" t="n">
        <v>2</v>
      </c>
      <c r="H148" s="30" t="inlineStr">
        <is>
          <t>und</t>
        </is>
      </c>
      <c r="I148">
        <f>IFERROR(VLOOKUP(E148, '05_MAESTRO_RECURSOS'!A:D, 4, FALSE), IFERROR(VLOOKUP(E148, '06_MAESTRO_PARTIDAS_EV'!B:F, 5, FALSE), 0))</f>
        <v/>
      </c>
      <c r="J148">
        <f>ROUND(G148 * I148, 2)</f>
        <v/>
      </c>
      <c r="K148" t="inlineStr">
        <is>
          <t>AC_SUB</t>
        </is>
      </c>
      <c r="L148" t="inlineStr">
        <is>
          <t>administradora.html</t>
        </is>
      </c>
    </row>
    <row r="149">
      <c r="A149" s="30" t="inlineStr">
        <is>
          <t>LOG-20260807-148</t>
        </is>
      </c>
      <c r="B149" s="32" t="n">
        <v>46241</v>
      </c>
      <c r="C149" t="inlineStr">
        <is>
          <t>Ing. de Campo</t>
        </is>
      </c>
      <c r="D149" s="30" t="inlineStr">
        <is>
          <t>WBS-200</t>
        </is>
      </c>
      <c r="E149" s="30" t="inlineStr">
        <is>
          <t>01.02.07</t>
        </is>
      </c>
      <c r="F149" t="inlineStr">
        <is>
          <t>CONEXIONES DOMICILIARIAS ALCANTARILLADO DN 160MM</t>
        </is>
      </c>
      <c r="G149" t="n">
        <v>3</v>
      </c>
      <c r="H149" s="30" t="inlineStr">
        <is>
          <t>UND</t>
        </is>
      </c>
      <c r="I149">
        <f>IFERROR(VLOOKUP(E149, '05_MAESTRO_RECURSOS'!A:D, 4, FALSE), IFERROR(VLOOKUP(E149, '06_MAESTRO_PARTIDAS_EV'!B:F, 5, FALSE), 0))</f>
        <v/>
      </c>
      <c r="J149">
        <f>ROUND(G149 * I149, 2)</f>
        <v/>
      </c>
      <c r="K149" t="inlineStr">
        <is>
          <t>EV_PRODUCCION</t>
        </is>
      </c>
      <c r="L149" t="inlineStr">
        <is>
          <t>ing_campo.html</t>
        </is>
      </c>
    </row>
    <row r="150">
      <c r="A150" s="30" t="inlineStr">
        <is>
          <t>LOG-20260807-149</t>
        </is>
      </c>
      <c r="B150" s="32" t="n">
        <v>46241</v>
      </c>
      <c r="C150" t="inlineStr">
        <is>
          <t>Administradora</t>
        </is>
      </c>
      <c r="D150" s="30" t="inlineStr">
        <is>
          <t>WBS-200</t>
        </is>
      </c>
      <c r="E150" s="30" t="inlineStr">
        <is>
          <t>EQ_EXCAVADORA</t>
        </is>
      </c>
      <c r="F150" t="inlineStr">
        <is>
          <t>EXCAVADORA ORUGAS 140 HP</t>
        </is>
      </c>
      <c r="G150" t="n">
        <v>8</v>
      </c>
      <c r="H150" s="30" t="inlineStr">
        <is>
          <t>hm</t>
        </is>
      </c>
      <c r="I150">
        <f>IFERROR(VLOOKUP(E150, '05_MAESTRO_RECURSOS'!A:D, 4, FALSE), IFERROR(VLOOKUP(E150, '06_MAESTRO_PARTIDAS_EV'!B:F, 5, FALSE), 0))</f>
        <v/>
      </c>
      <c r="J150">
        <f>ROUND(G150 * I150, 2)</f>
        <v/>
      </c>
      <c r="K150" t="inlineStr">
        <is>
          <t>AC_EQP</t>
        </is>
      </c>
      <c r="L150" t="inlineStr">
        <is>
          <t>administradora.html</t>
        </is>
      </c>
    </row>
    <row r="151">
      <c r="A151" s="30" t="inlineStr">
        <is>
          <t>LOG-20260807-150</t>
        </is>
      </c>
      <c r="B151" s="32" t="n">
        <v>46241</v>
      </c>
      <c r="C151" t="inlineStr">
        <is>
          <t>Administradora</t>
        </is>
      </c>
      <c r="D151" s="30" t="inlineStr">
        <is>
          <t>WBS-200</t>
        </is>
      </c>
      <c r="E151" s="30" t="inlineStr">
        <is>
          <t>EQ_PLANCHA</t>
        </is>
      </c>
      <c r="F151" t="inlineStr">
        <is>
          <t>PLANCHA COMPACTADORA 7 HP</t>
        </is>
      </c>
      <c r="G151" t="n">
        <v>8</v>
      </c>
      <c r="H151" s="30" t="inlineStr">
        <is>
          <t>hm</t>
        </is>
      </c>
      <c r="I151">
        <f>IFERROR(VLOOKUP(E151, '05_MAESTRO_RECURSOS'!A:D, 4, FALSE), IFERROR(VLOOKUP(E151, '06_MAESTRO_PARTIDAS_EV'!B:F, 5, FALSE), 0))</f>
        <v/>
      </c>
      <c r="J151">
        <f>ROUND(G151 * I151, 2)</f>
        <v/>
      </c>
      <c r="K151" t="inlineStr">
        <is>
          <t>AC_EQP</t>
        </is>
      </c>
      <c r="L151" t="inlineStr">
        <is>
          <t>administradora.html</t>
        </is>
      </c>
    </row>
    <row r="152">
      <c r="A152" s="30" t="inlineStr">
        <is>
          <t>LOG-20260807-151</t>
        </is>
      </c>
      <c r="B152" s="32" t="n">
        <v>46241</v>
      </c>
      <c r="C152" t="inlineStr">
        <is>
          <t>Administradora</t>
        </is>
      </c>
      <c r="D152" s="30" t="inlineStr">
        <is>
          <t>WBS-200</t>
        </is>
      </c>
      <c r="E152" s="30" t="inlineStr">
        <is>
          <t>EQ_RODILLO_CAMINANTE</t>
        </is>
      </c>
      <c r="F152" t="inlineStr">
        <is>
          <t>RODILLO VIBRATORIO 1.5 TN</t>
        </is>
      </c>
      <c r="G152" t="n">
        <v>8</v>
      </c>
      <c r="H152" s="30" t="inlineStr">
        <is>
          <t>hm</t>
        </is>
      </c>
      <c r="I152">
        <f>IFERROR(VLOOKUP(E152, '05_MAESTRO_RECURSOS'!A:D, 4, FALSE), IFERROR(VLOOKUP(E152, '06_MAESTRO_PARTIDAS_EV'!B:F, 5, FALSE), 0))</f>
        <v/>
      </c>
      <c r="J152">
        <f>ROUND(G152 * I152, 2)</f>
        <v/>
      </c>
      <c r="K152" t="inlineStr">
        <is>
          <t>AC_EQP</t>
        </is>
      </c>
      <c r="L152" t="inlineStr">
        <is>
          <t>administradora.html</t>
        </is>
      </c>
    </row>
    <row r="153">
      <c r="A153" s="30" t="inlineStr">
        <is>
          <t>LOG-20260807-152</t>
        </is>
      </c>
      <c r="B153" s="32" t="n">
        <v>46241</v>
      </c>
      <c r="C153" t="inlineStr">
        <is>
          <t>Ing. de Campo</t>
        </is>
      </c>
      <c r="D153" s="30" t="inlineStr">
        <is>
          <t>WBS-200</t>
        </is>
      </c>
      <c r="E153" s="30" t="inlineStr">
        <is>
          <t>01.02.02</t>
        </is>
      </c>
      <c r="F153" t="inlineStr">
        <is>
          <t>EXCAVACION DE ZANJA C/MAQUINA EN T. SEMIROCOSO</t>
        </is>
      </c>
      <c r="G153" t="n">
        <v>150</v>
      </c>
      <c r="H153" s="30" t="inlineStr">
        <is>
          <t>M3</t>
        </is>
      </c>
      <c r="I153">
        <f>IFERROR(VLOOKUP(E153, '05_MAESTRO_RECURSOS'!A:D, 4, FALSE), IFERROR(VLOOKUP(E153, '06_MAESTRO_PARTIDAS_EV'!B:F, 5, FALSE), 0))</f>
        <v/>
      </c>
      <c r="J153">
        <f>ROUND(G153 * I153, 2)</f>
        <v/>
      </c>
      <c r="K153" t="inlineStr">
        <is>
          <t>EV_PRODUCCION</t>
        </is>
      </c>
      <c r="L153" t="inlineStr">
        <is>
          <t>ing_campo.html</t>
        </is>
      </c>
    </row>
    <row r="154">
      <c r="A154" s="30" t="inlineStr">
        <is>
          <t>LOG-20260807-153</t>
        </is>
      </c>
      <c r="B154" s="32" t="n">
        <v>46241</v>
      </c>
      <c r="C154" t="inlineStr">
        <is>
          <t>Ing. de Campo</t>
        </is>
      </c>
      <c r="D154" s="30" t="inlineStr">
        <is>
          <t>WBS-200</t>
        </is>
      </c>
      <c r="E154" s="30" t="inlineStr">
        <is>
          <t>01.02.03</t>
        </is>
      </c>
      <c r="F154" t="inlineStr">
        <is>
          <t>CAMA DE APOYO H=0.10 M CON ARENA SELECCIONADA</t>
        </is>
      </c>
      <c r="G154" t="n">
        <v>120</v>
      </c>
      <c r="H154" s="30" t="inlineStr">
        <is>
          <t>M</t>
        </is>
      </c>
      <c r="I154">
        <f>IFERROR(VLOOKUP(E154, '05_MAESTRO_RECURSOS'!A:D, 4, FALSE), IFERROR(VLOOKUP(E154, '06_MAESTRO_PARTIDAS_EV'!B:F, 5, FALSE), 0))</f>
        <v/>
      </c>
      <c r="J154">
        <f>ROUND(G154 * I154, 2)</f>
        <v/>
      </c>
      <c r="K154" t="inlineStr">
        <is>
          <t>EV_PRODUCCION</t>
        </is>
      </c>
      <c r="L154" t="inlineStr">
        <is>
          <t>ing_campo.html</t>
        </is>
      </c>
    </row>
    <row r="155">
      <c r="A155" s="30" t="inlineStr">
        <is>
          <t>LOG-20260807-154</t>
        </is>
      </c>
      <c r="B155" s="32" t="n">
        <v>46241</v>
      </c>
      <c r="C155" t="inlineStr">
        <is>
          <t>Ing. de Campo</t>
        </is>
      </c>
      <c r="D155" s="30" t="inlineStr">
        <is>
          <t>WBS-200</t>
        </is>
      </c>
      <c r="E155" s="30" t="inlineStr">
        <is>
          <t>01.02.04</t>
        </is>
      </c>
      <c r="F155" t="inlineStr">
        <is>
          <t>SUMINISTRO E INSTALACION DE TUBERIA PVC DN 200MM S-20</t>
        </is>
      </c>
      <c r="G155" t="n">
        <v>120</v>
      </c>
      <c r="H155" s="30" t="inlineStr">
        <is>
          <t>M</t>
        </is>
      </c>
      <c r="I155">
        <f>IFERROR(VLOOKUP(E155, '05_MAESTRO_RECURSOS'!A:D, 4, FALSE), IFERROR(VLOOKUP(E155, '06_MAESTRO_PARTIDAS_EV'!B:F, 5, FALSE), 0))</f>
        <v/>
      </c>
      <c r="J155">
        <f>ROUND(G155 * I155, 2)</f>
        <v/>
      </c>
      <c r="K155" t="inlineStr">
        <is>
          <t>EV_PRODUCCION</t>
        </is>
      </c>
      <c r="L155" t="inlineStr">
        <is>
          <t>ing_campo.html</t>
        </is>
      </c>
    </row>
    <row r="156">
      <c r="A156" s="30" t="inlineStr">
        <is>
          <t>LOG-20260807-155</t>
        </is>
      </c>
      <c r="B156" s="32" t="n">
        <v>46241</v>
      </c>
      <c r="C156" t="inlineStr">
        <is>
          <t>Ing. de Campo</t>
        </is>
      </c>
      <c r="D156" s="30" t="inlineStr">
        <is>
          <t>WBS-200</t>
        </is>
      </c>
      <c r="E156" s="30" t="inlineStr">
        <is>
          <t>01.02.05</t>
        </is>
      </c>
      <c r="F156" t="inlineStr">
        <is>
          <t>RELLENO COMPACTADO DE ZANJA C/MATERIAL PRESTAMO</t>
        </is>
      </c>
      <c r="G156" t="n">
        <v>120</v>
      </c>
      <c r="H156" s="30" t="inlineStr">
        <is>
          <t>M</t>
        </is>
      </c>
      <c r="I156">
        <f>IFERROR(VLOOKUP(E156, '05_MAESTRO_RECURSOS'!A:D, 4, FALSE), IFERROR(VLOOKUP(E156, '06_MAESTRO_PARTIDAS_EV'!B:F, 5, FALSE), 0))</f>
        <v/>
      </c>
      <c r="J156">
        <f>ROUND(G156 * I156, 2)</f>
        <v/>
      </c>
      <c r="K156" t="inlineStr">
        <is>
          <t>EV_PRODUCCION</t>
        </is>
      </c>
      <c r="L156" t="inlineStr">
        <is>
          <t>ing_campo.html</t>
        </is>
      </c>
    </row>
    <row r="157">
      <c r="A157" s="30" t="inlineStr">
        <is>
          <t>LOG-20260807-156</t>
        </is>
      </c>
      <c r="B157" s="32" t="n">
        <v>46241</v>
      </c>
      <c r="C157" t="inlineStr">
        <is>
          <t>Tareador (Bildin)</t>
        </is>
      </c>
      <c r="D157" s="30" t="inlineStr">
        <is>
          <t>WBS-300</t>
        </is>
      </c>
      <c r="E157" s="30" t="inlineStr">
        <is>
          <t>MO_CAPATAZ</t>
        </is>
      </c>
      <c r="F157" t="inlineStr">
        <is>
          <t>CAPATAZ</t>
        </is>
      </c>
      <c r="G157" t="n">
        <v>4</v>
      </c>
      <c r="H157" s="30" t="inlineStr">
        <is>
          <t>hh</t>
        </is>
      </c>
      <c r="I157">
        <f>IFERROR(VLOOKUP(E157, '05_MAESTRO_RECURSOS'!A:D, 4, FALSE), IFERROR(VLOOKUP(E157, '06_MAESTRO_PARTIDAS_EV'!B:F, 5, FALSE), 0))</f>
        <v/>
      </c>
      <c r="J157">
        <f>ROUND(G157 * I157, 2)</f>
        <v/>
      </c>
      <c r="K157" t="inlineStr">
        <is>
          <t>AC_MO</t>
        </is>
      </c>
      <c r="L157" t="inlineStr">
        <is>
          <t>tareador.html</t>
        </is>
      </c>
    </row>
    <row r="158">
      <c r="A158" s="30" t="inlineStr">
        <is>
          <t>LOG-20260807-157</t>
        </is>
      </c>
      <c r="B158" s="32" t="n">
        <v>46241</v>
      </c>
      <c r="C158" t="inlineStr">
        <is>
          <t>Tareador (Bildin)</t>
        </is>
      </c>
      <c r="D158" s="30" t="inlineStr">
        <is>
          <t>WBS-300</t>
        </is>
      </c>
      <c r="E158" s="30" t="inlineStr">
        <is>
          <t>MO_OPERARIO</t>
        </is>
      </c>
      <c r="F158" t="inlineStr">
        <is>
          <t>OPERARIO</t>
        </is>
      </c>
      <c r="G158" t="n">
        <v>16</v>
      </c>
      <c r="H158" s="30" t="inlineStr">
        <is>
          <t>hh</t>
        </is>
      </c>
      <c r="I158">
        <f>IFERROR(VLOOKUP(E158, '05_MAESTRO_RECURSOS'!A:D, 4, FALSE), IFERROR(VLOOKUP(E158, '06_MAESTRO_PARTIDAS_EV'!B:F, 5, FALSE), 0))</f>
        <v/>
      </c>
      <c r="J158">
        <f>ROUND(G158 * I158, 2)</f>
        <v/>
      </c>
      <c r="K158" t="inlineStr">
        <is>
          <t>AC_MO</t>
        </is>
      </c>
      <c r="L158" t="inlineStr">
        <is>
          <t>tareador.html</t>
        </is>
      </c>
    </row>
    <row r="159">
      <c r="A159" s="30" t="inlineStr">
        <is>
          <t>LOG-20260807-158</t>
        </is>
      </c>
      <c r="B159" s="32" t="n">
        <v>46241</v>
      </c>
      <c r="C159" t="inlineStr">
        <is>
          <t>Tareador (Bildin)</t>
        </is>
      </c>
      <c r="D159" s="30" t="inlineStr">
        <is>
          <t>WBS-300</t>
        </is>
      </c>
      <c r="E159" s="30" t="inlineStr">
        <is>
          <t>MO_PEON</t>
        </is>
      </c>
      <c r="F159" t="inlineStr">
        <is>
          <t>PEON</t>
        </is>
      </c>
      <c r="G159" t="n">
        <v>32</v>
      </c>
      <c r="H159" s="30" t="inlineStr">
        <is>
          <t>hh</t>
        </is>
      </c>
      <c r="I159">
        <f>IFERROR(VLOOKUP(E159, '05_MAESTRO_RECURSOS'!A:D, 4, FALSE), IFERROR(VLOOKUP(E159, '06_MAESTRO_PARTIDAS_EV'!B:F, 5, FALSE), 0))</f>
        <v/>
      </c>
      <c r="J159">
        <f>ROUND(G159 * I159, 2)</f>
        <v/>
      </c>
      <c r="K159" t="inlineStr">
        <is>
          <t>AC_MO</t>
        </is>
      </c>
      <c r="L159" t="inlineStr">
        <is>
          <t>tareador.html</t>
        </is>
      </c>
    </row>
    <row r="160">
      <c r="A160" s="30" t="inlineStr">
        <is>
          <t>LOG-20260807-159</t>
        </is>
      </c>
      <c r="B160" s="32" t="n">
        <v>46241</v>
      </c>
      <c r="C160" t="inlineStr">
        <is>
          <t>Almacenero</t>
        </is>
      </c>
      <c r="D160" s="30" t="inlineStr">
        <is>
          <t>WBS-300</t>
        </is>
      </c>
      <c r="E160" s="30" t="inlineStr">
        <is>
          <t>MAT_TUB_PVC_110_AGUA</t>
        </is>
      </c>
      <c r="F160" t="inlineStr">
        <is>
          <t>TUBERIA PVC C-10 DN 110MM AGUA</t>
        </is>
      </c>
      <c r="G160" t="n">
        <v>150</v>
      </c>
      <c r="H160" s="30" t="inlineStr">
        <is>
          <t>m</t>
        </is>
      </c>
      <c r="I160">
        <f>IFERROR(VLOOKUP(E160, '05_MAESTRO_RECURSOS'!A:D, 4, FALSE), IFERROR(VLOOKUP(E160, '06_MAESTRO_PARTIDAS_EV'!B:F, 5, FALSE), 0))</f>
        <v/>
      </c>
      <c r="J160">
        <f>ROUND(G160 * I160, 2)</f>
        <v/>
      </c>
      <c r="K160" t="inlineStr">
        <is>
          <t>AC_MAT</t>
        </is>
      </c>
      <c r="L160" t="inlineStr">
        <is>
          <t>almacenero.html</t>
        </is>
      </c>
    </row>
    <row r="161">
      <c r="A161" s="30" t="inlineStr">
        <is>
          <t>LOG-20260807-160</t>
        </is>
      </c>
      <c r="B161" s="32" t="n">
        <v>46241</v>
      </c>
      <c r="C161" t="inlineStr">
        <is>
          <t>Almacenero</t>
        </is>
      </c>
      <c r="D161" s="30" t="inlineStr">
        <is>
          <t>WBS-300</t>
        </is>
      </c>
      <c r="E161" s="30" t="inlineStr">
        <is>
          <t>MAT_ACCESORIOS_AGUA</t>
        </is>
      </c>
      <c r="F161" t="inlineStr">
        <is>
          <t>ACCESORIOS PVC AGUA 110MM</t>
        </is>
      </c>
      <c r="G161" t="n">
        <v>1</v>
      </c>
      <c r="H161" s="30" t="inlineStr">
        <is>
          <t>glb</t>
        </is>
      </c>
      <c r="I161">
        <f>IFERROR(VLOOKUP(E161, '05_MAESTRO_RECURSOS'!A:D, 4, FALSE), IFERROR(VLOOKUP(E161, '06_MAESTRO_PARTIDAS_EV'!B:F, 5, FALSE), 0))</f>
        <v/>
      </c>
      <c r="J161">
        <f>ROUND(G161 * I161, 2)</f>
        <v/>
      </c>
      <c r="K161" t="inlineStr">
        <is>
          <t>AC_MAT</t>
        </is>
      </c>
      <c r="L161" t="inlineStr">
        <is>
          <t>almacenero.html</t>
        </is>
      </c>
    </row>
    <row r="162">
      <c r="A162" s="30" t="inlineStr">
        <is>
          <t>LOG-20260807-161</t>
        </is>
      </c>
      <c r="B162" s="32" t="n">
        <v>46241</v>
      </c>
      <c r="C162" t="inlineStr">
        <is>
          <t>Almacenero</t>
        </is>
      </c>
      <c r="D162" s="30" t="inlineStr">
        <is>
          <t>WBS-300</t>
        </is>
      </c>
      <c r="E162" s="30" t="inlineStr">
        <is>
          <t>MAT_CAJA_AGUA</t>
        </is>
      </c>
      <c r="F162" t="inlineStr">
        <is>
          <t>CAJA TERMOFORMADA AGUA + MEDIDOR</t>
        </is>
      </c>
      <c r="G162" t="n">
        <v>5</v>
      </c>
      <c r="H162" s="30" t="inlineStr">
        <is>
          <t>und</t>
        </is>
      </c>
      <c r="I162">
        <f>IFERROR(VLOOKUP(E162, '05_MAESTRO_RECURSOS'!A:D, 4, FALSE), IFERROR(VLOOKUP(E162, '06_MAESTRO_PARTIDAS_EV'!B:F, 5, FALSE), 0))</f>
        <v/>
      </c>
      <c r="J162">
        <f>ROUND(G162 * I162, 2)</f>
        <v/>
      </c>
      <c r="K162" t="inlineStr">
        <is>
          <t>AC_MAT</t>
        </is>
      </c>
      <c r="L162" t="inlineStr">
        <is>
          <t>almacenero.html</t>
        </is>
      </c>
    </row>
    <row r="163">
      <c r="A163" s="30" t="inlineStr">
        <is>
          <t>LOG-20260807-162</t>
        </is>
      </c>
      <c r="B163" s="32" t="n">
        <v>46241</v>
      </c>
      <c r="C163" t="inlineStr">
        <is>
          <t>Almacenero</t>
        </is>
      </c>
      <c r="D163" s="30" t="inlineStr">
        <is>
          <t>WBS-300</t>
        </is>
      </c>
      <c r="E163" s="30" t="inlineStr">
        <is>
          <t>MAT_TUB_HDPE_1_2</t>
        </is>
      </c>
      <c r="F163" t="inlineStr">
        <is>
          <t>TUBERIA HDPE 1/2 ACOMETIDA AGUA</t>
        </is>
      </c>
      <c r="G163" t="n">
        <v>30</v>
      </c>
      <c r="H163" s="30" t="inlineStr">
        <is>
          <t>m</t>
        </is>
      </c>
      <c r="I163">
        <f>IFERROR(VLOOKUP(E163, '05_MAESTRO_RECURSOS'!A:D, 4, FALSE), IFERROR(VLOOKUP(E163, '06_MAESTRO_PARTIDAS_EV'!B:F, 5, FALSE), 0))</f>
        <v/>
      </c>
      <c r="J163">
        <f>ROUND(G163 * I163, 2)</f>
        <v/>
      </c>
      <c r="K163" t="inlineStr">
        <is>
          <t>AC_MAT</t>
        </is>
      </c>
      <c r="L163" t="inlineStr">
        <is>
          <t>almacenero.html</t>
        </is>
      </c>
    </row>
    <row r="164">
      <c r="A164" s="30" t="inlineStr">
        <is>
          <t>LOG-20260807-163</t>
        </is>
      </c>
      <c r="B164" s="32" t="n">
        <v>46241</v>
      </c>
      <c r="C164" t="inlineStr">
        <is>
          <t>Ing. de Campo</t>
        </is>
      </c>
      <c r="D164" s="30" t="inlineStr">
        <is>
          <t>WBS-300</t>
        </is>
      </c>
      <c r="E164" s="30" t="inlineStr">
        <is>
          <t>01.03.02</t>
        </is>
      </c>
      <c r="F164" t="inlineStr">
        <is>
          <t>CONEXIONES DOMICILIARIAS AGUA POTABLE</t>
        </is>
      </c>
      <c r="G164" t="n">
        <v>5</v>
      </c>
      <c r="H164" s="30" t="inlineStr">
        <is>
          <t>UND</t>
        </is>
      </c>
      <c r="I164">
        <f>IFERROR(VLOOKUP(E164, '05_MAESTRO_RECURSOS'!A:D, 4, FALSE), IFERROR(VLOOKUP(E164, '06_MAESTRO_PARTIDAS_EV'!B:F, 5, FALSE), 0))</f>
        <v/>
      </c>
      <c r="J164">
        <f>ROUND(G164 * I164, 2)</f>
        <v/>
      </c>
      <c r="K164" t="inlineStr">
        <is>
          <t>EV_PRODUCCION</t>
        </is>
      </c>
      <c r="L164" t="inlineStr">
        <is>
          <t>ing_campo.html</t>
        </is>
      </c>
    </row>
    <row r="165">
      <c r="A165" s="30" t="inlineStr">
        <is>
          <t>LOG-20260807-164</t>
        </is>
      </c>
      <c r="B165" s="32" t="n">
        <v>46241</v>
      </c>
      <c r="C165" t="inlineStr">
        <is>
          <t>Administradora</t>
        </is>
      </c>
      <c r="D165" s="30" t="inlineStr">
        <is>
          <t>WBS-300</t>
        </is>
      </c>
      <c r="E165" s="30" t="inlineStr">
        <is>
          <t>EQ_RETROEXCAVADORA</t>
        </is>
      </c>
      <c r="F165" t="inlineStr">
        <is>
          <t>RETROEXCAVADORA LLANTAS 62 HP</t>
        </is>
      </c>
      <c r="G165" t="n">
        <v>8</v>
      </c>
      <c r="H165" s="30" t="inlineStr">
        <is>
          <t>hm</t>
        </is>
      </c>
      <c r="I165">
        <f>IFERROR(VLOOKUP(E165, '05_MAESTRO_RECURSOS'!A:D, 4, FALSE), IFERROR(VLOOKUP(E165, '06_MAESTRO_PARTIDAS_EV'!B:F, 5, FALSE), 0))</f>
        <v/>
      </c>
      <c r="J165">
        <f>ROUND(G165 * I165, 2)</f>
        <v/>
      </c>
      <c r="K165" t="inlineStr">
        <is>
          <t>AC_EQP</t>
        </is>
      </c>
      <c r="L165" t="inlineStr">
        <is>
          <t>administradora.html</t>
        </is>
      </c>
    </row>
    <row r="166">
      <c r="A166" s="30" t="inlineStr">
        <is>
          <t>LOG-20260807-165</t>
        </is>
      </c>
      <c r="B166" s="32" t="n">
        <v>46241</v>
      </c>
      <c r="C166" t="inlineStr">
        <is>
          <t>Administradora</t>
        </is>
      </c>
      <c r="D166" s="30" t="inlineStr">
        <is>
          <t>WBS-300</t>
        </is>
      </c>
      <c r="E166" s="30" t="inlineStr">
        <is>
          <t>EQ_PLANCHA</t>
        </is>
      </c>
      <c r="F166" t="inlineStr">
        <is>
          <t>PLANCHA COMPACTADORA 7 HP</t>
        </is>
      </c>
      <c r="G166" t="n">
        <v>8</v>
      </c>
      <c r="H166" s="30" t="inlineStr">
        <is>
          <t>hm</t>
        </is>
      </c>
      <c r="I166">
        <f>IFERROR(VLOOKUP(E166, '05_MAESTRO_RECURSOS'!A:D, 4, FALSE), IFERROR(VLOOKUP(E166, '06_MAESTRO_PARTIDAS_EV'!B:F, 5, FALSE), 0))</f>
        <v/>
      </c>
      <c r="J166">
        <f>ROUND(G166 * I166, 2)</f>
        <v/>
      </c>
      <c r="K166" t="inlineStr">
        <is>
          <t>AC_EQP</t>
        </is>
      </c>
      <c r="L166" t="inlineStr">
        <is>
          <t>administradora.html</t>
        </is>
      </c>
    </row>
    <row r="167">
      <c r="A167" s="30" t="inlineStr">
        <is>
          <t>LOG-20260807-166</t>
        </is>
      </c>
      <c r="B167" s="32" t="n">
        <v>46241</v>
      </c>
      <c r="C167" t="inlineStr">
        <is>
          <t>Administradora</t>
        </is>
      </c>
      <c r="D167" s="30" t="inlineStr">
        <is>
          <t>WBS-300</t>
        </is>
      </c>
      <c r="E167" s="30" t="inlineStr">
        <is>
          <t>EQ_RODILLO_CAMINANTE</t>
        </is>
      </c>
      <c r="F167" t="inlineStr">
        <is>
          <t>RODILLO VIBRATORIO 1.5 TN</t>
        </is>
      </c>
      <c r="G167" t="n">
        <v>8</v>
      </c>
      <c r="H167" s="30" t="inlineStr">
        <is>
          <t>hm</t>
        </is>
      </c>
      <c r="I167">
        <f>IFERROR(VLOOKUP(E167, '05_MAESTRO_RECURSOS'!A:D, 4, FALSE), IFERROR(VLOOKUP(E167, '06_MAESTRO_PARTIDAS_EV'!B:F, 5, FALSE), 0))</f>
        <v/>
      </c>
      <c r="J167">
        <f>ROUND(G167 * I167, 2)</f>
        <v/>
      </c>
      <c r="K167" t="inlineStr">
        <is>
          <t>AC_EQP</t>
        </is>
      </c>
      <c r="L167" t="inlineStr">
        <is>
          <t>administradora.html</t>
        </is>
      </c>
    </row>
    <row r="168">
      <c r="A168" s="30" t="inlineStr">
        <is>
          <t>LOG-20260807-167</t>
        </is>
      </c>
      <c r="B168" s="32" t="n">
        <v>46241</v>
      </c>
      <c r="C168" t="inlineStr">
        <is>
          <t>Ing. de Campo</t>
        </is>
      </c>
      <c r="D168" s="30" t="inlineStr">
        <is>
          <t>WBS-300</t>
        </is>
      </c>
      <c r="E168" s="30" t="inlineStr">
        <is>
          <t>01.03.01</t>
        </is>
      </c>
      <c r="F168" t="inlineStr">
        <is>
          <t>INSTALACION TUBERIA PVC C-10 DN 110MM AGUA POTABLE</t>
        </is>
      </c>
      <c r="G168" t="n">
        <v>150</v>
      </c>
      <c r="H168" s="30" t="inlineStr">
        <is>
          <t>M</t>
        </is>
      </c>
      <c r="I168">
        <f>IFERROR(VLOOKUP(E168, '05_MAESTRO_RECURSOS'!A:D, 4, FALSE), IFERROR(VLOOKUP(E168, '06_MAESTRO_PARTIDAS_EV'!B:F, 5, FALSE), 0))</f>
        <v/>
      </c>
      <c r="J168">
        <f>ROUND(G168 * I168, 2)</f>
        <v/>
      </c>
      <c r="K168" t="inlineStr">
        <is>
          <t>EV_PRODUCCION</t>
        </is>
      </c>
      <c r="L168" t="inlineStr">
        <is>
          <t>ing_campo.html</t>
        </is>
      </c>
    </row>
    <row r="169">
      <c r="A169" s="30" t="inlineStr">
        <is>
          <t>LOG-20260808-168</t>
        </is>
      </c>
      <c r="B169" s="32" t="n">
        <v>46242</v>
      </c>
      <c r="C169" t="inlineStr">
        <is>
          <t>Tareador (Bildin)</t>
        </is>
      </c>
      <c r="D169" s="30" t="inlineStr">
        <is>
          <t>WBS-200</t>
        </is>
      </c>
      <c r="E169" s="30" t="inlineStr">
        <is>
          <t>MO_CAPATAZ</t>
        </is>
      </c>
      <c r="F169" t="inlineStr">
        <is>
          <t>CAPATAZ</t>
        </is>
      </c>
      <c r="G169" t="n">
        <v>8</v>
      </c>
      <c r="H169" s="30" t="inlineStr">
        <is>
          <t>hh</t>
        </is>
      </c>
      <c r="I169">
        <f>IFERROR(VLOOKUP(E169, '05_MAESTRO_RECURSOS'!A:D, 4, FALSE), IFERROR(VLOOKUP(E169, '06_MAESTRO_PARTIDAS_EV'!B:F, 5, FALSE), 0))</f>
        <v/>
      </c>
      <c r="J169">
        <f>ROUND(G169 * I169, 2)</f>
        <v/>
      </c>
      <c r="K169" t="inlineStr">
        <is>
          <t>AC_MO</t>
        </is>
      </c>
      <c r="L169" t="inlineStr">
        <is>
          <t>tareador.html</t>
        </is>
      </c>
    </row>
    <row r="170">
      <c r="A170" s="30" t="inlineStr">
        <is>
          <t>LOG-20260808-169</t>
        </is>
      </c>
      <c r="B170" s="32" t="n">
        <v>46242</v>
      </c>
      <c r="C170" t="inlineStr">
        <is>
          <t>Tareador (Bildin)</t>
        </is>
      </c>
      <c r="D170" s="30" t="inlineStr">
        <is>
          <t>WBS-200</t>
        </is>
      </c>
      <c r="E170" s="30" t="inlineStr">
        <is>
          <t>MO_OPERARIO</t>
        </is>
      </c>
      <c r="F170" t="inlineStr">
        <is>
          <t>OPERARIO</t>
        </is>
      </c>
      <c r="G170" t="n">
        <v>24</v>
      </c>
      <c r="H170" s="30" t="inlineStr">
        <is>
          <t>hh</t>
        </is>
      </c>
      <c r="I170">
        <f>IFERROR(VLOOKUP(E170, '05_MAESTRO_RECURSOS'!A:D, 4, FALSE), IFERROR(VLOOKUP(E170, '06_MAESTRO_PARTIDAS_EV'!B:F, 5, FALSE), 0))</f>
        <v/>
      </c>
      <c r="J170">
        <f>ROUND(G170 * I170, 2)</f>
        <v/>
      </c>
      <c r="K170" t="inlineStr">
        <is>
          <t>AC_MO</t>
        </is>
      </c>
      <c r="L170" t="inlineStr">
        <is>
          <t>tareador.html</t>
        </is>
      </c>
    </row>
    <row r="171">
      <c r="A171" s="30" t="inlineStr">
        <is>
          <t>LOG-20260808-170</t>
        </is>
      </c>
      <c r="B171" s="32" t="n">
        <v>46242</v>
      </c>
      <c r="C171" t="inlineStr">
        <is>
          <t>Tareador (Bildin)</t>
        </is>
      </c>
      <c r="D171" s="30" t="inlineStr">
        <is>
          <t>WBS-200</t>
        </is>
      </c>
      <c r="E171" s="30" t="inlineStr">
        <is>
          <t>MO_OFICIAL</t>
        </is>
      </c>
      <c r="F171" t="inlineStr">
        <is>
          <t>OFICIAL</t>
        </is>
      </c>
      <c r="G171" t="n">
        <v>16</v>
      </c>
      <c r="H171" s="30" t="inlineStr">
        <is>
          <t>hh</t>
        </is>
      </c>
      <c r="I171">
        <f>IFERROR(VLOOKUP(E171, '05_MAESTRO_RECURSOS'!A:D, 4, FALSE), IFERROR(VLOOKUP(E171, '06_MAESTRO_PARTIDAS_EV'!B:F, 5, FALSE), 0))</f>
        <v/>
      </c>
      <c r="J171">
        <f>ROUND(G171 * I171, 2)</f>
        <v/>
      </c>
      <c r="K171" t="inlineStr">
        <is>
          <t>AC_MO</t>
        </is>
      </c>
      <c r="L171" t="inlineStr">
        <is>
          <t>tareador.html</t>
        </is>
      </c>
    </row>
    <row r="172">
      <c r="A172" s="30" t="inlineStr">
        <is>
          <t>LOG-20260808-171</t>
        </is>
      </c>
      <c r="B172" s="32" t="n">
        <v>46242</v>
      </c>
      <c r="C172" t="inlineStr">
        <is>
          <t>Tareador (Bildin)</t>
        </is>
      </c>
      <c r="D172" s="30" t="inlineStr">
        <is>
          <t>WBS-200</t>
        </is>
      </c>
      <c r="E172" s="30" t="inlineStr">
        <is>
          <t>MO_PEON</t>
        </is>
      </c>
      <c r="F172" t="inlineStr">
        <is>
          <t>PEON</t>
        </is>
      </c>
      <c r="G172" t="n">
        <v>64</v>
      </c>
      <c r="H172" s="30" t="inlineStr">
        <is>
          <t>hh</t>
        </is>
      </c>
      <c r="I172">
        <f>IFERROR(VLOOKUP(E172, '05_MAESTRO_RECURSOS'!A:D, 4, FALSE), IFERROR(VLOOKUP(E172, '06_MAESTRO_PARTIDAS_EV'!B:F, 5, FALSE), 0))</f>
        <v/>
      </c>
      <c r="J172">
        <f>ROUND(G172 * I172, 2)</f>
        <v/>
      </c>
      <c r="K172" t="inlineStr">
        <is>
          <t>AC_MO</t>
        </is>
      </c>
      <c r="L172" t="inlineStr">
        <is>
          <t>tareador.html</t>
        </is>
      </c>
    </row>
    <row r="173">
      <c r="A173" s="30" t="inlineStr">
        <is>
          <t>LOG-20260808-172</t>
        </is>
      </c>
      <c r="B173" s="32" t="n">
        <v>46242</v>
      </c>
      <c r="C173" t="inlineStr">
        <is>
          <t>Almacenero</t>
        </is>
      </c>
      <c r="D173" s="30" t="inlineStr">
        <is>
          <t>WBS-200</t>
        </is>
      </c>
      <c r="E173" s="30" t="inlineStr">
        <is>
          <t>MAT_ARENA_CAMAS</t>
        </is>
      </c>
      <c r="F173" t="inlineStr">
        <is>
          <t>ARENA FINA SELECCIONADA PARA CAMA</t>
        </is>
      </c>
      <c r="G173" t="n">
        <v>10</v>
      </c>
      <c r="H173" s="30" t="inlineStr">
        <is>
          <t>m3</t>
        </is>
      </c>
      <c r="I173">
        <f>IFERROR(VLOOKUP(E173, '05_MAESTRO_RECURSOS'!A:D, 4, FALSE), IFERROR(VLOOKUP(E173, '06_MAESTRO_PARTIDAS_EV'!B:F, 5, FALSE), 0))</f>
        <v/>
      </c>
      <c r="J173">
        <f>ROUND(G173 * I173, 2)</f>
        <v/>
      </c>
      <c r="K173" t="inlineStr">
        <is>
          <t>AC_MAT</t>
        </is>
      </c>
      <c r="L173" t="inlineStr">
        <is>
          <t>almacenero.html</t>
        </is>
      </c>
    </row>
    <row r="174">
      <c r="A174" s="30" t="inlineStr">
        <is>
          <t>LOG-20260808-173</t>
        </is>
      </c>
      <c r="B174" s="32" t="n">
        <v>46242</v>
      </c>
      <c r="C174" t="inlineStr">
        <is>
          <t>Almacenero</t>
        </is>
      </c>
      <c r="D174" s="30" t="inlineStr">
        <is>
          <t>WBS-200</t>
        </is>
      </c>
      <c r="E174" s="30" t="inlineStr">
        <is>
          <t>MAT_TUB_PVC_200</t>
        </is>
      </c>
      <c r="F174" t="inlineStr">
        <is>
          <t>TUBERIA PVC UF DN 200MM S-20 ALCANTARILLADO</t>
        </is>
      </c>
      <c r="G174" t="n">
        <v>120</v>
      </c>
      <c r="H174" s="30" t="inlineStr">
        <is>
          <t>m</t>
        </is>
      </c>
      <c r="I174">
        <f>IFERROR(VLOOKUP(E174, '05_MAESTRO_RECURSOS'!A:D, 4, FALSE), IFERROR(VLOOKUP(E174, '06_MAESTRO_PARTIDAS_EV'!B:F, 5, FALSE), 0))</f>
        <v/>
      </c>
      <c r="J174">
        <f>ROUND(G174 * I174, 2)</f>
        <v/>
      </c>
      <c r="K174" t="inlineStr">
        <is>
          <t>AC_MAT</t>
        </is>
      </c>
      <c r="L174" t="inlineStr">
        <is>
          <t>almacenero.html</t>
        </is>
      </c>
    </row>
    <row r="175">
      <c r="A175" s="30" t="inlineStr">
        <is>
          <t>LOG-20260808-174</t>
        </is>
      </c>
      <c r="B175" s="32" t="n">
        <v>46242</v>
      </c>
      <c r="C175" t="inlineStr">
        <is>
          <t>Almacenero</t>
        </is>
      </c>
      <c r="D175" s="30" t="inlineStr">
        <is>
          <t>WBS-200</t>
        </is>
      </c>
      <c r="E175" s="30" t="inlineStr">
        <is>
          <t>MAT_LUBRICANTE</t>
        </is>
      </c>
      <c r="F175" t="inlineStr">
        <is>
          <t>LUBRICANTE PARA TUBERIA</t>
        </is>
      </c>
      <c r="G175" t="n">
        <v>2</v>
      </c>
      <c r="H175" s="30" t="inlineStr">
        <is>
          <t>kg</t>
        </is>
      </c>
      <c r="I175">
        <f>IFERROR(VLOOKUP(E175, '05_MAESTRO_RECURSOS'!A:D, 4, FALSE), IFERROR(VLOOKUP(E175, '06_MAESTRO_PARTIDAS_EV'!B:F, 5, FALSE), 0))</f>
        <v/>
      </c>
      <c r="J175">
        <f>ROUND(G175 * I175, 2)</f>
        <v/>
      </c>
      <c r="K175" t="inlineStr">
        <is>
          <t>AC_MAT</t>
        </is>
      </c>
      <c r="L175" t="inlineStr">
        <is>
          <t>almacenero.html</t>
        </is>
      </c>
    </row>
    <row r="176">
      <c r="A176" s="30" t="inlineStr">
        <is>
          <t>LOG-20260808-175</t>
        </is>
      </c>
      <c r="B176" s="32" t="n">
        <v>46242</v>
      </c>
      <c r="C176" t="inlineStr">
        <is>
          <t>Almacenero</t>
        </is>
      </c>
      <c r="D176" s="30" t="inlineStr">
        <is>
          <t>WBS-200</t>
        </is>
      </c>
      <c r="E176" s="30" t="inlineStr">
        <is>
          <t>MAT_CAJA_REGISTRO</t>
        </is>
      </c>
      <c r="F176" t="inlineStr">
        <is>
          <t>CAJA REGISTRO CONCRETO 12X24</t>
        </is>
      </c>
      <c r="G176" t="n">
        <v>3</v>
      </c>
      <c r="H176" s="30" t="inlineStr">
        <is>
          <t>und</t>
        </is>
      </c>
      <c r="I176">
        <f>IFERROR(VLOOKUP(E176, '05_MAESTRO_RECURSOS'!A:D, 4, FALSE), IFERROR(VLOOKUP(E176, '06_MAESTRO_PARTIDAS_EV'!B:F, 5, FALSE), 0))</f>
        <v/>
      </c>
      <c r="J176">
        <f>ROUND(G176 * I176, 2)</f>
        <v/>
      </c>
      <c r="K176" t="inlineStr">
        <is>
          <t>AC_MAT</t>
        </is>
      </c>
      <c r="L176" t="inlineStr">
        <is>
          <t>almacenero.html</t>
        </is>
      </c>
    </row>
    <row r="177">
      <c r="A177" s="30" t="inlineStr">
        <is>
          <t>LOG-20260808-176</t>
        </is>
      </c>
      <c r="B177" s="32" t="n">
        <v>46242</v>
      </c>
      <c r="C177" t="inlineStr">
        <is>
          <t>Almacenero</t>
        </is>
      </c>
      <c r="D177" s="30" t="inlineStr">
        <is>
          <t>WBS-200</t>
        </is>
      </c>
      <c r="E177" s="30" t="inlineStr">
        <is>
          <t>MAT_TUB_PVC_160_CONEX</t>
        </is>
      </c>
      <c r="F177" t="inlineStr">
        <is>
          <t>TUBERIA PVC SAL 160MM ACOMETIDA</t>
        </is>
      </c>
      <c r="G177" t="n">
        <v>18</v>
      </c>
      <c r="H177" s="30" t="inlineStr">
        <is>
          <t>m</t>
        </is>
      </c>
      <c r="I177">
        <f>IFERROR(VLOOKUP(E177, '05_MAESTRO_RECURSOS'!A:D, 4, FALSE), IFERROR(VLOOKUP(E177, '06_MAESTRO_PARTIDAS_EV'!B:F, 5, FALSE), 0))</f>
        <v/>
      </c>
      <c r="J177">
        <f>ROUND(G177 * I177, 2)</f>
        <v/>
      </c>
      <c r="K177" t="inlineStr">
        <is>
          <t>AC_MAT</t>
        </is>
      </c>
      <c r="L177" t="inlineStr">
        <is>
          <t>almacenero.html</t>
        </is>
      </c>
    </row>
    <row r="178">
      <c r="A178" s="30" t="inlineStr">
        <is>
          <t>LOG-20260808-177</t>
        </is>
      </c>
      <c r="B178" s="32" t="n">
        <v>46242</v>
      </c>
      <c r="C178" t="inlineStr">
        <is>
          <t>Administradora</t>
        </is>
      </c>
      <c r="D178" s="30" t="inlineStr">
        <is>
          <t>WBS-200</t>
        </is>
      </c>
      <c r="E178" s="30" t="inlineStr">
        <is>
          <t>SUB_ENSAYOS_COMPAC</t>
        </is>
      </c>
      <c r="F178" t="inlineStr">
        <is>
          <t>SUBCONTRATO DENSIDADES PROCTOR</t>
        </is>
      </c>
      <c r="G178" t="n">
        <v>2</v>
      </c>
      <c r="H178" s="30" t="inlineStr">
        <is>
          <t>und</t>
        </is>
      </c>
      <c r="I178">
        <f>IFERROR(VLOOKUP(E178, '05_MAESTRO_RECURSOS'!A:D, 4, FALSE), IFERROR(VLOOKUP(E178, '06_MAESTRO_PARTIDAS_EV'!B:F, 5, FALSE), 0))</f>
        <v/>
      </c>
      <c r="J178">
        <f>ROUND(G178 * I178, 2)</f>
        <v/>
      </c>
      <c r="K178" t="inlineStr">
        <is>
          <t>AC_SUB</t>
        </is>
      </c>
      <c r="L178" t="inlineStr">
        <is>
          <t>administradora.html</t>
        </is>
      </c>
    </row>
    <row r="179">
      <c r="A179" s="30" t="inlineStr">
        <is>
          <t>LOG-20260808-178</t>
        </is>
      </c>
      <c r="B179" s="32" t="n">
        <v>46242</v>
      </c>
      <c r="C179" t="inlineStr">
        <is>
          <t>Ing. de Campo</t>
        </is>
      </c>
      <c r="D179" s="30" t="inlineStr">
        <is>
          <t>WBS-200</t>
        </is>
      </c>
      <c r="E179" s="30" t="inlineStr">
        <is>
          <t>01.02.07</t>
        </is>
      </c>
      <c r="F179" t="inlineStr">
        <is>
          <t>CONEXIONES DOMICILIARIAS ALCANTARILLADO DN 160MM</t>
        </is>
      </c>
      <c r="G179" t="n">
        <v>3</v>
      </c>
      <c r="H179" s="30" t="inlineStr">
        <is>
          <t>UND</t>
        </is>
      </c>
      <c r="I179">
        <f>IFERROR(VLOOKUP(E179, '05_MAESTRO_RECURSOS'!A:D, 4, FALSE), IFERROR(VLOOKUP(E179, '06_MAESTRO_PARTIDAS_EV'!B:F, 5, FALSE), 0))</f>
        <v/>
      </c>
      <c r="J179">
        <f>ROUND(G179 * I179, 2)</f>
        <v/>
      </c>
      <c r="K179" t="inlineStr">
        <is>
          <t>EV_PRODUCCION</t>
        </is>
      </c>
      <c r="L179" t="inlineStr">
        <is>
          <t>ing_campo.html</t>
        </is>
      </c>
    </row>
    <row r="180">
      <c r="A180" s="30" t="inlineStr">
        <is>
          <t>LOG-20260808-179</t>
        </is>
      </c>
      <c r="B180" s="32" t="n">
        <v>46242</v>
      </c>
      <c r="C180" t="inlineStr">
        <is>
          <t>Administradora</t>
        </is>
      </c>
      <c r="D180" s="30" t="inlineStr">
        <is>
          <t>WBS-200</t>
        </is>
      </c>
      <c r="E180" s="30" t="inlineStr">
        <is>
          <t>EQ_EXCAVADORA</t>
        </is>
      </c>
      <c r="F180" t="inlineStr">
        <is>
          <t>EXCAVADORA ORUGAS 140 HP</t>
        </is>
      </c>
      <c r="G180" t="n">
        <v>8</v>
      </c>
      <c r="H180" s="30" t="inlineStr">
        <is>
          <t>hm</t>
        </is>
      </c>
      <c r="I180">
        <f>IFERROR(VLOOKUP(E180, '05_MAESTRO_RECURSOS'!A:D, 4, FALSE), IFERROR(VLOOKUP(E180, '06_MAESTRO_PARTIDAS_EV'!B:F, 5, FALSE), 0))</f>
        <v/>
      </c>
      <c r="J180">
        <f>ROUND(G180 * I180, 2)</f>
        <v/>
      </c>
      <c r="K180" t="inlineStr">
        <is>
          <t>AC_EQP</t>
        </is>
      </c>
      <c r="L180" t="inlineStr">
        <is>
          <t>administradora.html</t>
        </is>
      </c>
    </row>
    <row r="181">
      <c r="A181" s="30" t="inlineStr">
        <is>
          <t>LOG-20260808-180</t>
        </is>
      </c>
      <c r="B181" s="32" t="n">
        <v>46242</v>
      </c>
      <c r="C181" t="inlineStr">
        <is>
          <t>Administradora</t>
        </is>
      </c>
      <c r="D181" s="30" t="inlineStr">
        <is>
          <t>WBS-200</t>
        </is>
      </c>
      <c r="E181" s="30" t="inlineStr">
        <is>
          <t>EQ_PLANCHA</t>
        </is>
      </c>
      <c r="F181" t="inlineStr">
        <is>
          <t>PLANCHA COMPACTADORA 7 HP</t>
        </is>
      </c>
      <c r="G181" t="n">
        <v>8</v>
      </c>
      <c r="H181" s="30" t="inlineStr">
        <is>
          <t>hm</t>
        </is>
      </c>
      <c r="I181">
        <f>IFERROR(VLOOKUP(E181, '05_MAESTRO_RECURSOS'!A:D, 4, FALSE), IFERROR(VLOOKUP(E181, '06_MAESTRO_PARTIDAS_EV'!B:F, 5, FALSE), 0))</f>
        <v/>
      </c>
      <c r="J181">
        <f>ROUND(G181 * I181, 2)</f>
        <v/>
      </c>
      <c r="K181" t="inlineStr">
        <is>
          <t>AC_EQP</t>
        </is>
      </c>
      <c r="L181" t="inlineStr">
        <is>
          <t>administradora.html</t>
        </is>
      </c>
    </row>
    <row r="182">
      <c r="A182" s="30" t="inlineStr">
        <is>
          <t>LOG-20260808-181</t>
        </is>
      </c>
      <c r="B182" s="32" t="n">
        <v>46242</v>
      </c>
      <c r="C182" t="inlineStr">
        <is>
          <t>Administradora</t>
        </is>
      </c>
      <c r="D182" s="30" t="inlineStr">
        <is>
          <t>WBS-200</t>
        </is>
      </c>
      <c r="E182" s="30" t="inlineStr">
        <is>
          <t>EQ_RODILLO_CAMINANTE</t>
        </is>
      </c>
      <c r="F182" t="inlineStr">
        <is>
          <t>RODILLO VIBRATORIO 1.5 TN</t>
        </is>
      </c>
      <c r="G182" t="n">
        <v>8</v>
      </c>
      <c r="H182" s="30" t="inlineStr">
        <is>
          <t>hm</t>
        </is>
      </c>
      <c r="I182">
        <f>IFERROR(VLOOKUP(E182, '05_MAESTRO_RECURSOS'!A:D, 4, FALSE), IFERROR(VLOOKUP(E182, '06_MAESTRO_PARTIDAS_EV'!B:F, 5, FALSE), 0))</f>
        <v/>
      </c>
      <c r="J182">
        <f>ROUND(G182 * I182, 2)</f>
        <v/>
      </c>
      <c r="K182" t="inlineStr">
        <is>
          <t>AC_EQP</t>
        </is>
      </c>
      <c r="L182" t="inlineStr">
        <is>
          <t>administradora.html</t>
        </is>
      </c>
    </row>
    <row r="183">
      <c r="A183" s="30" t="inlineStr">
        <is>
          <t>LOG-20260808-182</t>
        </is>
      </c>
      <c r="B183" s="32" t="n">
        <v>46242</v>
      </c>
      <c r="C183" t="inlineStr">
        <is>
          <t>Ing. de Campo</t>
        </is>
      </c>
      <c r="D183" s="30" t="inlineStr">
        <is>
          <t>WBS-200</t>
        </is>
      </c>
      <c r="E183" s="30" t="inlineStr">
        <is>
          <t>01.02.02</t>
        </is>
      </c>
      <c r="F183" t="inlineStr">
        <is>
          <t>EXCAVACION DE ZANJA C/MAQUINA EN T. SEMIROCOSO</t>
        </is>
      </c>
      <c r="G183" t="n">
        <v>150</v>
      </c>
      <c r="H183" s="30" t="inlineStr">
        <is>
          <t>M3</t>
        </is>
      </c>
      <c r="I183">
        <f>IFERROR(VLOOKUP(E183, '05_MAESTRO_RECURSOS'!A:D, 4, FALSE), IFERROR(VLOOKUP(E183, '06_MAESTRO_PARTIDAS_EV'!B:F, 5, FALSE), 0))</f>
        <v/>
      </c>
      <c r="J183">
        <f>ROUND(G183 * I183, 2)</f>
        <v/>
      </c>
      <c r="K183" t="inlineStr">
        <is>
          <t>EV_PRODUCCION</t>
        </is>
      </c>
      <c r="L183" t="inlineStr">
        <is>
          <t>ing_campo.html</t>
        </is>
      </c>
    </row>
    <row r="184">
      <c r="A184" s="30" t="inlineStr">
        <is>
          <t>LOG-20260808-183</t>
        </is>
      </c>
      <c r="B184" s="32" t="n">
        <v>46242</v>
      </c>
      <c r="C184" t="inlineStr">
        <is>
          <t>Ing. de Campo</t>
        </is>
      </c>
      <c r="D184" s="30" t="inlineStr">
        <is>
          <t>WBS-200</t>
        </is>
      </c>
      <c r="E184" s="30" t="inlineStr">
        <is>
          <t>01.02.03</t>
        </is>
      </c>
      <c r="F184" t="inlineStr">
        <is>
          <t>CAMA DE APOYO H=0.10 M CON ARENA SELECCIONADA</t>
        </is>
      </c>
      <c r="G184" t="n">
        <v>120</v>
      </c>
      <c r="H184" s="30" t="inlineStr">
        <is>
          <t>M</t>
        </is>
      </c>
      <c r="I184">
        <f>IFERROR(VLOOKUP(E184, '05_MAESTRO_RECURSOS'!A:D, 4, FALSE), IFERROR(VLOOKUP(E184, '06_MAESTRO_PARTIDAS_EV'!B:F, 5, FALSE), 0))</f>
        <v/>
      </c>
      <c r="J184">
        <f>ROUND(G184 * I184, 2)</f>
        <v/>
      </c>
      <c r="K184" t="inlineStr">
        <is>
          <t>EV_PRODUCCION</t>
        </is>
      </c>
      <c r="L184" t="inlineStr">
        <is>
          <t>ing_campo.html</t>
        </is>
      </c>
    </row>
    <row r="185">
      <c r="A185" s="30" t="inlineStr">
        <is>
          <t>LOG-20260808-184</t>
        </is>
      </c>
      <c r="B185" s="32" t="n">
        <v>46242</v>
      </c>
      <c r="C185" t="inlineStr">
        <is>
          <t>Ing. de Campo</t>
        </is>
      </c>
      <c r="D185" s="30" t="inlineStr">
        <is>
          <t>WBS-200</t>
        </is>
      </c>
      <c r="E185" s="30" t="inlineStr">
        <is>
          <t>01.02.04</t>
        </is>
      </c>
      <c r="F185" t="inlineStr">
        <is>
          <t>SUMINISTRO E INSTALACION DE TUBERIA PVC DN 200MM S-20</t>
        </is>
      </c>
      <c r="G185" t="n">
        <v>120</v>
      </c>
      <c r="H185" s="30" t="inlineStr">
        <is>
          <t>M</t>
        </is>
      </c>
      <c r="I185">
        <f>IFERROR(VLOOKUP(E185, '05_MAESTRO_RECURSOS'!A:D, 4, FALSE), IFERROR(VLOOKUP(E185, '06_MAESTRO_PARTIDAS_EV'!B:F, 5, FALSE), 0))</f>
        <v/>
      </c>
      <c r="J185">
        <f>ROUND(G185 * I185, 2)</f>
        <v/>
      </c>
      <c r="K185" t="inlineStr">
        <is>
          <t>EV_PRODUCCION</t>
        </is>
      </c>
      <c r="L185" t="inlineStr">
        <is>
          <t>ing_campo.html</t>
        </is>
      </c>
    </row>
    <row r="186">
      <c r="A186" s="30" t="inlineStr">
        <is>
          <t>LOG-20260808-185</t>
        </is>
      </c>
      <c r="B186" s="32" t="n">
        <v>46242</v>
      </c>
      <c r="C186" t="inlineStr">
        <is>
          <t>Ing. de Campo</t>
        </is>
      </c>
      <c r="D186" s="30" t="inlineStr">
        <is>
          <t>WBS-200</t>
        </is>
      </c>
      <c r="E186" s="30" t="inlineStr">
        <is>
          <t>01.02.05</t>
        </is>
      </c>
      <c r="F186" t="inlineStr">
        <is>
          <t>RELLENO COMPACTADO DE ZANJA C/MATERIAL PRESTAMO</t>
        </is>
      </c>
      <c r="G186" t="n">
        <v>120</v>
      </c>
      <c r="H186" s="30" t="inlineStr">
        <is>
          <t>M</t>
        </is>
      </c>
      <c r="I186">
        <f>IFERROR(VLOOKUP(E186, '05_MAESTRO_RECURSOS'!A:D, 4, FALSE), IFERROR(VLOOKUP(E186, '06_MAESTRO_PARTIDAS_EV'!B:F, 5, FALSE), 0))</f>
        <v/>
      </c>
      <c r="J186">
        <f>ROUND(G186 * I186, 2)</f>
        <v/>
      </c>
      <c r="K186" t="inlineStr">
        <is>
          <t>EV_PRODUCCION</t>
        </is>
      </c>
      <c r="L186" t="inlineStr">
        <is>
          <t>ing_campo.html</t>
        </is>
      </c>
    </row>
    <row r="187">
      <c r="A187" s="30" t="inlineStr">
        <is>
          <t>LOG-20260808-186</t>
        </is>
      </c>
      <c r="B187" s="32" t="n">
        <v>46242</v>
      </c>
      <c r="C187" t="inlineStr">
        <is>
          <t>Tareador (Bildin)</t>
        </is>
      </c>
      <c r="D187" s="30" t="inlineStr">
        <is>
          <t>WBS-300</t>
        </is>
      </c>
      <c r="E187" s="30" t="inlineStr">
        <is>
          <t>MO_CAPATAZ</t>
        </is>
      </c>
      <c r="F187" t="inlineStr">
        <is>
          <t>CAPATAZ</t>
        </is>
      </c>
      <c r="G187" t="n">
        <v>4</v>
      </c>
      <c r="H187" s="30" t="inlineStr">
        <is>
          <t>hh</t>
        </is>
      </c>
      <c r="I187">
        <f>IFERROR(VLOOKUP(E187, '05_MAESTRO_RECURSOS'!A:D, 4, FALSE), IFERROR(VLOOKUP(E187, '06_MAESTRO_PARTIDAS_EV'!B:F, 5, FALSE), 0))</f>
        <v/>
      </c>
      <c r="J187">
        <f>ROUND(G187 * I187, 2)</f>
        <v/>
      </c>
      <c r="K187" t="inlineStr">
        <is>
          <t>AC_MO</t>
        </is>
      </c>
      <c r="L187" t="inlineStr">
        <is>
          <t>tareador.html</t>
        </is>
      </c>
    </row>
    <row r="188">
      <c r="A188" s="30" t="inlineStr">
        <is>
          <t>LOG-20260808-187</t>
        </is>
      </c>
      <c r="B188" s="32" t="n">
        <v>46242</v>
      </c>
      <c r="C188" t="inlineStr">
        <is>
          <t>Tareador (Bildin)</t>
        </is>
      </c>
      <c r="D188" s="30" t="inlineStr">
        <is>
          <t>WBS-300</t>
        </is>
      </c>
      <c r="E188" s="30" t="inlineStr">
        <is>
          <t>MO_OPERARIO</t>
        </is>
      </c>
      <c r="F188" t="inlineStr">
        <is>
          <t>OPERARIO</t>
        </is>
      </c>
      <c r="G188" t="n">
        <v>16</v>
      </c>
      <c r="H188" s="30" t="inlineStr">
        <is>
          <t>hh</t>
        </is>
      </c>
      <c r="I188">
        <f>IFERROR(VLOOKUP(E188, '05_MAESTRO_RECURSOS'!A:D, 4, FALSE), IFERROR(VLOOKUP(E188, '06_MAESTRO_PARTIDAS_EV'!B:F, 5, FALSE), 0))</f>
        <v/>
      </c>
      <c r="J188">
        <f>ROUND(G188 * I188, 2)</f>
        <v/>
      </c>
      <c r="K188" t="inlineStr">
        <is>
          <t>AC_MO</t>
        </is>
      </c>
      <c r="L188" t="inlineStr">
        <is>
          <t>tareador.html</t>
        </is>
      </c>
    </row>
    <row r="189">
      <c r="A189" s="30" t="inlineStr">
        <is>
          <t>LOG-20260808-188</t>
        </is>
      </c>
      <c r="B189" s="32" t="n">
        <v>46242</v>
      </c>
      <c r="C189" t="inlineStr">
        <is>
          <t>Tareador (Bildin)</t>
        </is>
      </c>
      <c r="D189" s="30" t="inlineStr">
        <is>
          <t>WBS-300</t>
        </is>
      </c>
      <c r="E189" s="30" t="inlineStr">
        <is>
          <t>MO_PEON</t>
        </is>
      </c>
      <c r="F189" t="inlineStr">
        <is>
          <t>PEON</t>
        </is>
      </c>
      <c r="G189" t="n">
        <v>32</v>
      </c>
      <c r="H189" s="30" t="inlineStr">
        <is>
          <t>hh</t>
        </is>
      </c>
      <c r="I189">
        <f>IFERROR(VLOOKUP(E189, '05_MAESTRO_RECURSOS'!A:D, 4, FALSE), IFERROR(VLOOKUP(E189, '06_MAESTRO_PARTIDAS_EV'!B:F, 5, FALSE), 0))</f>
        <v/>
      </c>
      <c r="J189">
        <f>ROUND(G189 * I189, 2)</f>
        <v/>
      </c>
      <c r="K189" t="inlineStr">
        <is>
          <t>AC_MO</t>
        </is>
      </c>
      <c r="L189" t="inlineStr">
        <is>
          <t>tareador.html</t>
        </is>
      </c>
    </row>
    <row r="190">
      <c r="A190" s="30" t="inlineStr">
        <is>
          <t>LOG-20260808-189</t>
        </is>
      </c>
      <c r="B190" s="32" t="n">
        <v>46242</v>
      </c>
      <c r="C190" t="inlineStr">
        <is>
          <t>Almacenero</t>
        </is>
      </c>
      <c r="D190" s="30" t="inlineStr">
        <is>
          <t>WBS-300</t>
        </is>
      </c>
      <c r="E190" s="30" t="inlineStr">
        <is>
          <t>MAT_TUB_PVC_110_AGUA</t>
        </is>
      </c>
      <c r="F190" t="inlineStr">
        <is>
          <t>TUBERIA PVC C-10 DN 110MM AGUA</t>
        </is>
      </c>
      <c r="G190" t="n">
        <v>150</v>
      </c>
      <c r="H190" s="30" t="inlineStr">
        <is>
          <t>m</t>
        </is>
      </c>
      <c r="I190">
        <f>IFERROR(VLOOKUP(E190, '05_MAESTRO_RECURSOS'!A:D, 4, FALSE), IFERROR(VLOOKUP(E190, '06_MAESTRO_PARTIDAS_EV'!B:F, 5, FALSE), 0))</f>
        <v/>
      </c>
      <c r="J190">
        <f>ROUND(G190 * I190, 2)</f>
        <v/>
      </c>
      <c r="K190" t="inlineStr">
        <is>
          <t>AC_MAT</t>
        </is>
      </c>
      <c r="L190" t="inlineStr">
        <is>
          <t>almacenero.html</t>
        </is>
      </c>
    </row>
    <row r="191">
      <c r="A191" s="30" t="inlineStr">
        <is>
          <t>LOG-20260808-190</t>
        </is>
      </c>
      <c r="B191" s="32" t="n">
        <v>46242</v>
      </c>
      <c r="C191" t="inlineStr">
        <is>
          <t>Almacenero</t>
        </is>
      </c>
      <c r="D191" s="30" t="inlineStr">
        <is>
          <t>WBS-300</t>
        </is>
      </c>
      <c r="E191" s="30" t="inlineStr">
        <is>
          <t>MAT_ACCESORIOS_AGUA</t>
        </is>
      </c>
      <c r="F191" t="inlineStr">
        <is>
          <t>ACCESORIOS PVC AGUA 110MM</t>
        </is>
      </c>
      <c r="G191" t="n">
        <v>1</v>
      </c>
      <c r="H191" s="30" t="inlineStr">
        <is>
          <t>glb</t>
        </is>
      </c>
      <c r="I191">
        <f>IFERROR(VLOOKUP(E191, '05_MAESTRO_RECURSOS'!A:D, 4, FALSE), IFERROR(VLOOKUP(E191, '06_MAESTRO_PARTIDAS_EV'!B:F, 5, FALSE), 0))</f>
        <v/>
      </c>
      <c r="J191">
        <f>ROUND(G191 * I191, 2)</f>
        <v/>
      </c>
      <c r="K191" t="inlineStr">
        <is>
          <t>AC_MAT</t>
        </is>
      </c>
      <c r="L191" t="inlineStr">
        <is>
          <t>almacenero.html</t>
        </is>
      </c>
    </row>
    <row r="192">
      <c r="A192" s="30" t="inlineStr">
        <is>
          <t>LOG-20260808-191</t>
        </is>
      </c>
      <c r="B192" s="32" t="n">
        <v>46242</v>
      </c>
      <c r="C192" t="inlineStr">
        <is>
          <t>Almacenero</t>
        </is>
      </c>
      <c r="D192" s="30" t="inlineStr">
        <is>
          <t>WBS-300</t>
        </is>
      </c>
      <c r="E192" s="30" t="inlineStr">
        <is>
          <t>MAT_CAJA_AGUA</t>
        </is>
      </c>
      <c r="F192" t="inlineStr">
        <is>
          <t>CAJA TERMOFORMADA AGUA + MEDIDOR</t>
        </is>
      </c>
      <c r="G192" t="n">
        <v>5</v>
      </c>
      <c r="H192" s="30" t="inlineStr">
        <is>
          <t>und</t>
        </is>
      </c>
      <c r="I192">
        <f>IFERROR(VLOOKUP(E192, '05_MAESTRO_RECURSOS'!A:D, 4, FALSE), IFERROR(VLOOKUP(E192, '06_MAESTRO_PARTIDAS_EV'!B:F, 5, FALSE), 0))</f>
        <v/>
      </c>
      <c r="J192">
        <f>ROUND(G192 * I192, 2)</f>
        <v/>
      </c>
      <c r="K192" t="inlineStr">
        <is>
          <t>AC_MAT</t>
        </is>
      </c>
      <c r="L192" t="inlineStr">
        <is>
          <t>almacenero.html</t>
        </is>
      </c>
    </row>
    <row r="193">
      <c r="A193" s="30" t="inlineStr">
        <is>
          <t>LOG-20260808-192</t>
        </is>
      </c>
      <c r="B193" s="32" t="n">
        <v>46242</v>
      </c>
      <c r="C193" t="inlineStr">
        <is>
          <t>Almacenero</t>
        </is>
      </c>
      <c r="D193" s="30" t="inlineStr">
        <is>
          <t>WBS-300</t>
        </is>
      </c>
      <c r="E193" s="30" t="inlineStr">
        <is>
          <t>MAT_TUB_HDPE_1_2</t>
        </is>
      </c>
      <c r="F193" t="inlineStr">
        <is>
          <t>TUBERIA HDPE 1/2 ACOMETIDA AGUA</t>
        </is>
      </c>
      <c r="G193" t="n">
        <v>30</v>
      </c>
      <c r="H193" s="30" t="inlineStr">
        <is>
          <t>m</t>
        </is>
      </c>
      <c r="I193">
        <f>IFERROR(VLOOKUP(E193, '05_MAESTRO_RECURSOS'!A:D, 4, FALSE), IFERROR(VLOOKUP(E193, '06_MAESTRO_PARTIDAS_EV'!B:F, 5, FALSE), 0))</f>
        <v/>
      </c>
      <c r="J193">
        <f>ROUND(G193 * I193, 2)</f>
        <v/>
      </c>
      <c r="K193" t="inlineStr">
        <is>
          <t>AC_MAT</t>
        </is>
      </c>
      <c r="L193" t="inlineStr">
        <is>
          <t>almacenero.html</t>
        </is>
      </c>
    </row>
    <row r="194">
      <c r="A194" s="30" t="inlineStr">
        <is>
          <t>LOG-20260808-193</t>
        </is>
      </c>
      <c r="B194" s="32" t="n">
        <v>46242</v>
      </c>
      <c r="C194" t="inlineStr">
        <is>
          <t>Ing. de Campo</t>
        </is>
      </c>
      <c r="D194" s="30" t="inlineStr">
        <is>
          <t>WBS-300</t>
        </is>
      </c>
      <c r="E194" s="30" t="inlineStr">
        <is>
          <t>01.03.02</t>
        </is>
      </c>
      <c r="F194" t="inlineStr">
        <is>
          <t>CONEXIONES DOMICILIARIAS AGUA POTABLE</t>
        </is>
      </c>
      <c r="G194" t="n">
        <v>5</v>
      </c>
      <c r="H194" s="30" t="inlineStr">
        <is>
          <t>UND</t>
        </is>
      </c>
      <c r="I194">
        <f>IFERROR(VLOOKUP(E194, '05_MAESTRO_RECURSOS'!A:D, 4, FALSE), IFERROR(VLOOKUP(E194, '06_MAESTRO_PARTIDAS_EV'!B:F, 5, FALSE), 0))</f>
        <v/>
      </c>
      <c r="J194">
        <f>ROUND(G194 * I194, 2)</f>
        <v/>
      </c>
      <c r="K194" t="inlineStr">
        <is>
          <t>EV_PRODUCCION</t>
        </is>
      </c>
      <c r="L194" t="inlineStr">
        <is>
          <t>ing_campo.html</t>
        </is>
      </c>
    </row>
    <row r="195">
      <c r="A195" s="30" t="inlineStr">
        <is>
          <t>LOG-20260808-194</t>
        </is>
      </c>
      <c r="B195" s="32" t="n">
        <v>46242</v>
      </c>
      <c r="C195" t="inlineStr">
        <is>
          <t>Administradora</t>
        </is>
      </c>
      <c r="D195" s="30" t="inlineStr">
        <is>
          <t>WBS-300</t>
        </is>
      </c>
      <c r="E195" s="30" t="inlineStr">
        <is>
          <t>EQ_RETROEXCAVADORA</t>
        </is>
      </c>
      <c r="F195" t="inlineStr">
        <is>
          <t>RETROEXCAVADORA LLANTAS 62 HP</t>
        </is>
      </c>
      <c r="G195" t="n">
        <v>8</v>
      </c>
      <c r="H195" s="30" t="inlineStr">
        <is>
          <t>hm</t>
        </is>
      </c>
      <c r="I195">
        <f>IFERROR(VLOOKUP(E195, '05_MAESTRO_RECURSOS'!A:D, 4, FALSE), IFERROR(VLOOKUP(E195, '06_MAESTRO_PARTIDAS_EV'!B:F, 5, FALSE), 0))</f>
        <v/>
      </c>
      <c r="J195">
        <f>ROUND(G195 * I195, 2)</f>
        <v/>
      </c>
      <c r="K195" t="inlineStr">
        <is>
          <t>AC_EQP</t>
        </is>
      </c>
      <c r="L195" t="inlineStr">
        <is>
          <t>administradora.html</t>
        </is>
      </c>
    </row>
    <row r="196">
      <c r="A196" s="30" t="inlineStr">
        <is>
          <t>LOG-20260808-195</t>
        </is>
      </c>
      <c r="B196" s="32" t="n">
        <v>46242</v>
      </c>
      <c r="C196" t="inlineStr">
        <is>
          <t>Administradora</t>
        </is>
      </c>
      <c r="D196" s="30" t="inlineStr">
        <is>
          <t>WBS-300</t>
        </is>
      </c>
      <c r="E196" s="30" t="inlineStr">
        <is>
          <t>EQ_PLANCHA</t>
        </is>
      </c>
      <c r="F196" t="inlineStr">
        <is>
          <t>PLANCHA COMPACTADORA 7 HP</t>
        </is>
      </c>
      <c r="G196" t="n">
        <v>8</v>
      </c>
      <c r="H196" s="30" t="inlineStr">
        <is>
          <t>hm</t>
        </is>
      </c>
      <c r="I196">
        <f>IFERROR(VLOOKUP(E196, '05_MAESTRO_RECURSOS'!A:D, 4, FALSE), IFERROR(VLOOKUP(E196, '06_MAESTRO_PARTIDAS_EV'!B:F, 5, FALSE), 0))</f>
        <v/>
      </c>
      <c r="J196">
        <f>ROUND(G196 * I196, 2)</f>
        <v/>
      </c>
      <c r="K196" t="inlineStr">
        <is>
          <t>AC_EQP</t>
        </is>
      </c>
      <c r="L196" t="inlineStr">
        <is>
          <t>administradora.html</t>
        </is>
      </c>
    </row>
    <row r="197">
      <c r="A197" s="30" t="inlineStr">
        <is>
          <t>LOG-20260808-196</t>
        </is>
      </c>
      <c r="B197" s="32" t="n">
        <v>46242</v>
      </c>
      <c r="C197" t="inlineStr">
        <is>
          <t>Administradora</t>
        </is>
      </c>
      <c r="D197" s="30" t="inlineStr">
        <is>
          <t>WBS-300</t>
        </is>
      </c>
      <c r="E197" s="30" t="inlineStr">
        <is>
          <t>EQ_RODILLO_CAMINANTE</t>
        </is>
      </c>
      <c r="F197" t="inlineStr">
        <is>
          <t>RODILLO VIBRATORIO 1.5 TN</t>
        </is>
      </c>
      <c r="G197" t="n">
        <v>8</v>
      </c>
      <c r="H197" s="30" t="inlineStr">
        <is>
          <t>hm</t>
        </is>
      </c>
      <c r="I197">
        <f>IFERROR(VLOOKUP(E197, '05_MAESTRO_RECURSOS'!A:D, 4, FALSE), IFERROR(VLOOKUP(E197, '06_MAESTRO_PARTIDAS_EV'!B:F, 5, FALSE), 0))</f>
        <v/>
      </c>
      <c r="J197">
        <f>ROUND(G197 * I197, 2)</f>
        <v/>
      </c>
      <c r="K197" t="inlineStr">
        <is>
          <t>AC_EQP</t>
        </is>
      </c>
      <c r="L197" t="inlineStr">
        <is>
          <t>administradora.html</t>
        </is>
      </c>
    </row>
    <row r="198">
      <c r="A198" s="30" t="inlineStr">
        <is>
          <t>LOG-20260808-197</t>
        </is>
      </c>
      <c r="B198" s="32" t="n">
        <v>46242</v>
      </c>
      <c r="C198" t="inlineStr">
        <is>
          <t>Ing. de Campo</t>
        </is>
      </c>
      <c r="D198" s="30" t="inlineStr">
        <is>
          <t>WBS-300</t>
        </is>
      </c>
      <c r="E198" s="30" t="inlineStr">
        <is>
          <t>01.03.01</t>
        </is>
      </c>
      <c r="F198" t="inlineStr">
        <is>
          <t>INSTALACION TUBERIA PVC C-10 DN 110MM AGUA POTABLE</t>
        </is>
      </c>
      <c r="G198" t="n">
        <v>150</v>
      </c>
      <c r="H198" s="30" t="inlineStr">
        <is>
          <t>M</t>
        </is>
      </c>
      <c r="I198">
        <f>IFERROR(VLOOKUP(E198, '05_MAESTRO_RECURSOS'!A:D, 4, FALSE), IFERROR(VLOOKUP(E198, '06_MAESTRO_PARTIDAS_EV'!B:F, 5, FALSE), 0))</f>
        <v/>
      </c>
      <c r="J198">
        <f>ROUND(G198 * I198, 2)</f>
        <v/>
      </c>
      <c r="K198" t="inlineStr">
        <is>
          <t>EV_PRODUCCION</t>
        </is>
      </c>
      <c r="L198" t="inlineStr">
        <is>
          <t>ing_campo.html</t>
        </is>
      </c>
    </row>
    <row r="199">
      <c r="A199" s="30" t="inlineStr">
        <is>
          <t>LOG-20260809-198</t>
        </is>
      </c>
      <c r="B199" s="32" t="n">
        <v>46243</v>
      </c>
      <c r="C199" t="inlineStr">
        <is>
          <t>Tareador (Bildin)</t>
        </is>
      </c>
      <c r="D199" s="30" t="inlineStr">
        <is>
          <t>WBS-200</t>
        </is>
      </c>
      <c r="E199" s="30" t="inlineStr">
        <is>
          <t>MO_CAPATAZ</t>
        </is>
      </c>
      <c r="F199" t="inlineStr">
        <is>
          <t>CAPATAZ</t>
        </is>
      </c>
      <c r="G199" t="n">
        <v>8</v>
      </c>
      <c r="H199" s="30" t="inlineStr">
        <is>
          <t>hh</t>
        </is>
      </c>
      <c r="I199">
        <f>IFERROR(VLOOKUP(E199, '05_MAESTRO_RECURSOS'!A:D, 4, FALSE), IFERROR(VLOOKUP(E199, '06_MAESTRO_PARTIDAS_EV'!B:F, 5, FALSE), 0))</f>
        <v/>
      </c>
      <c r="J199">
        <f>ROUND(G199 * I199, 2)</f>
        <v/>
      </c>
      <c r="K199" t="inlineStr">
        <is>
          <t>AC_MO</t>
        </is>
      </c>
      <c r="L199" t="inlineStr">
        <is>
          <t>tareador.html</t>
        </is>
      </c>
    </row>
    <row r="200">
      <c r="A200" s="30" t="inlineStr">
        <is>
          <t>LOG-20260809-199</t>
        </is>
      </c>
      <c r="B200" s="32" t="n">
        <v>46243</v>
      </c>
      <c r="C200" t="inlineStr">
        <is>
          <t>Tareador (Bildin)</t>
        </is>
      </c>
      <c r="D200" s="30" t="inlineStr">
        <is>
          <t>WBS-200</t>
        </is>
      </c>
      <c r="E200" s="30" t="inlineStr">
        <is>
          <t>MO_OPERARIO</t>
        </is>
      </c>
      <c r="F200" t="inlineStr">
        <is>
          <t>OPERARIO</t>
        </is>
      </c>
      <c r="G200" t="n">
        <v>24</v>
      </c>
      <c r="H200" s="30" t="inlineStr">
        <is>
          <t>hh</t>
        </is>
      </c>
      <c r="I200">
        <f>IFERROR(VLOOKUP(E200, '05_MAESTRO_RECURSOS'!A:D, 4, FALSE), IFERROR(VLOOKUP(E200, '06_MAESTRO_PARTIDAS_EV'!B:F, 5, FALSE), 0))</f>
        <v/>
      </c>
      <c r="J200">
        <f>ROUND(G200 * I200, 2)</f>
        <v/>
      </c>
      <c r="K200" t="inlineStr">
        <is>
          <t>AC_MO</t>
        </is>
      </c>
      <c r="L200" t="inlineStr">
        <is>
          <t>tareador.html</t>
        </is>
      </c>
    </row>
    <row r="201">
      <c r="A201" s="30" t="inlineStr">
        <is>
          <t>LOG-20260809-200</t>
        </is>
      </c>
      <c r="B201" s="32" t="n">
        <v>46243</v>
      </c>
      <c r="C201" t="inlineStr">
        <is>
          <t>Tareador (Bildin)</t>
        </is>
      </c>
      <c r="D201" s="30" t="inlineStr">
        <is>
          <t>WBS-200</t>
        </is>
      </c>
      <c r="E201" s="30" t="inlineStr">
        <is>
          <t>MO_OFICIAL</t>
        </is>
      </c>
      <c r="F201" t="inlineStr">
        <is>
          <t>OFICIAL</t>
        </is>
      </c>
      <c r="G201" t="n">
        <v>16</v>
      </c>
      <c r="H201" s="30" t="inlineStr">
        <is>
          <t>hh</t>
        </is>
      </c>
      <c r="I201">
        <f>IFERROR(VLOOKUP(E201, '05_MAESTRO_RECURSOS'!A:D, 4, FALSE), IFERROR(VLOOKUP(E201, '06_MAESTRO_PARTIDAS_EV'!B:F, 5, FALSE), 0))</f>
        <v/>
      </c>
      <c r="J201">
        <f>ROUND(G201 * I201, 2)</f>
        <v/>
      </c>
      <c r="K201" t="inlineStr">
        <is>
          <t>AC_MO</t>
        </is>
      </c>
      <c r="L201" t="inlineStr">
        <is>
          <t>tareador.html</t>
        </is>
      </c>
    </row>
    <row r="202">
      <c r="A202" s="30" t="inlineStr">
        <is>
          <t>LOG-20260809-201</t>
        </is>
      </c>
      <c r="B202" s="32" t="n">
        <v>46243</v>
      </c>
      <c r="C202" t="inlineStr">
        <is>
          <t>Tareador (Bildin)</t>
        </is>
      </c>
      <c r="D202" s="30" t="inlineStr">
        <is>
          <t>WBS-200</t>
        </is>
      </c>
      <c r="E202" s="30" t="inlineStr">
        <is>
          <t>MO_PEON</t>
        </is>
      </c>
      <c r="F202" t="inlineStr">
        <is>
          <t>PEON</t>
        </is>
      </c>
      <c r="G202" t="n">
        <v>64</v>
      </c>
      <c r="H202" s="30" t="inlineStr">
        <is>
          <t>hh</t>
        </is>
      </c>
      <c r="I202">
        <f>IFERROR(VLOOKUP(E202, '05_MAESTRO_RECURSOS'!A:D, 4, FALSE), IFERROR(VLOOKUP(E202, '06_MAESTRO_PARTIDAS_EV'!B:F, 5, FALSE), 0))</f>
        <v/>
      </c>
      <c r="J202">
        <f>ROUND(G202 * I202, 2)</f>
        <v/>
      </c>
      <c r="K202" t="inlineStr">
        <is>
          <t>AC_MO</t>
        </is>
      </c>
      <c r="L202" t="inlineStr">
        <is>
          <t>tareador.html</t>
        </is>
      </c>
    </row>
    <row r="203">
      <c r="A203" s="30" t="inlineStr">
        <is>
          <t>LOG-20260809-202</t>
        </is>
      </c>
      <c r="B203" s="32" t="n">
        <v>46243</v>
      </c>
      <c r="C203" t="inlineStr">
        <is>
          <t>Almacenero</t>
        </is>
      </c>
      <c r="D203" s="30" t="inlineStr">
        <is>
          <t>WBS-200</t>
        </is>
      </c>
      <c r="E203" s="30" t="inlineStr">
        <is>
          <t>MAT_ARENA_CAMAS</t>
        </is>
      </c>
      <c r="F203" t="inlineStr">
        <is>
          <t>ARENA FINA SELECCIONADA PARA CAMA</t>
        </is>
      </c>
      <c r="G203" t="n">
        <v>10</v>
      </c>
      <c r="H203" s="30" t="inlineStr">
        <is>
          <t>m3</t>
        </is>
      </c>
      <c r="I203">
        <f>IFERROR(VLOOKUP(E203, '05_MAESTRO_RECURSOS'!A:D, 4, FALSE), IFERROR(VLOOKUP(E203, '06_MAESTRO_PARTIDAS_EV'!B:F, 5, FALSE), 0))</f>
        <v/>
      </c>
      <c r="J203">
        <f>ROUND(G203 * I203, 2)</f>
        <v/>
      </c>
      <c r="K203" t="inlineStr">
        <is>
          <t>AC_MAT</t>
        </is>
      </c>
      <c r="L203" t="inlineStr">
        <is>
          <t>almacenero.html</t>
        </is>
      </c>
    </row>
    <row r="204">
      <c r="A204" s="30" t="inlineStr">
        <is>
          <t>LOG-20260809-203</t>
        </is>
      </c>
      <c r="B204" s="32" t="n">
        <v>46243</v>
      </c>
      <c r="C204" t="inlineStr">
        <is>
          <t>Almacenero</t>
        </is>
      </c>
      <c r="D204" s="30" t="inlineStr">
        <is>
          <t>WBS-200</t>
        </is>
      </c>
      <c r="E204" s="30" t="inlineStr">
        <is>
          <t>MAT_TUB_PVC_200</t>
        </is>
      </c>
      <c r="F204" t="inlineStr">
        <is>
          <t>TUBERIA PVC UF DN 200MM S-20 ALCANTARILLADO</t>
        </is>
      </c>
      <c r="G204" t="n">
        <v>120</v>
      </c>
      <c r="H204" s="30" t="inlineStr">
        <is>
          <t>m</t>
        </is>
      </c>
      <c r="I204">
        <f>IFERROR(VLOOKUP(E204, '05_MAESTRO_RECURSOS'!A:D, 4, FALSE), IFERROR(VLOOKUP(E204, '06_MAESTRO_PARTIDAS_EV'!B:F, 5, FALSE), 0))</f>
        <v/>
      </c>
      <c r="J204">
        <f>ROUND(G204 * I204, 2)</f>
        <v/>
      </c>
      <c r="K204" t="inlineStr">
        <is>
          <t>AC_MAT</t>
        </is>
      </c>
      <c r="L204" t="inlineStr">
        <is>
          <t>almacenero.html</t>
        </is>
      </c>
    </row>
    <row r="205">
      <c r="A205" s="30" t="inlineStr">
        <is>
          <t>LOG-20260809-204</t>
        </is>
      </c>
      <c r="B205" s="32" t="n">
        <v>46243</v>
      </c>
      <c r="C205" t="inlineStr">
        <is>
          <t>Almacenero</t>
        </is>
      </c>
      <c r="D205" s="30" t="inlineStr">
        <is>
          <t>WBS-200</t>
        </is>
      </c>
      <c r="E205" s="30" t="inlineStr">
        <is>
          <t>MAT_LUBRICANTE</t>
        </is>
      </c>
      <c r="F205" t="inlineStr">
        <is>
          <t>LUBRICANTE PARA TUBERIA</t>
        </is>
      </c>
      <c r="G205" t="n">
        <v>2</v>
      </c>
      <c r="H205" s="30" t="inlineStr">
        <is>
          <t>kg</t>
        </is>
      </c>
      <c r="I205">
        <f>IFERROR(VLOOKUP(E205, '05_MAESTRO_RECURSOS'!A:D, 4, FALSE), IFERROR(VLOOKUP(E205, '06_MAESTRO_PARTIDAS_EV'!B:F, 5, FALSE), 0))</f>
        <v/>
      </c>
      <c r="J205">
        <f>ROUND(G205 * I205, 2)</f>
        <v/>
      </c>
      <c r="K205" t="inlineStr">
        <is>
          <t>AC_MAT</t>
        </is>
      </c>
      <c r="L205" t="inlineStr">
        <is>
          <t>almacenero.html</t>
        </is>
      </c>
    </row>
    <row r="206">
      <c r="A206" s="30" t="inlineStr">
        <is>
          <t>LOG-20260809-205</t>
        </is>
      </c>
      <c r="B206" s="32" t="n">
        <v>46243</v>
      </c>
      <c r="C206" t="inlineStr">
        <is>
          <t>Almacenero</t>
        </is>
      </c>
      <c r="D206" s="30" t="inlineStr">
        <is>
          <t>WBS-200</t>
        </is>
      </c>
      <c r="E206" s="30" t="inlineStr">
        <is>
          <t>MAT_BUZON_PREF</t>
        </is>
      </c>
      <c r="F206" t="inlineStr">
        <is>
          <t>BUZON PREFABRICADO CONCRETO</t>
        </is>
      </c>
      <c r="G206" t="n">
        <v>1</v>
      </c>
      <c r="H206" s="30" t="inlineStr">
        <is>
          <t>und</t>
        </is>
      </c>
      <c r="I206">
        <f>IFERROR(VLOOKUP(E206, '05_MAESTRO_RECURSOS'!A:D, 4, FALSE), IFERROR(VLOOKUP(E206, '06_MAESTRO_PARTIDAS_EV'!B:F, 5, FALSE), 0))</f>
        <v/>
      </c>
      <c r="J206">
        <f>ROUND(G206 * I206, 2)</f>
        <v/>
      </c>
      <c r="K206" t="inlineStr">
        <is>
          <t>AC_MAT</t>
        </is>
      </c>
      <c r="L206" t="inlineStr">
        <is>
          <t>almacenero.html</t>
        </is>
      </c>
    </row>
    <row r="207">
      <c r="A207" s="30" t="inlineStr">
        <is>
          <t>LOG-20260809-206</t>
        </is>
      </c>
      <c r="B207" s="32" t="n">
        <v>46243</v>
      </c>
      <c r="C207" t="inlineStr">
        <is>
          <t>Administradora</t>
        </is>
      </c>
      <c r="D207" s="30" t="inlineStr">
        <is>
          <t>WBS-200</t>
        </is>
      </c>
      <c r="E207" s="30" t="inlineStr">
        <is>
          <t>EQ_CAMION_GRUAN</t>
        </is>
      </c>
      <c r="F207" t="inlineStr">
        <is>
          <t>CAMION GRUA 5 TN MONTAJE BUZONES</t>
        </is>
      </c>
      <c r="G207" t="n">
        <v>4</v>
      </c>
      <c r="H207" s="30" t="inlineStr">
        <is>
          <t>hm</t>
        </is>
      </c>
      <c r="I207">
        <f>IFERROR(VLOOKUP(E207, '05_MAESTRO_RECURSOS'!A:D, 4, FALSE), IFERROR(VLOOKUP(E207, '06_MAESTRO_PARTIDAS_EV'!B:F, 5, FALSE), 0))</f>
        <v/>
      </c>
      <c r="J207">
        <f>ROUND(G207 * I207, 2)</f>
        <v/>
      </c>
      <c r="K207" t="inlineStr">
        <is>
          <t>AC_EQP</t>
        </is>
      </c>
      <c r="L207" t="inlineStr">
        <is>
          <t>administradora.html</t>
        </is>
      </c>
    </row>
    <row r="208">
      <c r="A208" s="30" t="inlineStr">
        <is>
          <t>LOG-20260809-207</t>
        </is>
      </c>
      <c r="B208" s="32" t="n">
        <v>46243</v>
      </c>
      <c r="C208" t="inlineStr">
        <is>
          <t>Administradora</t>
        </is>
      </c>
      <c r="D208" s="30" t="inlineStr">
        <is>
          <t>WBS-200</t>
        </is>
      </c>
      <c r="E208" s="30" t="inlineStr">
        <is>
          <t>SUB_MONTAJE_BUZON</t>
        </is>
      </c>
      <c r="F208" t="inlineStr">
        <is>
          <t>SUBCONTRATO MONTAJE BUZONES</t>
        </is>
      </c>
      <c r="G208" t="n">
        <v>1</v>
      </c>
      <c r="H208" s="30" t="inlineStr">
        <is>
          <t>und</t>
        </is>
      </c>
      <c r="I208">
        <f>IFERROR(VLOOKUP(E208, '05_MAESTRO_RECURSOS'!A:D, 4, FALSE), IFERROR(VLOOKUP(E208, '06_MAESTRO_PARTIDAS_EV'!B:F, 5, FALSE), 0))</f>
        <v/>
      </c>
      <c r="J208">
        <f>ROUND(G208 * I208, 2)</f>
        <v/>
      </c>
      <c r="K208" t="inlineStr">
        <is>
          <t>AC_SUB</t>
        </is>
      </c>
      <c r="L208" t="inlineStr">
        <is>
          <t>administradora.html</t>
        </is>
      </c>
    </row>
    <row r="209">
      <c r="A209" s="30" t="inlineStr">
        <is>
          <t>LOG-20260809-208</t>
        </is>
      </c>
      <c r="B209" s="32" t="n">
        <v>46243</v>
      </c>
      <c r="C209" t="inlineStr">
        <is>
          <t>Ing. de Campo</t>
        </is>
      </c>
      <c r="D209" s="30" t="inlineStr">
        <is>
          <t>WBS-200</t>
        </is>
      </c>
      <c r="E209" s="30" t="inlineStr">
        <is>
          <t>01.02.06</t>
        </is>
      </c>
      <c r="F209" t="inlineStr">
        <is>
          <t>CONSTRUCCION DE BUZONES PREFABRICADOS H=1.5 A 2.5M</t>
        </is>
      </c>
      <c r="G209" t="n">
        <v>1</v>
      </c>
      <c r="H209" s="30" t="inlineStr">
        <is>
          <t>UND</t>
        </is>
      </c>
      <c r="I209">
        <f>IFERROR(VLOOKUP(E209, '05_MAESTRO_RECURSOS'!A:D, 4, FALSE), IFERROR(VLOOKUP(E209, '06_MAESTRO_PARTIDAS_EV'!B:F, 5, FALSE), 0))</f>
        <v/>
      </c>
      <c r="J209">
        <f>ROUND(G209 * I209, 2)</f>
        <v/>
      </c>
      <c r="K209" t="inlineStr">
        <is>
          <t>EV_PRODUCCION</t>
        </is>
      </c>
      <c r="L209" t="inlineStr">
        <is>
          <t>ing_campo.html</t>
        </is>
      </c>
    </row>
    <row r="210">
      <c r="A210" s="30" t="inlineStr">
        <is>
          <t>LOG-20260809-209</t>
        </is>
      </c>
      <c r="B210" s="32" t="n">
        <v>46243</v>
      </c>
      <c r="C210" t="inlineStr">
        <is>
          <t>Almacenero</t>
        </is>
      </c>
      <c r="D210" s="30" t="inlineStr">
        <is>
          <t>WBS-200</t>
        </is>
      </c>
      <c r="E210" s="30" t="inlineStr">
        <is>
          <t>MAT_CAJA_REGISTRO</t>
        </is>
      </c>
      <c r="F210" t="inlineStr">
        <is>
          <t>CAJA REGISTRO CONCRETO 12X24</t>
        </is>
      </c>
      <c r="G210" t="n">
        <v>3</v>
      </c>
      <c r="H210" s="30" t="inlineStr">
        <is>
          <t>und</t>
        </is>
      </c>
      <c r="I210">
        <f>IFERROR(VLOOKUP(E210, '05_MAESTRO_RECURSOS'!A:D, 4, FALSE), IFERROR(VLOOKUP(E210, '06_MAESTRO_PARTIDAS_EV'!B:F, 5, FALSE), 0))</f>
        <v/>
      </c>
      <c r="J210">
        <f>ROUND(G210 * I210, 2)</f>
        <v/>
      </c>
      <c r="K210" t="inlineStr">
        <is>
          <t>AC_MAT</t>
        </is>
      </c>
      <c r="L210" t="inlineStr">
        <is>
          <t>almacenero.html</t>
        </is>
      </c>
    </row>
    <row r="211">
      <c r="A211" s="30" t="inlineStr">
        <is>
          <t>LOG-20260809-210</t>
        </is>
      </c>
      <c r="B211" s="32" t="n">
        <v>46243</v>
      </c>
      <c r="C211" t="inlineStr">
        <is>
          <t>Almacenero</t>
        </is>
      </c>
      <c r="D211" s="30" t="inlineStr">
        <is>
          <t>WBS-200</t>
        </is>
      </c>
      <c r="E211" s="30" t="inlineStr">
        <is>
          <t>MAT_TUB_PVC_160_CONEX</t>
        </is>
      </c>
      <c r="F211" t="inlineStr">
        <is>
          <t>TUBERIA PVC SAL 160MM ACOMETIDA</t>
        </is>
      </c>
      <c r="G211" t="n">
        <v>18</v>
      </c>
      <c r="H211" s="30" t="inlineStr">
        <is>
          <t>m</t>
        </is>
      </c>
      <c r="I211">
        <f>IFERROR(VLOOKUP(E211, '05_MAESTRO_RECURSOS'!A:D, 4, FALSE), IFERROR(VLOOKUP(E211, '06_MAESTRO_PARTIDAS_EV'!B:F, 5, FALSE), 0))</f>
        <v/>
      </c>
      <c r="J211">
        <f>ROUND(G211 * I211, 2)</f>
        <v/>
      </c>
      <c r="K211" t="inlineStr">
        <is>
          <t>AC_MAT</t>
        </is>
      </c>
      <c r="L211" t="inlineStr">
        <is>
          <t>almacenero.html</t>
        </is>
      </c>
    </row>
    <row r="212">
      <c r="A212" s="30" t="inlineStr">
        <is>
          <t>LOG-20260809-211</t>
        </is>
      </c>
      <c r="B212" s="32" t="n">
        <v>46243</v>
      </c>
      <c r="C212" t="inlineStr">
        <is>
          <t>Administradora</t>
        </is>
      </c>
      <c r="D212" s="30" t="inlineStr">
        <is>
          <t>WBS-200</t>
        </is>
      </c>
      <c r="E212" s="30" t="inlineStr">
        <is>
          <t>SUB_ENSAYOS_COMPAC</t>
        </is>
      </c>
      <c r="F212" t="inlineStr">
        <is>
          <t>SUBCONTRATO DENSIDADES PROCTOR</t>
        </is>
      </c>
      <c r="G212" t="n">
        <v>2</v>
      </c>
      <c r="H212" s="30" t="inlineStr">
        <is>
          <t>und</t>
        </is>
      </c>
      <c r="I212">
        <f>IFERROR(VLOOKUP(E212, '05_MAESTRO_RECURSOS'!A:D, 4, FALSE), IFERROR(VLOOKUP(E212, '06_MAESTRO_PARTIDAS_EV'!B:F, 5, FALSE), 0))</f>
        <v/>
      </c>
      <c r="J212">
        <f>ROUND(G212 * I212, 2)</f>
        <v/>
      </c>
      <c r="K212" t="inlineStr">
        <is>
          <t>AC_SUB</t>
        </is>
      </c>
      <c r="L212" t="inlineStr">
        <is>
          <t>administradora.html</t>
        </is>
      </c>
    </row>
    <row r="213">
      <c r="A213" s="30" t="inlineStr">
        <is>
          <t>LOG-20260809-212</t>
        </is>
      </c>
      <c r="B213" s="32" t="n">
        <v>46243</v>
      </c>
      <c r="C213" t="inlineStr">
        <is>
          <t>Ing. de Campo</t>
        </is>
      </c>
      <c r="D213" s="30" t="inlineStr">
        <is>
          <t>WBS-200</t>
        </is>
      </c>
      <c r="E213" s="30" t="inlineStr">
        <is>
          <t>01.02.07</t>
        </is>
      </c>
      <c r="F213" t="inlineStr">
        <is>
          <t>CONEXIONES DOMICILIARIAS ALCANTARILLADO DN 160MM</t>
        </is>
      </c>
      <c r="G213" t="n">
        <v>3</v>
      </c>
      <c r="H213" s="30" t="inlineStr">
        <is>
          <t>UND</t>
        </is>
      </c>
      <c r="I213">
        <f>IFERROR(VLOOKUP(E213, '05_MAESTRO_RECURSOS'!A:D, 4, FALSE), IFERROR(VLOOKUP(E213, '06_MAESTRO_PARTIDAS_EV'!B:F, 5, FALSE), 0))</f>
        <v/>
      </c>
      <c r="J213">
        <f>ROUND(G213 * I213, 2)</f>
        <v/>
      </c>
      <c r="K213" t="inlineStr">
        <is>
          <t>EV_PRODUCCION</t>
        </is>
      </c>
      <c r="L213" t="inlineStr">
        <is>
          <t>ing_campo.html</t>
        </is>
      </c>
    </row>
    <row r="214">
      <c r="A214" s="30" t="inlineStr">
        <is>
          <t>LOG-20260809-213</t>
        </is>
      </c>
      <c r="B214" s="32" t="n">
        <v>46243</v>
      </c>
      <c r="C214" t="inlineStr">
        <is>
          <t>Administradora</t>
        </is>
      </c>
      <c r="D214" s="30" t="inlineStr">
        <is>
          <t>WBS-200</t>
        </is>
      </c>
      <c r="E214" s="30" t="inlineStr">
        <is>
          <t>EQ_EXCAVADORA</t>
        </is>
      </c>
      <c r="F214" t="inlineStr">
        <is>
          <t>EXCAVADORA ORUGAS 140 HP</t>
        </is>
      </c>
      <c r="G214" t="n">
        <v>8</v>
      </c>
      <c r="H214" s="30" t="inlineStr">
        <is>
          <t>hm</t>
        </is>
      </c>
      <c r="I214">
        <f>IFERROR(VLOOKUP(E214, '05_MAESTRO_RECURSOS'!A:D, 4, FALSE), IFERROR(VLOOKUP(E214, '06_MAESTRO_PARTIDAS_EV'!B:F, 5, FALSE), 0))</f>
        <v/>
      </c>
      <c r="J214">
        <f>ROUND(G214 * I214, 2)</f>
        <v/>
      </c>
      <c r="K214" t="inlineStr">
        <is>
          <t>AC_EQP</t>
        </is>
      </c>
      <c r="L214" t="inlineStr">
        <is>
          <t>administradora.html</t>
        </is>
      </c>
    </row>
    <row r="215">
      <c r="A215" s="30" t="inlineStr">
        <is>
          <t>LOG-20260809-214</t>
        </is>
      </c>
      <c r="B215" s="32" t="n">
        <v>46243</v>
      </c>
      <c r="C215" t="inlineStr">
        <is>
          <t>Administradora</t>
        </is>
      </c>
      <c r="D215" s="30" t="inlineStr">
        <is>
          <t>WBS-200</t>
        </is>
      </c>
      <c r="E215" s="30" t="inlineStr">
        <is>
          <t>EQ_PLANCHA</t>
        </is>
      </c>
      <c r="F215" t="inlineStr">
        <is>
          <t>PLANCHA COMPACTADORA 7 HP</t>
        </is>
      </c>
      <c r="G215" t="n">
        <v>8</v>
      </c>
      <c r="H215" s="30" t="inlineStr">
        <is>
          <t>hm</t>
        </is>
      </c>
      <c r="I215">
        <f>IFERROR(VLOOKUP(E215, '05_MAESTRO_RECURSOS'!A:D, 4, FALSE), IFERROR(VLOOKUP(E215, '06_MAESTRO_PARTIDAS_EV'!B:F, 5, FALSE), 0))</f>
        <v/>
      </c>
      <c r="J215">
        <f>ROUND(G215 * I215, 2)</f>
        <v/>
      </c>
      <c r="K215" t="inlineStr">
        <is>
          <t>AC_EQP</t>
        </is>
      </c>
      <c r="L215" t="inlineStr">
        <is>
          <t>administradora.html</t>
        </is>
      </c>
    </row>
    <row r="216">
      <c r="A216" s="30" t="inlineStr">
        <is>
          <t>LOG-20260809-215</t>
        </is>
      </c>
      <c r="B216" s="32" t="n">
        <v>46243</v>
      </c>
      <c r="C216" t="inlineStr">
        <is>
          <t>Administradora</t>
        </is>
      </c>
      <c r="D216" s="30" t="inlineStr">
        <is>
          <t>WBS-200</t>
        </is>
      </c>
      <c r="E216" s="30" t="inlineStr">
        <is>
          <t>EQ_RODILLO_CAMINANTE</t>
        </is>
      </c>
      <c r="F216" t="inlineStr">
        <is>
          <t>RODILLO VIBRATORIO 1.5 TN</t>
        </is>
      </c>
      <c r="G216" t="n">
        <v>8</v>
      </c>
      <c r="H216" s="30" t="inlineStr">
        <is>
          <t>hm</t>
        </is>
      </c>
      <c r="I216">
        <f>IFERROR(VLOOKUP(E216, '05_MAESTRO_RECURSOS'!A:D, 4, FALSE), IFERROR(VLOOKUP(E216, '06_MAESTRO_PARTIDAS_EV'!B:F, 5, FALSE), 0))</f>
        <v/>
      </c>
      <c r="J216">
        <f>ROUND(G216 * I216, 2)</f>
        <v/>
      </c>
      <c r="K216" t="inlineStr">
        <is>
          <t>AC_EQP</t>
        </is>
      </c>
      <c r="L216" t="inlineStr">
        <is>
          <t>administradora.html</t>
        </is>
      </c>
    </row>
    <row r="217">
      <c r="A217" s="30" t="inlineStr">
        <is>
          <t>LOG-20260809-216</t>
        </is>
      </c>
      <c r="B217" s="32" t="n">
        <v>46243</v>
      </c>
      <c r="C217" t="inlineStr">
        <is>
          <t>Ing. de Campo</t>
        </is>
      </c>
      <c r="D217" s="30" t="inlineStr">
        <is>
          <t>WBS-200</t>
        </is>
      </c>
      <c r="E217" s="30" t="inlineStr">
        <is>
          <t>01.02.02</t>
        </is>
      </c>
      <c r="F217" t="inlineStr">
        <is>
          <t>EXCAVACION DE ZANJA C/MAQUINA EN T. SEMIROCOSO</t>
        </is>
      </c>
      <c r="G217" t="n">
        <v>150</v>
      </c>
      <c r="H217" s="30" t="inlineStr">
        <is>
          <t>M3</t>
        </is>
      </c>
      <c r="I217">
        <f>IFERROR(VLOOKUP(E217, '05_MAESTRO_RECURSOS'!A:D, 4, FALSE), IFERROR(VLOOKUP(E217, '06_MAESTRO_PARTIDAS_EV'!B:F, 5, FALSE), 0))</f>
        <v/>
      </c>
      <c r="J217">
        <f>ROUND(G217 * I217, 2)</f>
        <v/>
      </c>
      <c r="K217" t="inlineStr">
        <is>
          <t>EV_PRODUCCION</t>
        </is>
      </c>
      <c r="L217" t="inlineStr">
        <is>
          <t>ing_campo.html</t>
        </is>
      </c>
    </row>
    <row r="218">
      <c r="A218" s="30" t="inlineStr">
        <is>
          <t>LOG-20260809-217</t>
        </is>
      </c>
      <c r="B218" s="32" t="n">
        <v>46243</v>
      </c>
      <c r="C218" t="inlineStr">
        <is>
          <t>Ing. de Campo</t>
        </is>
      </c>
      <c r="D218" s="30" t="inlineStr">
        <is>
          <t>WBS-200</t>
        </is>
      </c>
      <c r="E218" s="30" t="inlineStr">
        <is>
          <t>01.02.03</t>
        </is>
      </c>
      <c r="F218" t="inlineStr">
        <is>
          <t>CAMA DE APOYO H=0.10 M CON ARENA SELECCIONADA</t>
        </is>
      </c>
      <c r="G218" t="n">
        <v>120</v>
      </c>
      <c r="H218" s="30" t="inlineStr">
        <is>
          <t>M</t>
        </is>
      </c>
      <c r="I218">
        <f>IFERROR(VLOOKUP(E218, '05_MAESTRO_RECURSOS'!A:D, 4, FALSE), IFERROR(VLOOKUP(E218, '06_MAESTRO_PARTIDAS_EV'!B:F, 5, FALSE), 0))</f>
        <v/>
      </c>
      <c r="J218">
        <f>ROUND(G218 * I218, 2)</f>
        <v/>
      </c>
      <c r="K218" t="inlineStr">
        <is>
          <t>EV_PRODUCCION</t>
        </is>
      </c>
      <c r="L218" t="inlineStr">
        <is>
          <t>ing_campo.html</t>
        </is>
      </c>
    </row>
    <row r="219">
      <c r="A219" s="30" t="inlineStr">
        <is>
          <t>LOG-20260809-218</t>
        </is>
      </c>
      <c r="B219" s="32" t="n">
        <v>46243</v>
      </c>
      <c r="C219" t="inlineStr">
        <is>
          <t>Ing. de Campo</t>
        </is>
      </c>
      <c r="D219" s="30" t="inlineStr">
        <is>
          <t>WBS-200</t>
        </is>
      </c>
      <c r="E219" s="30" t="inlineStr">
        <is>
          <t>01.02.04</t>
        </is>
      </c>
      <c r="F219" t="inlineStr">
        <is>
          <t>SUMINISTRO E INSTALACION DE TUBERIA PVC DN 200MM S-20</t>
        </is>
      </c>
      <c r="G219" t="n">
        <v>120</v>
      </c>
      <c r="H219" s="30" t="inlineStr">
        <is>
          <t>M</t>
        </is>
      </c>
      <c r="I219">
        <f>IFERROR(VLOOKUP(E219, '05_MAESTRO_RECURSOS'!A:D, 4, FALSE), IFERROR(VLOOKUP(E219, '06_MAESTRO_PARTIDAS_EV'!B:F, 5, FALSE), 0))</f>
        <v/>
      </c>
      <c r="J219">
        <f>ROUND(G219 * I219, 2)</f>
        <v/>
      </c>
      <c r="K219" t="inlineStr">
        <is>
          <t>EV_PRODUCCION</t>
        </is>
      </c>
      <c r="L219" t="inlineStr">
        <is>
          <t>ing_campo.html</t>
        </is>
      </c>
    </row>
    <row r="220">
      <c r="A220" s="30" t="inlineStr">
        <is>
          <t>LOG-20260809-219</t>
        </is>
      </c>
      <c r="B220" s="32" t="n">
        <v>46243</v>
      </c>
      <c r="C220" t="inlineStr">
        <is>
          <t>Ing. de Campo</t>
        </is>
      </c>
      <c r="D220" s="30" t="inlineStr">
        <is>
          <t>WBS-200</t>
        </is>
      </c>
      <c r="E220" s="30" t="inlineStr">
        <is>
          <t>01.02.05</t>
        </is>
      </c>
      <c r="F220" t="inlineStr">
        <is>
          <t>RELLENO COMPACTADO DE ZANJA C/MATERIAL PRESTAMO</t>
        </is>
      </c>
      <c r="G220" t="n">
        <v>120</v>
      </c>
      <c r="H220" s="30" t="inlineStr">
        <is>
          <t>M</t>
        </is>
      </c>
      <c r="I220">
        <f>IFERROR(VLOOKUP(E220, '05_MAESTRO_RECURSOS'!A:D, 4, FALSE), IFERROR(VLOOKUP(E220, '06_MAESTRO_PARTIDAS_EV'!B:F, 5, FALSE), 0))</f>
        <v/>
      </c>
      <c r="J220">
        <f>ROUND(G220 * I220, 2)</f>
        <v/>
      </c>
      <c r="K220" t="inlineStr">
        <is>
          <t>EV_PRODUCCION</t>
        </is>
      </c>
      <c r="L220" t="inlineStr">
        <is>
          <t>ing_campo.html</t>
        </is>
      </c>
    </row>
    <row r="221">
      <c r="A221" s="30" t="inlineStr">
        <is>
          <t>LOG-20260809-220</t>
        </is>
      </c>
      <c r="B221" s="32" t="n">
        <v>46243</v>
      </c>
      <c r="C221" t="inlineStr">
        <is>
          <t>Tareador (Bildin)</t>
        </is>
      </c>
      <c r="D221" s="30" t="inlineStr">
        <is>
          <t>WBS-300</t>
        </is>
      </c>
      <c r="E221" s="30" t="inlineStr">
        <is>
          <t>MO_CAPATAZ</t>
        </is>
      </c>
      <c r="F221" t="inlineStr">
        <is>
          <t>CAPATAZ</t>
        </is>
      </c>
      <c r="G221" t="n">
        <v>4</v>
      </c>
      <c r="H221" s="30" t="inlineStr">
        <is>
          <t>hh</t>
        </is>
      </c>
      <c r="I221">
        <f>IFERROR(VLOOKUP(E221, '05_MAESTRO_RECURSOS'!A:D, 4, FALSE), IFERROR(VLOOKUP(E221, '06_MAESTRO_PARTIDAS_EV'!B:F, 5, FALSE), 0))</f>
        <v/>
      </c>
      <c r="J221">
        <f>ROUND(G221 * I221, 2)</f>
        <v/>
      </c>
      <c r="K221" t="inlineStr">
        <is>
          <t>AC_MO</t>
        </is>
      </c>
      <c r="L221" t="inlineStr">
        <is>
          <t>tareador.html</t>
        </is>
      </c>
    </row>
    <row r="222">
      <c r="A222" s="30" t="inlineStr">
        <is>
          <t>LOG-20260809-221</t>
        </is>
      </c>
      <c r="B222" s="32" t="n">
        <v>46243</v>
      </c>
      <c r="C222" t="inlineStr">
        <is>
          <t>Tareador (Bildin)</t>
        </is>
      </c>
      <c r="D222" s="30" t="inlineStr">
        <is>
          <t>WBS-300</t>
        </is>
      </c>
      <c r="E222" s="30" t="inlineStr">
        <is>
          <t>MO_OPERARIO</t>
        </is>
      </c>
      <c r="F222" t="inlineStr">
        <is>
          <t>OPERARIO</t>
        </is>
      </c>
      <c r="G222" t="n">
        <v>16</v>
      </c>
      <c r="H222" s="30" t="inlineStr">
        <is>
          <t>hh</t>
        </is>
      </c>
      <c r="I222">
        <f>IFERROR(VLOOKUP(E222, '05_MAESTRO_RECURSOS'!A:D, 4, FALSE), IFERROR(VLOOKUP(E222, '06_MAESTRO_PARTIDAS_EV'!B:F, 5, FALSE), 0))</f>
        <v/>
      </c>
      <c r="J222">
        <f>ROUND(G222 * I222, 2)</f>
        <v/>
      </c>
      <c r="K222" t="inlineStr">
        <is>
          <t>AC_MO</t>
        </is>
      </c>
      <c r="L222" t="inlineStr">
        <is>
          <t>tareador.html</t>
        </is>
      </c>
    </row>
    <row r="223">
      <c r="A223" s="30" t="inlineStr">
        <is>
          <t>LOG-20260809-222</t>
        </is>
      </c>
      <c r="B223" s="32" t="n">
        <v>46243</v>
      </c>
      <c r="C223" t="inlineStr">
        <is>
          <t>Tareador (Bildin)</t>
        </is>
      </c>
      <c r="D223" s="30" t="inlineStr">
        <is>
          <t>WBS-300</t>
        </is>
      </c>
      <c r="E223" s="30" t="inlineStr">
        <is>
          <t>MO_PEON</t>
        </is>
      </c>
      <c r="F223" t="inlineStr">
        <is>
          <t>PEON</t>
        </is>
      </c>
      <c r="G223" t="n">
        <v>32</v>
      </c>
      <c r="H223" s="30" t="inlineStr">
        <is>
          <t>hh</t>
        </is>
      </c>
      <c r="I223">
        <f>IFERROR(VLOOKUP(E223, '05_MAESTRO_RECURSOS'!A:D, 4, FALSE), IFERROR(VLOOKUP(E223, '06_MAESTRO_PARTIDAS_EV'!B:F, 5, FALSE), 0))</f>
        <v/>
      </c>
      <c r="J223">
        <f>ROUND(G223 * I223, 2)</f>
        <v/>
      </c>
      <c r="K223" t="inlineStr">
        <is>
          <t>AC_MO</t>
        </is>
      </c>
      <c r="L223" t="inlineStr">
        <is>
          <t>tareador.html</t>
        </is>
      </c>
    </row>
    <row r="224">
      <c r="A224" s="30" t="inlineStr">
        <is>
          <t>LOG-20260809-223</t>
        </is>
      </c>
      <c r="B224" s="32" t="n">
        <v>46243</v>
      </c>
      <c r="C224" t="inlineStr">
        <is>
          <t>Almacenero</t>
        </is>
      </c>
      <c r="D224" s="30" t="inlineStr">
        <is>
          <t>WBS-300</t>
        </is>
      </c>
      <c r="E224" s="30" t="inlineStr">
        <is>
          <t>MAT_TUB_PVC_110_AGUA</t>
        </is>
      </c>
      <c r="F224" t="inlineStr">
        <is>
          <t>TUBERIA PVC C-10 DN 110MM AGUA</t>
        </is>
      </c>
      <c r="G224" t="n">
        <v>150</v>
      </c>
      <c r="H224" s="30" t="inlineStr">
        <is>
          <t>m</t>
        </is>
      </c>
      <c r="I224">
        <f>IFERROR(VLOOKUP(E224, '05_MAESTRO_RECURSOS'!A:D, 4, FALSE), IFERROR(VLOOKUP(E224, '06_MAESTRO_PARTIDAS_EV'!B:F, 5, FALSE), 0))</f>
        <v/>
      </c>
      <c r="J224">
        <f>ROUND(G224 * I224, 2)</f>
        <v/>
      </c>
      <c r="K224" t="inlineStr">
        <is>
          <t>AC_MAT</t>
        </is>
      </c>
      <c r="L224" t="inlineStr">
        <is>
          <t>almacenero.html</t>
        </is>
      </c>
    </row>
    <row r="225">
      <c r="A225" s="30" t="inlineStr">
        <is>
          <t>LOG-20260809-224</t>
        </is>
      </c>
      <c r="B225" s="32" t="n">
        <v>46243</v>
      </c>
      <c r="C225" t="inlineStr">
        <is>
          <t>Almacenero</t>
        </is>
      </c>
      <c r="D225" s="30" t="inlineStr">
        <is>
          <t>WBS-300</t>
        </is>
      </c>
      <c r="E225" s="30" t="inlineStr">
        <is>
          <t>MAT_ACCESORIOS_AGUA</t>
        </is>
      </c>
      <c r="F225" t="inlineStr">
        <is>
          <t>ACCESORIOS PVC AGUA 110MM</t>
        </is>
      </c>
      <c r="G225" t="n">
        <v>1</v>
      </c>
      <c r="H225" s="30" t="inlineStr">
        <is>
          <t>glb</t>
        </is>
      </c>
      <c r="I225">
        <f>IFERROR(VLOOKUP(E225, '05_MAESTRO_RECURSOS'!A:D, 4, FALSE), IFERROR(VLOOKUP(E225, '06_MAESTRO_PARTIDAS_EV'!B:F, 5, FALSE), 0))</f>
        <v/>
      </c>
      <c r="J225">
        <f>ROUND(G225 * I225, 2)</f>
        <v/>
      </c>
      <c r="K225" t="inlineStr">
        <is>
          <t>AC_MAT</t>
        </is>
      </c>
      <c r="L225" t="inlineStr">
        <is>
          <t>almacenero.html</t>
        </is>
      </c>
    </row>
    <row r="226">
      <c r="A226" s="30" t="inlineStr">
        <is>
          <t>LOG-20260809-225</t>
        </is>
      </c>
      <c r="B226" s="32" t="n">
        <v>46243</v>
      </c>
      <c r="C226" t="inlineStr">
        <is>
          <t>Almacenero</t>
        </is>
      </c>
      <c r="D226" s="30" t="inlineStr">
        <is>
          <t>WBS-300</t>
        </is>
      </c>
      <c r="E226" s="30" t="inlineStr">
        <is>
          <t>MAT_CAJA_AGUA</t>
        </is>
      </c>
      <c r="F226" t="inlineStr">
        <is>
          <t>CAJA TERMOFORMADA AGUA + MEDIDOR</t>
        </is>
      </c>
      <c r="G226" t="n">
        <v>5</v>
      </c>
      <c r="H226" s="30" t="inlineStr">
        <is>
          <t>und</t>
        </is>
      </c>
      <c r="I226">
        <f>IFERROR(VLOOKUP(E226, '05_MAESTRO_RECURSOS'!A:D, 4, FALSE), IFERROR(VLOOKUP(E226, '06_MAESTRO_PARTIDAS_EV'!B:F, 5, FALSE), 0))</f>
        <v/>
      </c>
      <c r="J226">
        <f>ROUND(G226 * I226, 2)</f>
        <v/>
      </c>
      <c r="K226" t="inlineStr">
        <is>
          <t>AC_MAT</t>
        </is>
      </c>
      <c r="L226" t="inlineStr">
        <is>
          <t>almacenero.html</t>
        </is>
      </c>
    </row>
    <row r="227">
      <c r="A227" s="30" t="inlineStr">
        <is>
          <t>LOG-20260809-226</t>
        </is>
      </c>
      <c r="B227" s="32" t="n">
        <v>46243</v>
      </c>
      <c r="C227" t="inlineStr">
        <is>
          <t>Almacenero</t>
        </is>
      </c>
      <c r="D227" s="30" t="inlineStr">
        <is>
          <t>WBS-300</t>
        </is>
      </c>
      <c r="E227" s="30" t="inlineStr">
        <is>
          <t>MAT_TUB_HDPE_1_2</t>
        </is>
      </c>
      <c r="F227" t="inlineStr">
        <is>
          <t>TUBERIA HDPE 1/2 ACOMETIDA AGUA</t>
        </is>
      </c>
      <c r="G227" t="n">
        <v>30</v>
      </c>
      <c r="H227" s="30" t="inlineStr">
        <is>
          <t>m</t>
        </is>
      </c>
      <c r="I227">
        <f>IFERROR(VLOOKUP(E227, '05_MAESTRO_RECURSOS'!A:D, 4, FALSE), IFERROR(VLOOKUP(E227, '06_MAESTRO_PARTIDAS_EV'!B:F, 5, FALSE), 0))</f>
        <v/>
      </c>
      <c r="J227">
        <f>ROUND(G227 * I227, 2)</f>
        <v/>
      </c>
      <c r="K227" t="inlineStr">
        <is>
          <t>AC_MAT</t>
        </is>
      </c>
      <c r="L227" t="inlineStr">
        <is>
          <t>almacenero.html</t>
        </is>
      </c>
    </row>
    <row r="228">
      <c r="A228" s="30" t="inlineStr">
        <is>
          <t>LOG-20260809-227</t>
        </is>
      </c>
      <c r="B228" s="32" t="n">
        <v>46243</v>
      </c>
      <c r="C228" t="inlineStr">
        <is>
          <t>Ing. de Campo</t>
        </is>
      </c>
      <c r="D228" s="30" t="inlineStr">
        <is>
          <t>WBS-300</t>
        </is>
      </c>
      <c r="E228" s="30" t="inlineStr">
        <is>
          <t>01.03.02</t>
        </is>
      </c>
      <c r="F228" t="inlineStr">
        <is>
          <t>CONEXIONES DOMICILIARIAS AGUA POTABLE</t>
        </is>
      </c>
      <c r="G228" t="n">
        <v>5</v>
      </c>
      <c r="H228" s="30" t="inlineStr">
        <is>
          <t>UND</t>
        </is>
      </c>
      <c r="I228">
        <f>IFERROR(VLOOKUP(E228, '05_MAESTRO_RECURSOS'!A:D, 4, FALSE), IFERROR(VLOOKUP(E228, '06_MAESTRO_PARTIDAS_EV'!B:F, 5, FALSE), 0))</f>
        <v/>
      </c>
      <c r="J228">
        <f>ROUND(G228 * I228, 2)</f>
        <v/>
      </c>
      <c r="K228" t="inlineStr">
        <is>
          <t>EV_PRODUCCION</t>
        </is>
      </c>
      <c r="L228" t="inlineStr">
        <is>
          <t>ing_campo.html</t>
        </is>
      </c>
    </row>
    <row r="229">
      <c r="A229" s="30" t="inlineStr">
        <is>
          <t>LOG-20260809-228</t>
        </is>
      </c>
      <c r="B229" s="32" t="n">
        <v>46243</v>
      </c>
      <c r="C229" t="inlineStr">
        <is>
          <t>Administradora</t>
        </is>
      </c>
      <c r="D229" s="30" t="inlineStr">
        <is>
          <t>WBS-300</t>
        </is>
      </c>
      <c r="E229" s="30" t="inlineStr">
        <is>
          <t>EQ_RETROEXCAVADORA</t>
        </is>
      </c>
      <c r="F229" t="inlineStr">
        <is>
          <t>RETROEXCAVADORA LLANTAS 62 HP</t>
        </is>
      </c>
      <c r="G229" t="n">
        <v>8</v>
      </c>
      <c r="H229" s="30" t="inlineStr">
        <is>
          <t>hm</t>
        </is>
      </c>
      <c r="I229">
        <f>IFERROR(VLOOKUP(E229, '05_MAESTRO_RECURSOS'!A:D, 4, FALSE), IFERROR(VLOOKUP(E229, '06_MAESTRO_PARTIDAS_EV'!B:F, 5, FALSE), 0))</f>
        <v/>
      </c>
      <c r="J229">
        <f>ROUND(G229 * I229, 2)</f>
        <v/>
      </c>
      <c r="K229" t="inlineStr">
        <is>
          <t>AC_EQP</t>
        </is>
      </c>
      <c r="L229" t="inlineStr">
        <is>
          <t>administradora.html</t>
        </is>
      </c>
    </row>
    <row r="230">
      <c r="A230" s="30" t="inlineStr">
        <is>
          <t>LOG-20260809-229</t>
        </is>
      </c>
      <c r="B230" s="32" t="n">
        <v>46243</v>
      </c>
      <c r="C230" t="inlineStr">
        <is>
          <t>Administradora</t>
        </is>
      </c>
      <c r="D230" s="30" t="inlineStr">
        <is>
          <t>WBS-300</t>
        </is>
      </c>
      <c r="E230" s="30" t="inlineStr">
        <is>
          <t>EQ_PLANCHA</t>
        </is>
      </c>
      <c r="F230" t="inlineStr">
        <is>
          <t>PLANCHA COMPACTADORA 7 HP</t>
        </is>
      </c>
      <c r="G230" t="n">
        <v>8</v>
      </c>
      <c r="H230" s="30" t="inlineStr">
        <is>
          <t>hm</t>
        </is>
      </c>
      <c r="I230">
        <f>IFERROR(VLOOKUP(E230, '05_MAESTRO_RECURSOS'!A:D, 4, FALSE), IFERROR(VLOOKUP(E230, '06_MAESTRO_PARTIDAS_EV'!B:F, 5, FALSE), 0))</f>
        <v/>
      </c>
      <c r="J230">
        <f>ROUND(G230 * I230, 2)</f>
        <v/>
      </c>
      <c r="K230" t="inlineStr">
        <is>
          <t>AC_EQP</t>
        </is>
      </c>
      <c r="L230" t="inlineStr">
        <is>
          <t>administradora.html</t>
        </is>
      </c>
    </row>
    <row r="231">
      <c r="A231" s="30" t="inlineStr">
        <is>
          <t>LOG-20260809-230</t>
        </is>
      </c>
      <c r="B231" s="32" t="n">
        <v>46243</v>
      </c>
      <c r="C231" t="inlineStr">
        <is>
          <t>Administradora</t>
        </is>
      </c>
      <c r="D231" s="30" t="inlineStr">
        <is>
          <t>WBS-300</t>
        </is>
      </c>
      <c r="E231" s="30" t="inlineStr">
        <is>
          <t>EQ_RODILLO_CAMINANTE</t>
        </is>
      </c>
      <c r="F231" t="inlineStr">
        <is>
          <t>RODILLO VIBRATORIO 1.5 TN</t>
        </is>
      </c>
      <c r="G231" t="n">
        <v>8</v>
      </c>
      <c r="H231" s="30" t="inlineStr">
        <is>
          <t>hm</t>
        </is>
      </c>
      <c r="I231">
        <f>IFERROR(VLOOKUP(E231, '05_MAESTRO_RECURSOS'!A:D, 4, FALSE), IFERROR(VLOOKUP(E231, '06_MAESTRO_PARTIDAS_EV'!B:F, 5, FALSE), 0))</f>
        <v/>
      </c>
      <c r="J231">
        <f>ROUND(G231 * I231, 2)</f>
        <v/>
      </c>
      <c r="K231" t="inlineStr">
        <is>
          <t>AC_EQP</t>
        </is>
      </c>
      <c r="L231" t="inlineStr">
        <is>
          <t>administradora.html</t>
        </is>
      </c>
    </row>
    <row r="232">
      <c r="A232" s="30" t="inlineStr">
        <is>
          <t>LOG-20260809-231</t>
        </is>
      </c>
      <c r="B232" s="32" t="n">
        <v>46243</v>
      </c>
      <c r="C232" t="inlineStr">
        <is>
          <t>Ing. de Campo</t>
        </is>
      </c>
      <c r="D232" s="30" t="inlineStr">
        <is>
          <t>WBS-300</t>
        </is>
      </c>
      <c r="E232" s="30" t="inlineStr">
        <is>
          <t>01.03.01</t>
        </is>
      </c>
      <c r="F232" t="inlineStr">
        <is>
          <t>INSTALACION TUBERIA PVC C-10 DN 110MM AGUA POTABLE</t>
        </is>
      </c>
      <c r="G232" t="n">
        <v>150</v>
      </c>
      <c r="H232" s="30" t="inlineStr">
        <is>
          <t>M</t>
        </is>
      </c>
      <c r="I232">
        <f>IFERROR(VLOOKUP(E232, '05_MAESTRO_RECURSOS'!A:D, 4, FALSE), IFERROR(VLOOKUP(E232, '06_MAESTRO_PARTIDAS_EV'!B:F, 5, FALSE), 0))</f>
        <v/>
      </c>
      <c r="J232">
        <f>ROUND(G232 * I232, 2)</f>
        <v/>
      </c>
      <c r="K232" t="inlineStr">
        <is>
          <t>EV_PRODUCCION</t>
        </is>
      </c>
      <c r="L232" t="inlineStr">
        <is>
          <t>ing_campo.html</t>
        </is>
      </c>
    </row>
    <row r="233">
      <c r="A233" s="30" t="inlineStr">
        <is>
          <t>LOG-20260810-232</t>
        </is>
      </c>
      <c r="B233" s="32" t="n">
        <v>46244</v>
      </c>
      <c r="C233" t="inlineStr">
        <is>
          <t>Tareador (Bildin)</t>
        </is>
      </c>
      <c r="D233" s="30" t="inlineStr">
        <is>
          <t>WBS-200</t>
        </is>
      </c>
      <c r="E233" s="30" t="inlineStr">
        <is>
          <t>MO_CAPATAZ</t>
        </is>
      </c>
      <c r="F233" t="inlineStr">
        <is>
          <t>CAPATAZ</t>
        </is>
      </c>
      <c r="G233" t="n">
        <v>8</v>
      </c>
      <c r="H233" s="30" t="inlineStr">
        <is>
          <t>hh</t>
        </is>
      </c>
      <c r="I233">
        <f>IFERROR(VLOOKUP(E233, '05_MAESTRO_RECURSOS'!A:D, 4, FALSE), IFERROR(VLOOKUP(E233, '06_MAESTRO_PARTIDAS_EV'!B:F, 5, FALSE), 0))</f>
        <v/>
      </c>
      <c r="J233">
        <f>ROUND(G233 * I233, 2)</f>
        <v/>
      </c>
      <c r="K233" t="inlineStr">
        <is>
          <t>AC_MO</t>
        </is>
      </c>
      <c r="L233" t="inlineStr">
        <is>
          <t>tareador.html</t>
        </is>
      </c>
    </row>
    <row r="234">
      <c r="A234" s="30" t="inlineStr">
        <is>
          <t>LOG-20260810-233</t>
        </is>
      </c>
      <c r="B234" s="32" t="n">
        <v>46244</v>
      </c>
      <c r="C234" t="inlineStr">
        <is>
          <t>Tareador (Bildin)</t>
        </is>
      </c>
      <c r="D234" s="30" t="inlineStr">
        <is>
          <t>WBS-200</t>
        </is>
      </c>
      <c r="E234" s="30" t="inlineStr">
        <is>
          <t>MO_OPERARIO</t>
        </is>
      </c>
      <c r="F234" t="inlineStr">
        <is>
          <t>OPERARIO</t>
        </is>
      </c>
      <c r="G234" t="n">
        <v>24</v>
      </c>
      <c r="H234" s="30" t="inlineStr">
        <is>
          <t>hh</t>
        </is>
      </c>
      <c r="I234">
        <f>IFERROR(VLOOKUP(E234, '05_MAESTRO_RECURSOS'!A:D, 4, FALSE), IFERROR(VLOOKUP(E234, '06_MAESTRO_PARTIDAS_EV'!B:F, 5, FALSE), 0))</f>
        <v/>
      </c>
      <c r="J234">
        <f>ROUND(G234 * I234, 2)</f>
        <v/>
      </c>
      <c r="K234" t="inlineStr">
        <is>
          <t>AC_MO</t>
        </is>
      </c>
      <c r="L234" t="inlineStr">
        <is>
          <t>tareador.html</t>
        </is>
      </c>
    </row>
    <row r="235">
      <c r="A235" s="30" t="inlineStr">
        <is>
          <t>LOG-20260810-234</t>
        </is>
      </c>
      <c r="B235" s="32" t="n">
        <v>46244</v>
      </c>
      <c r="C235" t="inlineStr">
        <is>
          <t>Tareador (Bildin)</t>
        </is>
      </c>
      <c r="D235" s="30" t="inlineStr">
        <is>
          <t>WBS-200</t>
        </is>
      </c>
      <c r="E235" s="30" t="inlineStr">
        <is>
          <t>MO_OFICIAL</t>
        </is>
      </c>
      <c r="F235" t="inlineStr">
        <is>
          <t>OFICIAL</t>
        </is>
      </c>
      <c r="G235" t="n">
        <v>16</v>
      </c>
      <c r="H235" s="30" t="inlineStr">
        <is>
          <t>hh</t>
        </is>
      </c>
      <c r="I235">
        <f>IFERROR(VLOOKUP(E235, '05_MAESTRO_RECURSOS'!A:D, 4, FALSE), IFERROR(VLOOKUP(E235, '06_MAESTRO_PARTIDAS_EV'!B:F, 5, FALSE), 0))</f>
        <v/>
      </c>
      <c r="J235">
        <f>ROUND(G235 * I235, 2)</f>
        <v/>
      </c>
      <c r="K235" t="inlineStr">
        <is>
          <t>AC_MO</t>
        </is>
      </c>
      <c r="L235" t="inlineStr">
        <is>
          <t>tareador.html</t>
        </is>
      </c>
    </row>
    <row r="236">
      <c r="A236" s="30" t="inlineStr">
        <is>
          <t>LOG-20260810-235</t>
        </is>
      </c>
      <c r="B236" s="32" t="n">
        <v>46244</v>
      </c>
      <c r="C236" t="inlineStr">
        <is>
          <t>Tareador (Bildin)</t>
        </is>
      </c>
      <c r="D236" s="30" t="inlineStr">
        <is>
          <t>WBS-200</t>
        </is>
      </c>
      <c r="E236" s="30" t="inlineStr">
        <is>
          <t>MO_PEON</t>
        </is>
      </c>
      <c r="F236" t="inlineStr">
        <is>
          <t>PEON</t>
        </is>
      </c>
      <c r="G236" t="n">
        <v>64</v>
      </c>
      <c r="H236" s="30" t="inlineStr">
        <is>
          <t>hh</t>
        </is>
      </c>
      <c r="I236">
        <f>IFERROR(VLOOKUP(E236, '05_MAESTRO_RECURSOS'!A:D, 4, FALSE), IFERROR(VLOOKUP(E236, '06_MAESTRO_PARTIDAS_EV'!B:F, 5, FALSE), 0))</f>
        <v/>
      </c>
      <c r="J236">
        <f>ROUND(G236 * I236, 2)</f>
        <v/>
      </c>
      <c r="K236" t="inlineStr">
        <is>
          <t>AC_MO</t>
        </is>
      </c>
      <c r="L236" t="inlineStr">
        <is>
          <t>tareador.html</t>
        </is>
      </c>
    </row>
    <row r="237">
      <c r="A237" s="30" t="inlineStr">
        <is>
          <t>LOG-20260810-236</t>
        </is>
      </c>
      <c r="B237" s="32" t="n">
        <v>46244</v>
      </c>
      <c r="C237" t="inlineStr">
        <is>
          <t>Almacenero</t>
        </is>
      </c>
      <c r="D237" s="30" t="inlineStr">
        <is>
          <t>WBS-200</t>
        </is>
      </c>
      <c r="E237" s="30" t="inlineStr">
        <is>
          <t>MAT_ARENA_CAMAS</t>
        </is>
      </c>
      <c r="F237" t="inlineStr">
        <is>
          <t>ARENA FINA SELECCIONADA PARA CAMA</t>
        </is>
      </c>
      <c r="G237" t="n">
        <v>10</v>
      </c>
      <c r="H237" s="30" t="inlineStr">
        <is>
          <t>m3</t>
        </is>
      </c>
      <c r="I237">
        <f>IFERROR(VLOOKUP(E237, '05_MAESTRO_RECURSOS'!A:D, 4, FALSE), IFERROR(VLOOKUP(E237, '06_MAESTRO_PARTIDAS_EV'!B:F, 5, FALSE), 0))</f>
        <v/>
      </c>
      <c r="J237">
        <f>ROUND(G237 * I237, 2)</f>
        <v/>
      </c>
      <c r="K237" t="inlineStr">
        <is>
          <t>AC_MAT</t>
        </is>
      </c>
      <c r="L237" t="inlineStr">
        <is>
          <t>almacenero.html</t>
        </is>
      </c>
    </row>
    <row r="238">
      <c r="A238" s="30" t="inlineStr">
        <is>
          <t>LOG-20260810-237</t>
        </is>
      </c>
      <c r="B238" s="32" t="n">
        <v>46244</v>
      </c>
      <c r="C238" t="inlineStr">
        <is>
          <t>Almacenero</t>
        </is>
      </c>
      <c r="D238" s="30" t="inlineStr">
        <is>
          <t>WBS-200</t>
        </is>
      </c>
      <c r="E238" s="30" t="inlineStr">
        <is>
          <t>MAT_TUB_PVC_200</t>
        </is>
      </c>
      <c r="F238" t="inlineStr">
        <is>
          <t>TUBERIA PVC UF DN 200MM S-20 ALCANTARILLADO</t>
        </is>
      </c>
      <c r="G238" t="n">
        <v>120</v>
      </c>
      <c r="H238" s="30" t="inlineStr">
        <is>
          <t>m</t>
        </is>
      </c>
      <c r="I238">
        <f>IFERROR(VLOOKUP(E238, '05_MAESTRO_RECURSOS'!A:D, 4, FALSE), IFERROR(VLOOKUP(E238, '06_MAESTRO_PARTIDAS_EV'!B:F, 5, FALSE), 0))</f>
        <v/>
      </c>
      <c r="J238">
        <f>ROUND(G238 * I238, 2)</f>
        <v/>
      </c>
      <c r="K238" t="inlineStr">
        <is>
          <t>AC_MAT</t>
        </is>
      </c>
      <c r="L238" t="inlineStr">
        <is>
          <t>almacenero.html</t>
        </is>
      </c>
    </row>
    <row r="239">
      <c r="A239" s="30" t="inlineStr">
        <is>
          <t>LOG-20260810-238</t>
        </is>
      </c>
      <c r="B239" s="32" t="n">
        <v>46244</v>
      </c>
      <c r="C239" t="inlineStr">
        <is>
          <t>Almacenero</t>
        </is>
      </c>
      <c r="D239" s="30" t="inlineStr">
        <is>
          <t>WBS-200</t>
        </is>
      </c>
      <c r="E239" s="30" t="inlineStr">
        <is>
          <t>MAT_LUBRICANTE</t>
        </is>
      </c>
      <c r="F239" t="inlineStr">
        <is>
          <t>LUBRICANTE PARA TUBERIA</t>
        </is>
      </c>
      <c r="G239" t="n">
        <v>2</v>
      </c>
      <c r="H239" s="30" t="inlineStr">
        <is>
          <t>kg</t>
        </is>
      </c>
      <c r="I239">
        <f>IFERROR(VLOOKUP(E239, '05_MAESTRO_RECURSOS'!A:D, 4, FALSE), IFERROR(VLOOKUP(E239, '06_MAESTRO_PARTIDAS_EV'!B:F, 5, FALSE), 0))</f>
        <v/>
      </c>
      <c r="J239">
        <f>ROUND(G239 * I239, 2)</f>
        <v/>
      </c>
      <c r="K239" t="inlineStr">
        <is>
          <t>AC_MAT</t>
        </is>
      </c>
      <c r="L239" t="inlineStr">
        <is>
          <t>almacenero.html</t>
        </is>
      </c>
    </row>
    <row r="240">
      <c r="A240" s="30" t="inlineStr">
        <is>
          <t>LOG-20260810-239</t>
        </is>
      </c>
      <c r="B240" s="32" t="n">
        <v>46244</v>
      </c>
      <c r="C240" t="inlineStr">
        <is>
          <t>Almacenero</t>
        </is>
      </c>
      <c r="D240" s="30" t="inlineStr">
        <is>
          <t>WBS-200</t>
        </is>
      </c>
      <c r="E240" s="30" t="inlineStr">
        <is>
          <t>MAT_CAJA_REGISTRO</t>
        </is>
      </c>
      <c r="F240" t="inlineStr">
        <is>
          <t>CAJA REGISTRO CONCRETO 12X24</t>
        </is>
      </c>
      <c r="G240" t="n">
        <v>3</v>
      </c>
      <c r="H240" s="30" t="inlineStr">
        <is>
          <t>und</t>
        </is>
      </c>
      <c r="I240">
        <f>IFERROR(VLOOKUP(E240, '05_MAESTRO_RECURSOS'!A:D, 4, FALSE), IFERROR(VLOOKUP(E240, '06_MAESTRO_PARTIDAS_EV'!B:F, 5, FALSE), 0))</f>
        <v/>
      </c>
      <c r="J240">
        <f>ROUND(G240 * I240, 2)</f>
        <v/>
      </c>
      <c r="K240" t="inlineStr">
        <is>
          <t>AC_MAT</t>
        </is>
      </c>
      <c r="L240" t="inlineStr">
        <is>
          <t>almacenero.html</t>
        </is>
      </c>
    </row>
    <row r="241">
      <c r="A241" s="30" t="inlineStr">
        <is>
          <t>LOG-20260810-240</t>
        </is>
      </c>
      <c r="B241" s="32" t="n">
        <v>46244</v>
      </c>
      <c r="C241" t="inlineStr">
        <is>
          <t>Almacenero</t>
        </is>
      </c>
      <c r="D241" s="30" t="inlineStr">
        <is>
          <t>WBS-200</t>
        </is>
      </c>
      <c r="E241" s="30" t="inlineStr">
        <is>
          <t>MAT_TUB_PVC_160_CONEX</t>
        </is>
      </c>
      <c r="F241" t="inlineStr">
        <is>
          <t>TUBERIA PVC SAL 160MM ACOMETIDA</t>
        </is>
      </c>
      <c r="G241" t="n">
        <v>18</v>
      </c>
      <c r="H241" s="30" t="inlineStr">
        <is>
          <t>m</t>
        </is>
      </c>
      <c r="I241">
        <f>IFERROR(VLOOKUP(E241, '05_MAESTRO_RECURSOS'!A:D, 4, FALSE), IFERROR(VLOOKUP(E241, '06_MAESTRO_PARTIDAS_EV'!B:F, 5, FALSE), 0))</f>
        <v/>
      </c>
      <c r="J241">
        <f>ROUND(G241 * I241, 2)</f>
        <v/>
      </c>
      <c r="K241" t="inlineStr">
        <is>
          <t>AC_MAT</t>
        </is>
      </c>
      <c r="L241" t="inlineStr">
        <is>
          <t>almacenero.html</t>
        </is>
      </c>
    </row>
    <row r="242">
      <c r="A242" s="30" t="inlineStr">
        <is>
          <t>LOG-20260810-241</t>
        </is>
      </c>
      <c r="B242" s="32" t="n">
        <v>46244</v>
      </c>
      <c r="C242" t="inlineStr">
        <is>
          <t>Administradora</t>
        </is>
      </c>
      <c r="D242" s="30" t="inlineStr">
        <is>
          <t>WBS-200</t>
        </is>
      </c>
      <c r="E242" s="30" t="inlineStr">
        <is>
          <t>SUB_ENSAYOS_COMPAC</t>
        </is>
      </c>
      <c r="F242" t="inlineStr">
        <is>
          <t>SUBCONTRATO DENSIDADES PROCTOR</t>
        </is>
      </c>
      <c r="G242" t="n">
        <v>2</v>
      </c>
      <c r="H242" s="30" t="inlineStr">
        <is>
          <t>und</t>
        </is>
      </c>
      <c r="I242">
        <f>IFERROR(VLOOKUP(E242, '05_MAESTRO_RECURSOS'!A:D, 4, FALSE), IFERROR(VLOOKUP(E242, '06_MAESTRO_PARTIDAS_EV'!B:F, 5, FALSE), 0))</f>
        <v/>
      </c>
      <c r="J242">
        <f>ROUND(G242 * I242, 2)</f>
        <v/>
      </c>
      <c r="K242" t="inlineStr">
        <is>
          <t>AC_SUB</t>
        </is>
      </c>
      <c r="L242" t="inlineStr">
        <is>
          <t>administradora.html</t>
        </is>
      </c>
    </row>
    <row r="243">
      <c r="A243" s="30" t="inlineStr">
        <is>
          <t>LOG-20260810-242</t>
        </is>
      </c>
      <c r="B243" s="32" t="n">
        <v>46244</v>
      </c>
      <c r="C243" t="inlineStr">
        <is>
          <t>Ing. de Campo</t>
        </is>
      </c>
      <c r="D243" s="30" t="inlineStr">
        <is>
          <t>WBS-200</t>
        </is>
      </c>
      <c r="E243" s="30" t="inlineStr">
        <is>
          <t>01.02.07</t>
        </is>
      </c>
      <c r="F243" t="inlineStr">
        <is>
          <t>CONEXIONES DOMICILIARIAS ALCANTARILLADO DN 160MM</t>
        </is>
      </c>
      <c r="G243" t="n">
        <v>3</v>
      </c>
      <c r="H243" s="30" t="inlineStr">
        <is>
          <t>UND</t>
        </is>
      </c>
      <c r="I243">
        <f>IFERROR(VLOOKUP(E243, '05_MAESTRO_RECURSOS'!A:D, 4, FALSE), IFERROR(VLOOKUP(E243, '06_MAESTRO_PARTIDAS_EV'!B:F, 5, FALSE), 0))</f>
        <v/>
      </c>
      <c r="J243">
        <f>ROUND(G243 * I243, 2)</f>
        <v/>
      </c>
      <c r="K243" t="inlineStr">
        <is>
          <t>EV_PRODUCCION</t>
        </is>
      </c>
      <c r="L243" t="inlineStr">
        <is>
          <t>ing_campo.html</t>
        </is>
      </c>
    </row>
    <row r="244">
      <c r="A244" s="30" t="inlineStr">
        <is>
          <t>LOG-20260810-243</t>
        </is>
      </c>
      <c r="B244" s="32" t="n">
        <v>46244</v>
      </c>
      <c r="C244" t="inlineStr">
        <is>
          <t>Administradora</t>
        </is>
      </c>
      <c r="D244" s="30" t="inlineStr">
        <is>
          <t>WBS-200</t>
        </is>
      </c>
      <c r="E244" s="30" t="inlineStr">
        <is>
          <t>EQ_EXCAVADORA</t>
        </is>
      </c>
      <c r="F244" t="inlineStr">
        <is>
          <t>EXCAVADORA ORUGAS 140 HP</t>
        </is>
      </c>
      <c r="G244" t="n">
        <v>8</v>
      </c>
      <c r="H244" s="30" t="inlineStr">
        <is>
          <t>hm</t>
        </is>
      </c>
      <c r="I244">
        <f>IFERROR(VLOOKUP(E244, '05_MAESTRO_RECURSOS'!A:D, 4, FALSE), IFERROR(VLOOKUP(E244, '06_MAESTRO_PARTIDAS_EV'!B:F, 5, FALSE), 0))</f>
        <v/>
      </c>
      <c r="J244">
        <f>ROUND(G244 * I244, 2)</f>
        <v/>
      </c>
      <c r="K244" t="inlineStr">
        <is>
          <t>AC_EQP</t>
        </is>
      </c>
      <c r="L244" t="inlineStr">
        <is>
          <t>administradora.html</t>
        </is>
      </c>
    </row>
    <row r="245">
      <c r="A245" s="30" t="inlineStr">
        <is>
          <t>LOG-20260810-244</t>
        </is>
      </c>
      <c r="B245" s="32" t="n">
        <v>46244</v>
      </c>
      <c r="C245" t="inlineStr">
        <is>
          <t>Administradora</t>
        </is>
      </c>
      <c r="D245" s="30" t="inlineStr">
        <is>
          <t>WBS-200</t>
        </is>
      </c>
      <c r="E245" s="30" t="inlineStr">
        <is>
          <t>EQ_PLANCHA</t>
        </is>
      </c>
      <c r="F245" t="inlineStr">
        <is>
          <t>PLANCHA COMPACTADORA 7 HP</t>
        </is>
      </c>
      <c r="G245" t="n">
        <v>8</v>
      </c>
      <c r="H245" s="30" t="inlineStr">
        <is>
          <t>hm</t>
        </is>
      </c>
      <c r="I245">
        <f>IFERROR(VLOOKUP(E245, '05_MAESTRO_RECURSOS'!A:D, 4, FALSE), IFERROR(VLOOKUP(E245, '06_MAESTRO_PARTIDAS_EV'!B:F, 5, FALSE), 0))</f>
        <v/>
      </c>
      <c r="J245">
        <f>ROUND(G245 * I245, 2)</f>
        <v/>
      </c>
      <c r="K245" t="inlineStr">
        <is>
          <t>AC_EQP</t>
        </is>
      </c>
      <c r="L245" t="inlineStr">
        <is>
          <t>administradora.html</t>
        </is>
      </c>
    </row>
    <row r="246">
      <c r="A246" s="30" t="inlineStr">
        <is>
          <t>LOG-20260810-245</t>
        </is>
      </c>
      <c r="B246" s="32" t="n">
        <v>46244</v>
      </c>
      <c r="C246" t="inlineStr">
        <is>
          <t>Administradora</t>
        </is>
      </c>
      <c r="D246" s="30" t="inlineStr">
        <is>
          <t>WBS-200</t>
        </is>
      </c>
      <c r="E246" s="30" t="inlineStr">
        <is>
          <t>EQ_RODILLO_CAMINANTE</t>
        </is>
      </c>
      <c r="F246" t="inlineStr">
        <is>
          <t>RODILLO VIBRATORIO 1.5 TN</t>
        </is>
      </c>
      <c r="G246" t="n">
        <v>8</v>
      </c>
      <c r="H246" s="30" t="inlineStr">
        <is>
          <t>hm</t>
        </is>
      </c>
      <c r="I246">
        <f>IFERROR(VLOOKUP(E246, '05_MAESTRO_RECURSOS'!A:D, 4, FALSE), IFERROR(VLOOKUP(E246, '06_MAESTRO_PARTIDAS_EV'!B:F, 5, FALSE), 0))</f>
        <v/>
      </c>
      <c r="J246">
        <f>ROUND(G246 * I246, 2)</f>
        <v/>
      </c>
      <c r="K246" t="inlineStr">
        <is>
          <t>AC_EQP</t>
        </is>
      </c>
      <c r="L246" t="inlineStr">
        <is>
          <t>administradora.html</t>
        </is>
      </c>
    </row>
    <row r="247">
      <c r="A247" s="30" t="inlineStr">
        <is>
          <t>LOG-20260810-246</t>
        </is>
      </c>
      <c r="B247" s="32" t="n">
        <v>46244</v>
      </c>
      <c r="C247" t="inlineStr">
        <is>
          <t>Ing. de Campo</t>
        </is>
      </c>
      <c r="D247" s="30" t="inlineStr">
        <is>
          <t>WBS-200</t>
        </is>
      </c>
      <c r="E247" s="30" t="inlineStr">
        <is>
          <t>01.02.02</t>
        </is>
      </c>
      <c r="F247" t="inlineStr">
        <is>
          <t>EXCAVACION DE ZANJA C/MAQUINA EN T. SEMIROCOSO</t>
        </is>
      </c>
      <c r="G247" t="n">
        <v>150</v>
      </c>
      <c r="H247" s="30" t="inlineStr">
        <is>
          <t>M3</t>
        </is>
      </c>
      <c r="I247">
        <f>IFERROR(VLOOKUP(E247, '05_MAESTRO_RECURSOS'!A:D, 4, FALSE), IFERROR(VLOOKUP(E247, '06_MAESTRO_PARTIDAS_EV'!B:F, 5, FALSE), 0))</f>
        <v/>
      </c>
      <c r="J247">
        <f>ROUND(G247 * I247, 2)</f>
        <v/>
      </c>
      <c r="K247" t="inlineStr">
        <is>
          <t>EV_PRODUCCION</t>
        </is>
      </c>
      <c r="L247" t="inlineStr">
        <is>
          <t>ing_campo.html</t>
        </is>
      </c>
    </row>
    <row r="248">
      <c r="A248" s="30" t="inlineStr">
        <is>
          <t>LOG-20260810-247</t>
        </is>
      </c>
      <c r="B248" s="32" t="n">
        <v>46244</v>
      </c>
      <c r="C248" t="inlineStr">
        <is>
          <t>Ing. de Campo</t>
        </is>
      </c>
      <c r="D248" s="30" t="inlineStr">
        <is>
          <t>WBS-200</t>
        </is>
      </c>
      <c r="E248" s="30" t="inlineStr">
        <is>
          <t>01.02.03</t>
        </is>
      </c>
      <c r="F248" t="inlineStr">
        <is>
          <t>CAMA DE APOYO H=0.10 M CON ARENA SELECCIONADA</t>
        </is>
      </c>
      <c r="G248" t="n">
        <v>120</v>
      </c>
      <c r="H248" s="30" t="inlineStr">
        <is>
          <t>M</t>
        </is>
      </c>
      <c r="I248">
        <f>IFERROR(VLOOKUP(E248, '05_MAESTRO_RECURSOS'!A:D, 4, FALSE), IFERROR(VLOOKUP(E248, '06_MAESTRO_PARTIDAS_EV'!B:F, 5, FALSE), 0))</f>
        <v/>
      </c>
      <c r="J248">
        <f>ROUND(G248 * I248, 2)</f>
        <v/>
      </c>
      <c r="K248" t="inlineStr">
        <is>
          <t>EV_PRODUCCION</t>
        </is>
      </c>
      <c r="L248" t="inlineStr">
        <is>
          <t>ing_campo.html</t>
        </is>
      </c>
    </row>
    <row r="249">
      <c r="A249" s="30" t="inlineStr">
        <is>
          <t>LOG-20260810-248</t>
        </is>
      </c>
      <c r="B249" s="32" t="n">
        <v>46244</v>
      </c>
      <c r="C249" t="inlineStr">
        <is>
          <t>Ing. de Campo</t>
        </is>
      </c>
      <c r="D249" s="30" t="inlineStr">
        <is>
          <t>WBS-200</t>
        </is>
      </c>
      <c r="E249" s="30" t="inlineStr">
        <is>
          <t>01.02.04</t>
        </is>
      </c>
      <c r="F249" t="inlineStr">
        <is>
          <t>SUMINISTRO E INSTALACION DE TUBERIA PVC DN 200MM S-20</t>
        </is>
      </c>
      <c r="G249" t="n">
        <v>120</v>
      </c>
      <c r="H249" s="30" t="inlineStr">
        <is>
          <t>M</t>
        </is>
      </c>
      <c r="I249">
        <f>IFERROR(VLOOKUP(E249, '05_MAESTRO_RECURSOS'!A:D, 4, FALSE), IFERROR(VLOOKUP(E249, '06_MAESTRO_PARTIDAS_EV'!B:F, 5, FALSE), 0))</f>
        <v/>
      </c>
      <c r="J249">
        <f>ROUND(G249 * I249, 2)</f>
        <v/>
      </c>
      <c r="K249" t="inlineStr">
        <is>
          <t>EV_PRODUCCION</t>
        </is>
      </c>
      <c r="L249" t="inlineStr">
        <is>
          <t>ing_campo.html</t>
        </is>
      </c>
    </row>
    <row r="250">
      <c r="A250" s="30" t="inlineStr">
        <is>
          <t>LOG-20260810-249</t>
        </is>
      </c>
      <c r="B250" s="32" t="n">
        <v>46244</v>
      </c>
      <c r="C250" t="inlineStr">
        <is>
          <t>Ing. de Campo</t>
        </is>
      </c>
      <c r="D250" s="30" t="inlineStr">
        <is>
          <t>WBS-200</t>
        </is>
      </c>
      <c r="E250" s="30" t="inlineStr">
        <is>
          <t>01.02.05</t>
        </is>
      </c>
      <c r="F250" t="inlineStr">
        <is>
          <t>RELLENO COMPACTADO DE ZANJA C/MATERIAL PRESTAMO</t>
        </is>
      </c>
      <c r="G250" t="n">
        <v>120</v>
      </c>
      <c r="H250" s="30" t="inlineStr">
        <is>
          <t>M</t>
        </is>
      </c>
      <c r="I250">
        <f>IFERROR(VLOOKUP(E250, '05_MAESTRO_RECURSOS'!A:D, 4, FALSE), IFERROR(VLOOKUP(E250, '06_MAESTRO_PARTIDAS_EV'!B:F, 5, FALSE), 0))</f>
        <v/>
      </c>
      <c r="J250">
        <f>ROUND(G250 * I250, 2)</f>
        <v/>
      </c>
      <c r="K250" t="inlineStr">
        <is>
          <t>EV_PRODUCCION</t>
        </is>
      </c>
      <c r="L250" t="inlineStr">
        <is>
          <t>ing_campo.html</t>
        </is>
      </c>
    </row>
    <row r="251">
      <c r="A251" s="30" t="inlineStr">
        <is>
          <t>LOG-20260810-250</t>
        </is>
      </c>
      <c r="B251" s="32" t="n">
        <v>46244</v>
      </c>
      <c r="C251" t="inlineStr">
        <is>
          <t>Tareador (Bildin)</t>
        </is>
      </c>
      <c r="D251" s="30" t="inlineStr">
        <is>
          <t>WBS-300</t>
        </is>
      </c>
      <c r="E251" s="30" t="inlineStr">
        <is>
          <t>MO_CAPATAZ</t>
        </is>
      </c>
      <c r="F251" t="inlineStr">
        <is>
          <t>CAPATAZ</t>
        </is>
      </c>
      <c r="G251" t="n">
        <v>4</v>
      </c>
      <c r="H251" s="30" t="inlineStr">
        <is>
          <t>hh</t>
        </is>
      </c>
      <c r="I251">
        <f>IFERROR(VLOOKUP(E251, '05_MAESTRO_RECURSOS'!A:D, 4, FALSE), IFERROR(VLOOKUP(E251, '06_MAESTRO_PARTIDAS_EV'!B:F, 5, FALSE), 0))</f>
        <v/>
      </c>
      <c r="J251">
        <f>ROUND(G251 * I251, 2)</f>
        <v/>
      </c>
      <c r="K251" t="inlineStr">
        <is>
          <t>AC_MO</t>
        </is>
      </c>
      <c r="L251" t="inlineStr">
        <is>
          <t>tareador.html</t>
        </is>
      </c>
    </row>
    <row r="252">
      <c r="A252" s="30" t="inlineStr">
        <is>
          <t>LOG-20260810-251</t>
        </is>
      </c>
      <c r="B252" s="32" t="n">
        <v>46244</v>
      </c>
      <c r="C252" t="inlineStr">
        <is>
          <t>Tareador (Bildin)</t>
        </is>
      </c>
      <c r="D252" s="30" t="inlineStr">
        <is>
          <t>WBS-300</t>
        </is>
      </c>
      <c r="E252" s="30" t="inlineStr">
        <is>
          <t>MO_OPERARIO</t>
        </is>
      </c>
      <c r="F252" t="inlineStr">
        <is>
          <t>OPERARIO</t>
        </is>
      </c>
      <c r="G252" t="n">
        <v>16</v>
      </c>
      <c r="H252" s="30" t="inlineStr">
        <is>
          <t>hh</t>
        </is>
      </c>
      <c r="I252">
        <f>IFERROR(VLOOKUP(E252, '05_MAESTRO_RECURSOS'!A:D, 4, FALSE), IFERROR(VLOOKUP(E252, '06_MAESTRO_PARTIDAS_EV'!B:F, 5, FALSE), 0))</f>
        <v/>
      </c>
      <c r="J252">
        <f>ROUND(G252 * I252, 2)</f>
        <v/>
      </c>
      <c r="K252" t="inlineStr">
        <is>
          <t>AC_MO</t>
        </is>
      </c>
      <c r="L252" t="inlineStr">
        <is>
          <t>tareador.html</t>
        </is>
      </c>
    </row>
    <row r="253">
      <c r="A253" s="30" t="inlineStr">
        <is>
          <t>LOG-20260810-252</t>
        </is>
      </c>
      <c r="B253" s="32" t="n">
        <v>46244</v>
      </c>
      <c r="C253" t="inlineStr">
        <is>
          <t>Tareador (Bildin)</t>
        </is>
      </c>
      <c r="D253" s="30" t="inlineStr">
        <is>
          <t>WBS-300</t>
        </is>
      </c>
      <c r="E253" s="30" t="inlineStr">
        <is>
          <t>MO_PEON</t>
        </is>
      </c>
      <c r="F253" t="inlineStr">
        <is>
          <t>PEON</t>
        </is>
      </c>
      <c r="G253" t="n">
        <v>32</v>
      </c>
      <c r="H253" s="30" t="inlineStr">
        <is>
          <t>hh</t>
        </is>
      </c>
      <c r="I253">
        <f>IFERROR(VLOOKUP(E253, '05_MAESTRO_RECURSOS'!A:D, 4, FALSE), IFERROR(VLOOKUP(E253, '06_MAESTRO_PARTIDAS_EV'!B:F, 5, FALSE), 0))</f>
        <v/>
      </c>
      <c r="J253">
        <f>ROUND(G253 * I253, 2)</f>
        <v/>
      </c>
      <c r="K253" t="inlineStr">
        <is>
          <t>AC_MO</t>
        </is>
      </c>
      <c r="L253" t="inlineStr">
        <is>
          <t>tareador.html</t>
        </is>
      </c>
    </row>
    <row r="254">
      <c r="A254" s="30" t="inlineStr">
        <is>
          <t>LOG-20260810-253</t>
        </is>
      </c>
      <c r="B254" s="32" t="n">
        <v>46244</v>
      </c>
      <c r="C254" t="inlineStr">
        <is>
          <t>Almacenero</t>
        </is>
      </c>
      <c r="D254" s="30" t="inlineStr">
        <is>
          <t>WBS-300</t>
        </is>
      </c>
      <c r="E254" s="30" t="inlineStr">
        <is>
          <t>MAT_TUB_PVC_110_AGUA</t>
        </is>
      </c>
      <c r="F254" t="inlineStr">
        <is>
          <t>TUBERIA PVC C-10 DN 110MM AGUA</t>
        </is>
      </c>
      <c r="G254" t="n">
        <v>150</v>
      </c>
      <c r="H254" s="30" t="inlineStr">
        <is>
          <t>m</t>
        </is>
      </c>
      <c r="I254">
        <f>IFERROR(VLOOKUP(E254, '05_MAESTRO_RECURSOS'!A:D, 4, FALSE), IFERROR(VLOOKUP(E254, '06_MAESTRO_PARTIDAS_EV'!B:F, 5, FALSE), 0))</f>
        <v/>
      </c>
      <c r="J254">
        <f>ROUND(G254 * I254, 2)</f>
        <v/>
      </c>
      <c r="K254" t="inlineStr">
        <is>
          <t>AC_MAT</t>
        </is>
      </c>
      <c r="L254" t="inlineStr">
        <is>
          <t>almacenero.html</t>
        </is>
      </c>
    </row>
    <row r="255">
      <c r="A255" s="30" t="inlineStr">
        <is>
          <t>LOG-20260810-254</t>
        </is>
      </c>
      <c r="B255" s="32" t="n">
        <v>46244</v>
      </c>
      <c r="C255" t="inlineStr">
        <is>
          <t>Almacenero</t>
        </is>
      </c>
      <c r="D255" s="30" t="inlineStr">
        <is>
          <t>WBS-300</t>
        </is>
      </c>
      <c r="E255" s="30" t="inlineStr">
        <is>
          <t>MAT_ACCESORIOS_AGUA</t>
        </is>
      </c>
      <c r="F255" t="inlineStr">
        <is>
          <t>ACCESORIOS PVC AGUA 110MM</t>
        </is>
      </c>
      <c r="G255" t="n">
        <v>1</v>
      </c>
      <c r="H255" s="30" t="inlineStr">
        <is>
          <t>glb</t>
        </is>
      </c>
      <c r="I255">
        <f>IFERROR(VLOOKUP(E255, '05_MAESTRO_RECURSOS'!A:D, 4, FALSE), IFERROR(VLOOKUP(E255, '06_MAESTRO_PARTIDAS_EV'!B:F, 5, FALSE), 0))</f>
        <v/>
      </c>
      <c r="J255">
        <f>ROUND(G255 * I255, 2)</f>
        <v/>
      </c>
      <c r="K255" t="inlineStr">
        <is>
          <t>AC_MAT</t>
        </is>
      </c>
      <c r="L255" t="inlineStr">
        <is>
          <t>almacenero.html</t>
        </is>
      </c>
    </row>
    <row r="256">
      <c r="A256" s="30" t="inlineStr">
        <is>
          <t>LOG-20260810-255</t>
        </is>
      </c>
      <c r="B256" s="32" t="n">
        <v>46244</v>
      </c>
      <c r="C256" t="inlineStr">
        <is>
          <t>Almacenero</t>
        </is>
      </c>
      <c r="D256" s="30" t="inlineStr">
        <is>
          <t>WBS-300</t>
        </is>
      </c>
      <c r="E256" s="30" t="inlineStr">
        <is>
          <t>MAT_CAJA_AGUA</t>
        </is>
      </c>
      <c r="F256" t="inlineStr">
        <is>
          <t>CAJA TERMOFORMADA AGUA + MEDIDOR</t>
        </is>
      </c>
      <c r="G256" t="n">
        <v>5</v>
      </c>
      <c r="H256" s="30" t="inlineStr">
        <is>
          <t>und</t>
        </is>
      </c>
      <c r="I256">
        <f>IFERROR(VLOOKUP(E256, '05_MAESTRO_RECURSOS'!A:D, 4, FALSE), IFERROR(VLOOKUP(E256, '06_MAESTRO_PARTIDAS_EV'!B:F, 5, FALSE), 0))</f>
        <v/>
      </c>
      <c r="J256">
        <f>ROUND(G256 * I256, 2)</f>
        <v/>
      </c>
      <c r="K256" t="inlineStr">
        <is>
          <t>AC_MAT</t>
        </is>
      </c>
      <c r="L256" t="inlineStr">
        <is>
          <t>almacenero.html</t>
        </is>
      </c>
    </row>
    <row r="257">
      <c r="A257" s="30" t="inlineStr">
        <is>
          <t>LOG-20260810-256</t>
        </is>
      </c>
      <c r="B257" s="32" t="n">
        <v>46244</v>
      </c>
      <c r="C257" t="inlineStr">
        <is>
          <t>Almacenero</t>
        </is>
      </c>
      <c r="D257" s="30" t="inlineStr">
        <is>
          <t>WBS-300</t>
        </is>
      </c>
      <c r="E257" s="30" t="inlineStr">
        <is>
          <t>MAT_TUB_HDPE_1_2</t>
        </is>
      </c>
      <c r="F257" t="inlineStr">
        <is>
          <t>TUBERIA HDPE 1/2 ACOMETIDA AGUA</t>
        </is>
      </c>
      <c r="G257" t="n">
        <v>30</v>
      </c>
      <c r="H257" s="30" t="inlineStr">
        <is>
          <t>m</t>
        </is>
      </c>
      <c r="I257">
        <f>IFERROR(VLOOKUP(E257, '05_MAESTRO_RECURSOS'!A:D, 4, FALSE), IFERROR(VLOOKUP(E257, '06_MAESTRO_PARTIDAS_EV'!B:F, 5, FALSE), 0))</f>
        <v/>
      </c>
      <c r="J257">
        <f>ROUND(G257 * I257, 2)</f>
        <v/>
      </c>
      <c r="K257" t="inlineStr">
        <is>
          <t>AC_MAT</t>
        </is>
      </c>
      <c r="L257" t="inlineStr">
        <is>
          <t>almacenero.html</t>
        </is>
      </c>
    </row>
    <row r="258">
      <c r="A258" s="30" t="inlineStr">
        <is>
          <t>LOG-20260810-257</t>
        </is>
      </c>
      <c r="B258" s="32" t="n">
        <v>46244</v>
      </c>
      <c r="C258" t="inlineStr">
        <is>
          <t>Ing. de Campo</t>
        </is>
      </c>
      <c r="D258" s="30" t="inlineStr">
        <is>
          <t>WBS-300</t>
        </is>
      </c>
      <c r="E258" s="30" t="inlineStr">
        <is>
          <t>01.03.02</t>
        </is>
      </c>
      <c r="F258" t="inlineStr">
        <is>
          <t>CONEXIONES DOMICILIARIAS AGUA POTABLE</t>
        </is>
      </c>
      <c r="G258" t="n">
        <v>5</v>
      </c>
      <c r="H258" s="30" t="inlineStr">
        <is>
          <t>UND</t>
        </is>
      </c>
      <c r="I258">
        <f>IFERROR(VLOOKUP(E258, '05_MAESTRO_RECURSOS'!A:D, 4, FALSE), IFERROR(VLOOKUP(E258, '06_MAESTRO_PARTIDAS_EV'!B:F, 5, FALSE), 0))</f>
        <v/>
      </c>
      <c r="J258">
        <f>ROUND(G258 * I258, 2)</f>
        <v/>
      </c>
      <c r="K258" t="inlineStr">
        <is>
          <t>EV_PRODUCCION</t>
        </is>
      </c>
      <c r="L258" t="inlineStr">
        <is>
          <t>ing_campo.html</t>
        </is>
      </c>
    </row>
    <row r="259">
      <c r="A259" s="30" t="inlineStr">
        <is>
          <t>LOG-20260810-258</t>
        </is>
      </c>
      <c r="B259" s="32" t="n">
        <v>46244</v>
      </c>
      <c r="C259" t="inlineStr">
        <is>
          <t>Administradora</t>
        </is>
      </c>
      <c r="D259" s="30" t="inlineStr">
        <is>
          <t>WBS-300</t>
        </is>
      </c>
      <c r="E259" s="30" t="inlineStr">
        <is>
          <t>EQ_RETROEXCAVADORA</t>
        </is>
      </c>
      <c r="F259" t="inlineStr">
        <is>
          <t>RETROEXCAVADORA LLANTAS 62 HP</t>
        </is>
      </c>
      <c r="G259" t="n">
        <v>8</v>
      </c>
      <c r="H259" s="30" t="inlineStr">
        <is>
          <t>hm</t>
        </is>
      </c>
      <c r="I259">
        <f>IFERROR(VLOOKUP(E259, '05_MAESTRO_RECURSOS'!A:D, 4, FALSE), IFERROR(VLOOKUP(E259, '06_MAESTRO_PARTIDAS_EV'!B:F, 5, FALSE), 0))</f>
        <v/>
      </c>
      <c r="J259">
        <f>ROUND(G259 * I259, 2)</f>
        <v/>
      </c>
      <c r="K259" t="inlineStr">
        <is>
          <t>AC_EQP</t>
        </is>
      </c>
      <c r="L259" t="inlineStr">
        <is>
          <t>administradora.html</t>
        </is>
      </c>
    </row>
    <row r="260">
      <c r="A260" s="30" t="inlineStr">
        <is>
          <t>LOG-20260810-259</t>
        </is>
      </c>
      <c r="B260" s="32" t="n">
        <v>46244</v>
      </c>
      <c r="C260" t="inlineStr">
        <is>
          <t>Administradora</t>
        </is>
      </c>
      <c r="D260" s="30" t="inlineStr">
        <is>
          <t>WBS-300</t>
        </is>
      </c>
      <c r="E260" s="30" t="inlineStr">
        <is>
          <t>EQ_PLANCHA</t>
        </is>
      </c>
      <c r="F260" t="inlineStr">
        <is>
          <t>PLANCHA COMPACTADORA 7 HP</t>
        </is>
      </c>
      <c r="G260" t="n">
        <v>8</v>
      </c>
      <c r="H260" s="30" t="inlineStr">
        <is>
          <t>hm</t>
        </is>
      </c>
      <c r="I260">
        <f>IFERROR(VLOOKUP(E260, '05_MAESTRO_RECURSOS'!A:D, 4, FALSE), IFERROR(VLOOKUP(E260, '06_MAESTRO_PARTIDAS_EV'!B:F, 5, FALSE), 0))</f>
        <v/>
      </c>
      <c r="J260">
        <f>ROUND(G260 * I260, 2)</f>
        <v/>
      </c>
      <c r="K260" t="inlineStr">
        <is>
          <t>AC_EQP</t>
        </is>
      </c>
      <c r="L260" t="inlineStr">
        <is>
          <t>administradora.html</t>
        </is>
      </c>
    </row>
    <row r="261">
      <c r="A261" s="30" t="inlineStr">
        <is>
          <t>LOG-20260810-260</t>
        </is>
      </c>
      <c r="B261" s="32" t="n">
        <v>46244</v>
      </c>
      <c r="C261" t="inlineStr">
        <is>
          <t>Administradora</t>
        </is>
      </c>
      <c r="D261" s="30" t="inlineStr">
        <is>
          <t>WBS-300</t>
        </is>
      </c>
      <c r="E261" s="30" t="inlineStr">
        <is>
          <t>EQ_RODILLO_CAMINANTE</t>
        </is>
      </c>
      <c r="F261" t="inlineStr">
        <is>
          <t>RODILLO VIBRATORIO 1.5 TN</t>
        </is>
      </c>
      <c r="G261" t="n">
        <v>8</v>
      </c>
      <c r="H261" s="30" t="inlineStr">
        <is>
          <t>hm</t>
        </is>
      </c>
      <c r="I261">
        <f>IFERROR(VLOOKUP(E261, '05_MAESTRO_RECURSOS'!A:D, 4, FALSE), IFERROR(VLOOKUP(E261, '06_MAESTRO_PARTIDAS_EV'!B:F, 5, FALSE), 0))</f>
        <v/>
      </c>
      <c r="J261">
        <f>ROUND(G261 * I261, 2)</f>
        <v/>
      </c>
      <c r="K261" t="inlineStr">
        <is>
          <t>AC_EQP</t>
        </is>
      </c>
      <c r="L261" t="inlineStr">
        <is>
          <t>administradora.html</t>
        </is>
      </c>
    </row>
    <row r="262">
      <c r="A262" s="30" t="inlineStr">
        <is>
          <t>LOG-20260810-261</t>
        </is>
      </c>
      <c r="B262" s="32" t="n">
        <v>46244</v>
      </c>
      <c r="C262" t="inlineStr">
        <is>
          <t>Ing. de Campo</t>
        </is>
      </c>
      <c r="D262" s="30" t="inlineStr">
        <is>
          <t>WBS-300</t>
        </is>
      </c>
      <c r="E262" s="30" t="inlineStr">
        <is>
          <t>01.03.01</t>
        </is>
      </c>
      <c r="F262" t="inlineStr">
        <is>
          <t>INSTALACION TUBERIA PVC C-10 DN 110MM AGUA POTABLE</t>
        </is>
      </c>
      <c r="G262" t="n">
        <v>150</v>
      </c>
      <c r="H262" s="30" t="inlineStr">
        <is>
          <t>M</t>
        </is>
      </c>
      <c r="I262">
        <f>IFERROR(VLOOKUP(E262, '05_MAESTRO_RECURSOS'!A:D, 4, FALSE), IFERROR(VLOOKUP(E262, '06_MAESTRO_PARTIDAS_EV'!B:F, 5, FALSE), 0))</f>
        <v/>
      </c>
      <c r="J262">
        <f>ROUND(G262 * I262, 2)</f>
        <v/>
      </c>
      <c r="K262" t="inlineStr">
        <is>
          <t>EV_PRODUCCION</t>
        </is>
      </c>
      <c r="L262" t="inlineStr">
        <is>
          <t>ing_campo.html</t>
        </is>
      </c>
    </row>
    <row r="263">
      <c r="A263" s="30" t="inlineStr">
        <is>
          <t>LOG-20260810-262</t>
        </is>
      </c>
      <c r="B263" s="32" t="n">
        <v>46244</v>
      </c>
      <c r="C263" t="inlineStr">
        <is>
          <t>Tareador (Bildin)</t>
        </is>
      </c>
      <c r="D263" s="30" t="inlineStr">
        <is>
          <t>WBS-400</t>
        </is>
      </c>
      <c r="E263" s="30" t="inlineStr">
        <is>
          <t>MO_OPERARIO</t>
        </is>
      </c>
      <c r="F263" t="inlineStr">
        <is>
          <t>OPERARIO</t>
        </is>
      </c>
      <c r="G263" t="n">
        <v>8</v>
      </c>
      <c r="H263" s="30" t="inlineStr">
        <is>
          <t>hh</t>
        </is>
      </c>
      <c r="I263">
        <f>IFERROR(VLOOKUP(E263, '05_MAESTRO_RECURSOS'!A:D, 4, FALSE), IFERROR(VLOOKUP(E263, '06_MAESTRO_PARTIDAS_EV'!B:F, 5, FALSE), 0))</f>
        <v/>
      </c>
      <c r="J263">
        <f>ROUND(G263 * I263, 2)</f>
        <v/>
      </c>
      <c r="K263" t="inlineStr">
        <is>
          <t>AC_MO</t>
        </is>
      </c>
      <c r="L263" t="inlineStr">
        <is>
          <t>tareador.html</t>
        </is>
      </c>
    </row>
    <row r="264">
      <c r="A264" s="30" t="inlineStr">
        <is>
          <t>LOG-20260810-263</t>
        </is>
      </c>
      <c r="B264" s="32" t="n">
        <v>46244</v>
      </c>
      <c r="C264" t="inlineStr">
        <is>
          <t>Tareador (Bildin)</t>
        </is>
      </c>
      <c r="D264" s="30" t="inlineStr">
        <is>
          <t>WBS-400</t>
        </is>
      </c>
      <c r="E264" s="30" t="inlineStr">
        <is>
          <t>MO_OFICIAL</t>
        </is>
      </c>
      <c r="F264" t="inlineStr">
        <is>
          <t>OFICIAL</t>
        </is>
      </c>
      <c r="G264" t="n">
        <v>8</v>
      </c>
      <c r="H264" s="30" t="inlineStr">
        <is>
          <t>hh</t>
        </is>
      </c>
      <c r="I264">
        <f>IFERROR(VLOOKUP(E264, '05_MAESTRO_RECURSOS'!A:D, 4, FALSE), IFERROR(VLOOKUP(E264, '06_MAESTRO_PARTIDAS_EV'!B:F, 5, FALSE), 0))</f>
        <v/>
      </c>
      <c r="J264">
        <f>ROUND(G264 * I264, 2)</f>
        <v/>
      </c>
      <c r="K264" t="inlineStr">
        <is>
          <t>AC_MO</t>
        </is>
      </c>
      <c r="L264" t="inlineStr">
        <is>
          <t>tareador.html</t>
        </is>
      </c>
    </row>
    <row r="265">
      <c r="A265" s="30" t="inlineStr">
        <is>
          <t>LOG-20260810-264</t>
        </is>
      </c>
      <c r="B265" s="32" t="n">
        <v>46244</v>
      </c>
      <c r="C265" t="inlineStr">
        <is>
          <t>Tareador (Bildin)</t>
        </is>
      </c>
      <c r="D265" s="30" t="inlineStr">
        <is>
          <t>WBS-400</t>
        </is>
      </c>
      <c r="E265" s="30" t="inlineStr">
        <is>
          <t>MO_PEON</t>
        </is>
      </c>
      <c r="F265" t="inlineStr">
        <is>
          <t>PEON</t>
        </is>
      </c>
      <c r="G265" t="n">
        <v>16</v>
      </c>
      <c r="H265" s="30" t="inlineStr">
        <is>
          <t>hh</t>
        </is>
      </c>
      <c r="I265">
        <f>IFERROR(VLOOKUP(E265, '05_MAESTRO_RECURSOS'!A:D, 4, FALSE), IFERROR(VLOOKUP(E265, '06_MAESTRO_PARTIDAS_EV'!B:F, 5, FALSE), 0))</f>
        <v/>
      </c>
      <c r="J265">
        <f>ROUND(G265 * I265, 2)</f>
        <v/>
      </c>
      <c r="K265" t="inlineStr">
        <is>
          <t>AC_MO</t>
        </is>
      </c>
      <c r="L265" t="inlineStr">
        <is>
          <t>tareador.html</t>
        </is>
      </c>
    </row>
    <row r="266">
      <c r="A266" s="30" t="inlineStr">
        <is>
          <t>LOG-20260810-265</t>
        </is>
      </c>
      <c r="B266" s="32" t="n">
        <v>46244</v>
      </c>
      <c r="C266" t="inlineStr">
        <is>
          <t>Almacenero</t>
        </is>
      </c>
      <c r="D266" s="30" t="inlineStr">
        <is>
          <t>WBS-400</t>
        </is>
      </c>
      <c r="E266" s="30" t="inlineStr">
        <is>
          <t>MAT_HIPOCLORITO</t>
        </is>
      </c>
      <c r="F266" t="inlineStr">
        <is>
          <t>HIPOCLORITO DE CALCIO 70%</t>
        </is>
      </c>
      <c r="G266" t="n">
        <v>5</v>
      </c>
      <c r="H266" s="30" t="inlineStr">
        <is>
          <t>kg</t>
        </is>
      </c>
      <c r="I266">
        <f>IFERROR(VLOOKUP(E266, '05_MAESTRO_RECURSOS'!A:D, 4, FALSE), IFERROR(VLOOKUP(E266, '06_MAESTRO_PARTIDAS_EV'!B:F, 5, FALSE), 0))</f>
        <v/>
      </c>
      <c r="J266">
        <f>ROUND(G266 * I266, 2)</f>
        <v/>
      </c>
      <c r="K266" t="inlineStr">
        <is>
          <t>AC_MAT</t>
        </is>
      </c>
      <c r="L266" t="inlineStr">
        <is>
          <t>almacenero.html</t>
        </is>
      </c>
    </row>
    <row r="267">
      <c r="A267" s="30" t="inlineStr">
        <is>
          <t>LOG-20260810-266</t>
        </is>
      </c>
      <c r="B267" s="32" t="n">
        <v>46244</v>
      </c>
      <c r="C267" t="inlineStr">
        <is>
          <t>Almacenero</t>
        </is>
      </c>
      <c r="D267" s="30" t="inlineStr">
        <is>
          <t>WBS-400</t>
        </is>
      </c>
      <c r="E267" s="30" t="inlineStr">
        <is>
          <t>MAT_AGUA</t>
        </is>
      </c>
      <c r="F267" t="inlineStr">
        <is>
          <t>AGUA PARA COMPACTACION/PRUEBAS</t>
        </is>
      </c>
      <c r="G267" t="n">
        <v>20</v>
      </c>
      <c r="H267" s="30" t="inlineStr">
        <is>
          <t>m3</t>
        </is>
      </c>
      <c r="I267">
        <f>IFERROR(VLOOKUP(E267, '05_MAESTRO_RECURSOS'!A:D, 4, FALSE), IFERROR(VLOOKUP(E267, '06_MAESTRO_PARTIDAS_EV'!B:F, 5, FALSE), 0))</f>
        <v/>
      </c>
      <c r="J267">
        <f>ROUND(G267 * I267, 2)</f>
        <v/>
      </c>
      <c r="K267" t="inlineStr">
        <is>
          <t>AC_MAT</t>
        </is>
      </c>
      <c r="L267" t="inlineStr">
        <is>
          <t>almacenero.html</t>
        </is>
      </c>
    </row>
    <row r="268">
      <c r="A268" s="30" t="inlineStr">
        <is>
          <t>LOG-20260810-267</t>
        </is>
      </c>
      <c r="B268" s="32" t="n">
        <v>46244</v>
      </c>
      <c r="C268" t="inlineStr">
        <is>
          <t>Administradora</t>
        </is>
      </c>
      <c r="D268" s="30" t="inlineStr">
        <is>
          <t>WBS-400</t>
        </is>
      </c>
      <c r="E268" s="30" t="inlineStr">
        <is>
          <t>EQ_BOMBA_PRUEBA</t>
        </is>
      </c>
      <c r="F268" t="inlineStr">
        <is>
          <t>BOMBA HIDROSTATICA PRUEBA PRESION</t>
        </is>
      </c>
      <c r="G268" t="n">
        <v>8</v>
      </c>
      <c r="H268" s="30" t="inlineStr">
        <is>
          <t>hm</t>
        </is>
      </c>
      <c r="I268">
        <f>IFERROR(VLOOKUP(E268, '05_MAESTRO_RECURSOS'!A:D, 4, FALSE), IFERROR(VLOOKUP(E268, '06_MAESTRO_PARTIDAS_EV'!B:F, 5, FALSE), 0))</f>
        <v/>
      </c>
      <c r="J268">
        <f>ROUND(G268 * I268, 2)</f>
        <v/>
      </c>
      <c r="K268" t="inlineStr">
        <is>
          <t>AC_EQP</t>
        </is>
      </c>
      <c r="L268" t="inlineStr">
        <is>
          <t>administradora.html</t>
        </is>
      </c>
    </row>
    <row r="269">
      <c r="A269" s="30" t="inlineStr">
        <is>
          <t>LOG-20260810-268</t>
        </is>
      </c>
      <c r="B269" s="32" t="n">
        <v>46244</v>
      </c>
      <c r="C269" t="inlineStr">
        <is>
          <t>Administradora</t>
        </is>
      </c>
      <c r="D269" s="30" t="inlineStr">
        <is>
          <t>WBS-400</t>
        </is>
      </c>
      <c r="E269" s="30" t="inlineStr">
        <is>
          <t>EQ_CAMION_CISTERNA</t>
        </is>
      </c>
      <c r="F269" t="inlineStr">
        <is>
          <t>CAMION CISTERNA AGUA 2000 GLN</t>
        </is>
      </c>
      <c r="G269" t="n">
        <v>8</v>
      </c>
      <c r="H269" s="30" t="inlineStr">
        <is>
          <t>hm</t>
        </is>
      </c>
      <c r="I269">
        <f>IFERROR(VLOOKUP(E269, '05_MAESTRO_RECURSOS'!A:D, 4, FALSE), IFERROR(VLOOKUP(E269, '06_MAESTRO_PARTIDAS_EV'!B:F, 5, FALSE), 0))</f>
        <v/>
      </c>
      <c r="J269">
        <f>ROUND(G269 * I269, 2)</f>
        <v/>
      </c>
      <c r="K269" t="inlineStr">
        <is>
          <t>AC_EQP</t>
        </is>
      </c>
      <c r="L269" t="inlineStr">
        <is>
          <t>administradora.html</t>
        </is>
      </c>
    </row>
    <row r="270">
      <c r="A270" s="30" t="inlineStr">
        <is>
          <t>LOG-20260810-269</t>
        </is>
      </c>
      <c r="B270" s="32" t="n">
        <v>46244</v>
      </c>
      <c r="C270" t="inlineStr">
        <is>
          <t>Ing. de Campo</t>
        </is>
      </c>
      <c r="D270" s="30" t="inlineStr">
        <is>
          <t>WBS-400</t>
        </is>
      </c>
      <c r="E270" s="30" t="inlineStr">
        <is>
          <t>01.04.01</t>
        </is>
      </c>
      <c r="F270" t="inlineStr">
        <is>
          <t>PRUEBA HIDRAULICA Y DESINFECCION DE RED DE AGUA</t>
        </is>
      </c>
      <c r="G270" t="n">
        <v>0.16</v>
      </c>
      <c r="H270" s="30" t="inlineStr">
        <is>
          <t>GLB</t>
        </is>
      </c>
      <c r="I270">
        <f>IFERROR(VLOOKUP(E270, '05_MAESTRO_RECURSOS'!A:D, 4, FALSE), IFERROR(VLOOKUP(E270, '06_MAESTRO_PARTIDAS_EV'!B:F, 5, FALSE), 0))</f>
        <v/>
      </c>
      <c r="J270">
        <f>ROUND(G270 * I270, 2)</f>
        <v/>
      </c>
      <c r="K270" t="inlineStr">
        <is>
          <t>EV_PRODUCCION</t>
        </is>
      </c>
      <c r="L270" t="inlineStr">
        <is>
          <t>ing_campo.html</t>
        </is>
      </c>
    </row>
    <row r="271">
      <c r="A271" s="30" t="inlineStr">
        <is>
          <t>LOG-20260811-270</t>
        </is>
      </c>
      <c r="B271" s="32" t="n">
        <v>46245</v>
      </c>
      <c r="C271" t="inlineStr">
        <is>
          <t>Tareador (Bildin)</t>
        </is>
      </c>
      <c r="D271" s="30" t="inlineStr">
        <is>
          <t>WBS-200</t>
        </is>
      </c>
      <c r="E271" s="30" t="inlineStr">
        <is>
          <t>MO_CAPATAZ</t>
        </is>
      </c>
      <c r="F271" t="inlineStr">
        <is>
          <t>CAPATAZ</t>
        </is>
      </c>
      <c r="G271" t="n">
        <v>8</v>
      </c>
      <c r="H271" s="30" t="inlineStr">
        <is>
          <t>hh</t>
        </is>
      </c>
      <c r="I271">
        <f>IFERROR(VLOOKUP(E271, '05_MAESTRO_RECURSOS'!A:D, 4, FALSE), IFERROR(VLOOKUP(E271, '06_MAESTRO_PARTIDAS_EV'!B:F, 5, FALSE), 0))</f>
        <v/>
      </c>
      <c r="J271">
        <f>ROUND(G271 * I271, 2)</f>
        <v/>
      </c>
      <c r="K271" t="inlineStr">
        <is>
          <t>AC_MO</t>
        </is>
      </c>
      <c r="L271" t="inlineStr">
        <is>
          <t>tareador.html</t>
        </is>
      </c>
    </row>
    <row r="272">
      <c r="A272" s="30" t="inlineStr">
        <is>
          <t>LOG-20260811-271</t>
        </is>
      </c>
      <c r="B272" s="32" t="n">
        <v>46245</v>
      </c>
      <c r="C272" t="inlineStr">
        <is>
          <t>Tareador (Bildin)</t>
        </is>
      </c>
      <c r="D272" s="30" t="inlineStr">
        <is>
          <t>WBS-200</t>
        </is>
      </c>
      <c r="E272" s="30" t="inlineStr">
        <is>
          <t>MO_OPERARIO</t>
        </is>
      </c>
      <c r="F272" t="inlineStr">
        <is>
          <t>OPERARIO</t>
        </is>
      </c>
      <c r="G272" t="n">
        <v>24</v>
      </c>
      <c r="H272" s="30" t="inlineStr">
        <is>
          <t>hh</t>
        </is>
      </c>
      <c r="I272">
        <f>IFERROR(VLOOKUP(E272, '05_MAESTRO_RECURSOS'!A:D, 4, FALSE), IFERROR(VLOOKUP(E272, '06_MAESTRO_PARTIDAS_EV'!B:F, 5, FALSE), 0))</f>
        <v/>
      </c>
      <c r="J272">
        <f>ROUND(G272 * I272, 2)</f>
        <v/>
      </c>
      <c r="K272" t="inlineStr">
        <is>
          <t>AC_MO</t>
        </is>
      </c>
      <c r="L272" t="inlineStr">
        <is>
          <t>tareador.html</t>
        </is>
      </c>
    </row>
    <row r="273">
      <c r="A273" s="30" t="inlineStr">
        <is>
          <t>LOG-20260811-272</t>
        </is>
      </c>
      <c r="B273" s="32" t="n">
        <v>46245</v>
      </c>
      <c r="C273" t="inlineStr">
        <is>
          <t>Tareador (Bildin)</t>
        </is>
      </c>
      <c r="D273" s="30" t="inlineStr">
        <is>
          <t>WBS-200</t>
        </is>
      </c>
      <c r="E273" s="30" t="inlineStr">
        <is>
          <t>MO_OFICIAL</t>
        </is>
      </c>
      <c r="F273" t="inlineStr">
        <is>
          <t>OFICIAL</t>
        </is>
      </c>
      <c r="G273" t="n">
        <v>16</v>
      </c>
      <c r="H273" s="30" t="inlineStr">
        <is>
          <t>hh</t>
        </is>
      </c>
      <c r="I273">
        <f>IFERROR(VLOOKUP(E273, '05_MAESTRO_RECURSOS'!A:D, 4, FALSE), IFERROR(VLOOKUP(E273, '06_MAESTRO_PARTIDAS_EV'!B:F, 5, FALSE), 0))</f>
        <v/>
      </c>
      <c r="J273">
        <f>ROUND(G273 * I273, 2)</f>
        <v/>
      </c>
      <c r="K273" t="inlineStr">
        <is>
          <t>AC_MO</t>
        </is>
      </c>
      <c r="L273" t="inlineStr">
        <is>
          <t>tareador.html</t>
        </is>
      </c>
    </row>
    <row r="274">
      <c r="A274" s="30" t="inlineStr">
        <is>
          <t>LOG-20260811-273</t>
        </is>
      </c>
      <c r="B274" s="32" t="n">
        <v>46245</v>
      </c>
      <c r="C274" t="inlineStr">
        <is>
          <t>Tareador (Bildin)</t>
        </is>
      </c>
      <c r="D274" s="30" t="inlineStr">
        <is>
          <t>WBS-200</t>
        </is>
      </c>
      <c r="E274" s="30" t="inlineStr">
        <is>
          <t>MO_PEON</t>
        </is>
      </c>
      <c r="F274" t="inlineStr">
        <is>
          <t>PEON</t>
        </is>
      </c>
      <c r="G274" t="n">
        <v>64</v>
      </c>
      <c r="H274" s="30" t="inlineStr">
        <is>
          <t>hh</t>
        </is>
      </c>
      <c r="I274">
        <f>IFERROR(VLOOKUP(E274, '05_MAESTRO_RECURSOS'!A:D, 4, FALSE), IFERROR(VLOOKUP(E274, '06_MAESTRO_PARTIDAS_EV'!B:F, 5, FALSE), 0))</f>
        <v/>
      </c>
      <c r="J274">
        <f>ROUND(G274 * I274, 2)</f>
        <v/>
      </c>
      <c r="K274" t="inlineStr">
        <is>
          <t>AC_MO</t>
        </is>
      </c>
      <c r="L274" t="inlineStr">
        <is>
          <t>tareador.html</t>
        </is>
      </c>
    </row>
    <row r="275">
      <c r="A275" s="30" t="inlineStr">
        <is>
          <t>LOG-20260811-274</t>
        </is>
      </c>
      <c r="B275" s="32" t="n">
        <v>46245</v>
      </c>
      <c r="C275" t="inlineStr">
        <is>
          <t>Almacenero</t>
        </is>
      </c>
      <c r="D275" s="30" t="inlineStr">
        <is>
          <t>WBS-200</t>
        </is>
      </c>
      <c r="E275" s="30" t="inlineStr">
        <is>
          <t>MAT_ARENA_CAMAS</t>
        </is>
      </c>
      <c r="F275" t="inlineStr">
        <is>
          <t>ARENA FINA SELECCIONADA PARA CAMA</t>
        </is>
      </c>
      <c r="G275" t="n">
        <v>10</v>
      </c>
      <c r="H275" s="30" t="inlineStr">
        <is>
          <t>m3</t>
        </is>
      </c>
      <c r="I275">
        <f>IFERROR(VLOOKUP(E275, '05_MAESTRO_RECURSOS'!A:D, 4, FALSE), IFERROR(VLOOKUP(E275, '06_MAESTRO_PARTIDAS_EV'!B:F, 5, FALSE), 0))</f>
        <v/>
      </c>
      <c r="J275">
        <f>ROUND(G275 * I275, 2)</f>
        <v/>
      </c>
      <c r="K275" t="inlineStr">
        <is>
          <t>AC_MAT</t>
        </is>
      </c>
      <c r="L275" t="inlineStr">
        <is>
          <t>almacenero.html</t>
        </is>
      </c>
    </row>
    <row r="276">
      <c r="A276" s="30" t="inlineStr">
        <is>
          <t>LOG-20260811-275</t>
        </is>
      </c>
      <c r="B276" s="32" t="n">
        <v>46245</v>
      </c>
      <c r="C276" t="inlineStr">
        <is>
          <t>Almacenero</t>
        </is>
      </c>
      <c r="D276" s="30" t="inlineStr">
        <is>
          <t>WBS-200</t>
        </is>
      </c>
      <c r="E276" s="30" t="inlineStr">
        <is>
          <t>MAT_TUB_PVC_200</t>
        </is>
      </c>
      <c r="F276" t="inlineStr">
        <is>
          <t>TUBERIA PVC UF DN 200MM S-20 ALCANTARILLADO</t>
        </is>
      </c>
      <c r="G276" t="n">
        <v>120</v>
      </c>
      <c r="H276" s="30" t="inlineStr">
        <is>
          <t>m</t>
        </is>
      </c>
      <c r="I276">
        <f>IFERROR(VLOOKUP(E276, '05_MAESTRO_RECURSOS'!A:D, 4, FALSE), IFERROR(VLOOKUP(E276, '06_MAESTRO_PARTIDAS_EV'!B:F, 5, FALSE), 0))</f>
        <v/>
      </c>
      <c r="J276">
        <f>ROUND(G276 * I276, 2)</f>
        <v/>
      </c>
      <c r="K276" t="inlineStr">
        <is>
          <t>AC_MAT</t>
        </is>
      </c>
      <c r="L276" t="inlineStr">
        <is>
          <t>almacenero.html</t>
        </is>
      </c>
    </row>
    <row r="277">
      <c r="A277" s="30" t="inlineStr">
        <is>
          <t>LOG-20260811-276</t>
        </is>
      </c>
      <c r="B277" s="32" t="n">
        <v>46245</v>
      </c>
      <c r="C277" t="inlineStr">
        <is>
          <t>Almacenero</t>
        </is>
      </c>
      <c r="D277" s="30" t="inlineStr">
        <is>
          <t>WBS-200</t>
        </is>
      </c>
      <c r="E277" s="30" t="inlineStr">
        <is>
          <t>MAT_LUBRICANTE</t>
        </is>
      </c>
      <c r="F277" t="inlineStr">
        <is>
          <t>LUBRICANTE PARA TUBERIA</t>
        </is>
      </c>
      <c r="G277" t="n">
        <v>2</v>
      </c>
      <c r="H277" s="30" t="inlineStr">
        <is>
          <t>kg</t>
        </is>
      </c>
      <c r="I277">
        <f>IFERROR(VLOOKUP(E277, '05_MAESTRO_RECURSOS'!A:D, 4, FALSE), IFERROR(VLOOKUP(E277, '06_MAESTRO_PARTIDAS_EV'!B:F, 5, FALSE), 0))</f>
        <v/>
      </c>
      <c r="J277">
        <f>ROUND(G277 * I277, 2)</f>
        <v/>
      </c>
      <c r="K277" t="inlineStr">
        <is>
          <t>AC_MAT</t>
        </is>
      </c>
      <c r="L277" t="inlineStr">
        <is>
          <t>almacenero.html</t>
        </is>
      </c>
    </row>
    <row r="278">
      <c r="A278" s="30" t="inlineStr">
        <is>
          <t>LOG-20260811-277</t>
        </is>
      </c>
      <c r="B278" s="32" t="n">
        <v>46245</v>
      </c>
      <c r="C278" t="inlineStr">
        <is>
          <t>Almacenero</t>
        </is>
      </c>
      <c r="D278" s="30" t="inlineStr">
        <is>
          <t>WBS-200</t>
        </is>
      </c>
      <c r="E278" s="30" t="inlineStr">
        <is>
          <t>MAT_BUZON_PREF</t>
        </is>
      </c>
      <c r="F278" t="inlineStr">
        <is>
          <t>BUZON PREFABRICADO CONCRETO</t>
        </is>
      </c>
      <c r="G278" t="n">
        <v>1</v>
      </c>
      <c r="H278" s="30" t="inlineStr">
        <is>
          <t>und</t>
        </is>
      </c>
      <c r="I278">
        <f>IFERROR(VLOOKUP(E278, '05_MAESTRO_RECURSOS'!A:D, 4, FALSE), IFERROR(VLOOKUP(E278, '06_MAESTRO_PARTIDAS_EV'!B:F, 5, FALSE), 0))</f>
        <v/>
      </c>
      <c r="J278">
        <f>ROUND(G278 * I278, 2)</f>
        <v/>
      </c>
      <c r="K278" t="inlineStr">
        <is>
          <t>AC_MAT</t>
        </is>
      </c>
      <c r="L278" t="inlineStr">
        <is>
          <t>almacenero.html</t>
        </is>
      </c>
    </row>
    <row r="279">
      <c r="A279" s="30" t="inlineStr">
        <is>
          <t>LOG-20260811-278</t>
        </is>
      </c>
      <c r="B279" s="32" t="n">
        <v>46245</v>
      </c>
      <c r="C279" t="inlineStr">
        <is>
          <t>Administradora</t>
        </is>
      </c>
      <c r="D279" s="30" t="inlineStr">
        <is>
          <t>WBS-200</t>
        </is>
      </c>
      <c r="E279" s="30" t="inlineStr">
        <is>
          <t>EQ_CAMION_GRUAN</t>
        </is>
      </c>
      <c r="F279" t="inlineStr">
        <is>
          <t>CAMION GRUA 5 TN MONTAJE BUZONES</t>
        </is>
      </c>
      <c r="G279" t="n">
        <v>4</v>
      </c>
      <c r="H279" s="30" t="inlineStr">
        <is>
          <t>hm</t>
        </is>
      </c>
      <c r="I279">
        <f>IFERROR(VLOOKUP(E279, '05_MAESTRO_RECURSOS'!A:D, 4, FALSE), IFERROR(VLOOKUP(E279, '06_MAESTRO_PARTIDAS_EV'!B:F, 5, FALSE), 0))</f>
        <v/>
      </c>
      <c r="J279">
        <f>ROUND(G279 * I279, 2)</f>
        <v/>
      </c>
      <c r="K279" t="inlineStr">
        <is>
          <t>AC_EQP</t>
        </is>
      </c>
      <c r="L279" t="inlineStr">
        <is>
          <t>administradora.html</t>
        </is>
      </c>
    </row>
    <row r="280">
      <c r="A280" s="30" t="inlineStr">
        <is>
          <t>LOG-20260811-279</t>
        </is>
      </c>
      <c r="B280" s="32" t="n">
        <v>46245</v>
      </c>
      <c r="C280" t="inlineStr">
        <is>
          <t>Administradora</t>
        </is>
      </c>
      <c r="D280" s="30" t="inlineStr">
        <is>
          <t>WBS-200</t>
        </is>
      </c>
      <c r="E280" s="30" t="inlineStr">
        <is>
          <t>SUB_MONTAJE_BUZON</t>
        </is>
      </c>
      <c r="F280" t="inlineStr">
        <is>
          <t>SUBCONTRATO MONTAJE BUZONES</t>
        </is>
      </c>
      <c r="G280" t="n">
        <v>1</v>
      </c>
      <c r="H280" s="30" t="inlineStr">
        <is>
          <t>und</t>
        </is>
      </c>
      <c r="I280">
        <f>IFERROR(VLOOKUP(E280, '05_MAESTRO_RECURSOS'!A:D, 4, FALSE), IFERROR(VLOOKUP(E280, '06_MAESTRO_PARTIDAS_EV'!B:F, 5, FALSE), 0))</f>
        <v/>
      </c>
      <c r="J280">
        <f>ROUND(G280 * I280, 2)</f>
        <v/>
      </c>
      <c r="K280" t="inlineStr">
        <is>
          <t>AC_SUB</t>
        </is>
      </c>
      <c r="L280" t="inlineStr">
        <is>
          <t>administradora.html</t>
        </is>
      </c>
    </row>
    <row r="281">
      <c r="A281" s="30" t="inlineStr">
        <is>
          <t>LOG-20260811-280</t>
        </is>
      </c>
      <c r="B281" s="32" t="n">
        <v>46245</v>
      </c>
      <c r="C281" t="inlineStr">
        <is>
          <t>Ing. de Campo</t>
        </is>
      </c>
      <c r="D281" s="30" t="inlineStr">
        <is>
          <t>WBS-200</t>
        </is>
      </c>
      <c r="E281" s="30" t="inlineStr">
        <is>
          <t>01.02.06</t>
        </is>
      </c>
      <c r="F281" t="inlineStr">
        <is>
          <t>CONSTRUCCION DE BUZONES PREFABRICADOS H=1.5 A 2.5M</t>
        </is>
      </c>
      <c r="G281" t="n">
        <v>1</v>
      </c>
      <c r="H281" s="30" t="inlineStr">
        <is>
          <t>UND</t>
        </is>
      </c>
      <c r="I281">
        <f>IFERROR(VLOOKUP(E281, '05_MAESTRO_RECURSOS'!A:D, 4, FALSE), IFERROR(VLOOKUP(E281, '06_MAESTRO_PARTIDAS_EV'!B:F, 5, FALSE), 0))</f>
        <v/>
      </c>
      <c r="J281">
        <f>ROUND(G281 * I281, 2)</f>
        <v/>
      </c>
      <c r="K281" t="inlineStr">
        <is>
          <t>EV_PRODUCCION</t>
        </is>
      </c>
      <c r="L281" t="inlineStr">
        <is>
          <t>ing_campo.html</t>
        </is>
      </c>
    </row>
    <row r="282">
      <c r="A282" s="30" t="inlineStr">
        <is>
          <t>LOG-20260811-281</t>
        </is>
      </c>
      <c r="B282" s="32" t="n">
        <v>46245</v>
      </c>
      <c r="C282" t="inlineStr">
        <is>
          <t>Almacenero</t>
        </is>
      </c>
      <c r="D282" s="30" t="inlineStr">
        <is>
          <t>WBS-200</t>
        </is>
      </c>
      <c r="E282" s="30" t="inlineStr">
        <is>
          <t>MAT_CAJA_REGISTRO</t>
        </is>
      </c>
      <c r="F282" t="inlineStr">
        <is>
          <t>CAJA REGISTRO CONCRETO 12X24</t>
        </is>
      </c>
      <c r="G282" t="n">
        <v>3</v>
      </c>
      <c r="H282" s="30" t="inlineStr">
        <is>
          <t>und</t>
        </is>
      </c>
      <c r="I282">
        <f>IFERROR(VLOOKUP(E282, '05_MAESTRO_RECURSOS'!A:D, 4, FALSE), IFERROR(VLOOKUP(E282, '06_MAESTRO_PARTIDAS_EV'!B:F, 5, FALSE), 0))</f>
        <v/>
      </c>
      <c r="J282">
        <f>ROUND(G282 * I282, 2)</f>
        <v/>
      </c>
      <c r="K282" t="inlineStr">
        <is>
          <t>AC_MAT</t>
        </is>
      </c>
      <c r="L282" t="inlineStr">
        <is>
          <t>almacenero.html</t>
        </is>
      </c>
    </row>
    <row r="283">
      <c r="A283" s="30" t="inlineStr">
        <is>
          <t>LOG-20260811-282</t>
        </is>
      </c>
      <c r="B283" s="32" t="n">
        <v>46245</v>
      </c>
      <c r="C283" t="inlineStr">
        <is>
          <t>Almacenero</t>
        </is>
      </c>
      <c r="D283" s="30" t="inlineStr">
        <is>
          <t>WBS-200</t>
        </is>
      </c>
      <c r="E283" s="30" t="inlineStr">
        <is>
          <t>MAT_TUB_PVC_160_CONEX</t>
        </is>
      </c>
      <c r="F283" t="inlineStr">
        <is>
          <t>TUBERIA PVC SAL 160MM ACOMETIDA</t>
        </is>
      </c>
      <c r="G283" t="n">
        <v>18</v>
      </c>
      <c r="H283" s="30" t="inlineStr">
        <is>
          <t>m</t>
        </is>
      </c>
      <c r="I283">
        <f>IFERROR(VLOOKUP(E283, '05_MAESTRO_RECURSOS'!A:D, 4, FALSE), IFERROR(VLOOKUP(E283, '06_MAESTRO_PARTIDAS_EV'!B:F, 5, FALSE), 0))</f>
        <v/>
      </c>
      <c r="J283">
        <f>ROUND(G283 * I283, 2)</f>
        <v/>
      </c>
      <c r="K283" t="inlineStr">
        <is>
          <t>AC_MAT</t>
        </is>
      </c>
      <c r="L283" t="inlineStr">
        <is>
          <t>almacenero.html</t>
        </is>
      </c>
    </row>
    <row r="284">
      <c r="A284" s="30" t="inlineStr">
        <is>
          <t>LOG-20260811-283</t>
        </is>
      </c>
      <c r="B284" s="32" t="n">
        <v>46245</v>
      </c>
      <c r="C284" t="inlineStr">
        <is>
          <t>Administradora</t>
        </is>
      </c>
      <c r="D284" s="30" t="inlineStr">
        <is>
          <t>WBS-200</t>
        </is>
      </c>
      <c r="E284" s="30" t="inlineStr">
        <is>
          <t>SUB_ENSAYOS_COMPAC</t>
        </is>
      </c>
      <c r="F284" t="inlineStr">
        <is>
          <t>SUBCONTRATO DENSIDADES PROCTOR</t>
        </is>
      </c>
      <c r="G284" t="n">
        <v>2</v>
      </c>
      <c r="H284" s="30" t="inlineStr">
        <is>
          <t>und</t>
        </is>
      </c>
      <c r="I284">
        <f>IFERROR(VLOOKUP(E284, '05_MAESTRO_RECURSOS'!A:D, 4, FALSE), IFERROR(VLOOKUP(E284, '06_MAESTRO_PARTIDAS_EV'!B:F, 5, FALSE), 0))</f>
        <v/>
      </c>
      <c r="J284">
        <f>ROUND(G284 * I284, 2)</f>
        <v/>
      </c>
      <c r="K284" t="inlineStr">
        <is>
          <t>AC_SUB</t>
        </is>
      </c>
      <c r="L284" t="inlineStr">
        <is>
          <t>administradora.html</t>
        </is>
      </c>
    </row>
    <row r="285">
      <c r="A285" s="30" t="inlineStr">
        <is>
          <t>LOG-20260811-284</t>
        </is>
      </c>
      <c r="B285" s="32" t="n">
        <v>46245</v>
      </c>
      <c r="C285" t="inlineStr">
        <is>
          <t>Ing. de Campo</t>
        </is>
      </c>
      <c r="D285" s="30" t="inlineStr">
        <is>
          <t>WBS-200</t>
        </is>
      </c>
      <c r="E285" s="30" t="inlineStr">
        <is>
          <t>01.02.07</t>
        </is>
      </c>
      <c r="F285" t="inlineStr">
        <is>
          <t>CONEXIONES DOMICILIARIAS ALCANTARILLADO DN 160MM</t>
        </is>
      </c>
      <c r="G285" t="n">
        <v>3</v>
      </c>
      <c r="H285" s="30" t="inlineStr">
        <is>
          <t>UND</t>
        </is>
      </c>
      <c r="I285">
        <f>IFERROR(VLOOKUP(E285, '05_MAESTRO_RECURSOS'!A:D, 4, FALSE), IFERROR(VLOOKUP(E285, '06_MAESTRO_PARTIDAS_EV'!B:F, 5, FALSE), 0))</f>
        <v/>
      </c>
      <c r="J285">
        <f>ROUND(G285 * I285, 2)</f>
        <v/>
      </c>
      <c r="K285" t="inlineStr">
        <is>
          <t>EV_PRODUCCION</t>
        </is>
      </c>
      <c r="L285" t="inlineStr">
        <is>
          <t>ing_campo.html</t>
        </is>
      </c>
    </row>
    <row r="286">
      <c r="A286" s="30" t="inlineStr">
        <is>
          <t>LOG-20260811-285</t>
        </is>
      </c>
      <c r="B286" s="32" t="n">
        <v>46245</v>
      </c>
      <c r="C286" t="inlineStr">
        <is>
          <t>Administradora</t>
        </is>
      </c>
      <c r="D286" s="30" t="inlineStr">
        <is>
          <t>WBS-200</t>
        </is>
      </c>
      <c r="E286" s="30" t="inlineStr">
        <is>
          <t>EQ_EXCAVADORA</t>
        </is>
      </c>
      <c r="F286" t="inlineStr">
        <is>
          <t>EXCAVADORA ORUGAS 140 HP</t>
        </is>
      </c>
      <c r="G286" t="n">
        <v>8</v>
      </c>
      <c r="H286" s="30" t="inlineStr">
        <is>
          <t>hm</t>
        </is>
      </c>
      <c r="I286">
        <f>IFERROR(VLOOKUP(E286, '05_MAESTRO_RECURSOS'!A:D, 4, FALSE), IFERROR(VLOOKUP(E286, '06_MAESTRO_PARTIDAS_EV'!B:F, 5, FALSE), 0))</f>
        <v/>
      </c>
      <c r="J286">
        <f>ROUND(G286 * I286, 2)</f>
        <v/>
      </c>
      <c r="K286" t="inlineStr">
        <is>
          <t>AC_EQP</t>
        </is>
      </c>
      <c r="L286" t="inlineStr">
        <is>
          <t>administradora.html</t>
        </is>
      </c>
    </row>
    <row r="287">
      <c r="A287" s="30" t="inlineStr">
        <is>
          <t>LOG-20260811-286</t>
        </is>
      </c>
      <c r="B287" s="32" t="n">
        <v>46245</v>
      </c>
      <c r="C287" t="inlineStr">
        <is>
          <t>Administradora</t>
        </is>
      </c>
      <c r="D287" s="30" t="inlineStr">
        <is>
          <t>WBS-200</t>
        </is>
      </c>
      <c r="E287" s="30" t="inlineStr">
        <is>
          <t>EQ_PLANCHA</t>
        </is>
      </c>
      <c r="F287" t="inlineStr">
        <is>
          <t>PLANCHA COMPACTADORA 7 HP</t>
        </is>
      </c>
      <c r="G287" t="n">
        <v>8</v>
      </c>
      <c r="H287" s="30" t="inlineStr">
        <is>
          <t>hm</t>
        </is>
      </c>
      <c r="I287">
        <f>IFERROR(VLOOKUP(E287, '05_MAESTRO_RECURSOS'!A:D, 4, FALSE), IFERROR(VLOOKUP(E287, '06_MAESTRO_PARTIDAS_EV'!B:F, 5, FALSE), 0))</f>
        <v/>
      </c>
      <c r="J287">
        <f>ROUND(G287 * I287, 2)</f>
        <v/>
      </c>
      <c r="K287" t="inlineStr">
        <is>
          <t>AC_EQP</t>
        </is>
      </c>
      <c r="L287" t="inlineStr">
        <is>
          <t>administradora.html</t>
        </is>
      </c>
    </row>
    <row r="288">
      <c r="A288" s="30" t="inlineStr">
        <is>
          <t>LOG-20260811-287</t>
        </is>
      </c>
      <c r="B288" s="32" t="n">
        <v>46245</v>
      </c>
      <c r="C288" t="inlineStr">
        <is>
          <t>Administradora</t>
        </is>
      </c>
      <c r="D288" s="30" t="inlineStr">
        <is>
          <t>WBS-200</t>
        </is>
      </c>
      <c r="E288" s="30" t="inlineStr">
        <is>
          <t>EQ_RODILLO_CAMINANTE</t>
        </is>
      </c>
      <c r="F288" t="inlineStr">
        <is>
          <t>RODILLO VIBRATORIO 1.5 TN</t>
        </is>
      </c>
      <c r="G288" t="n">
        <v>8</v>
      </c>
      <c r="H288" s="30" t="inlineStr">
        <is>
          <t>hm</t>
        </is>
      </c>
      <c r="I288">
        <f>IFERROR(VLOOKUP(E288, '05_MAESTRO_RECURSOS'!A:D, 4, FALSE), IFERROR(VLOOKUP(E288, '06_MAESTRO_PARTIDAS_EV'!B:F, 5, FALSE), 0))</f>
        <v/>
      </c>
      <c r="J288">
        <f>ROUND(G288 * I288, 2)</f>
        <v/>
      </c>
      <c r="K288" t="inlineStr">
        <is>
          <t>AC_EQP</t>
        </is>
      </c>
      <c r="L288" t="inlineStr">
        <is>
          <t>administradora.html</t>
        </is>
      </c>
    </row>
    <row r="289">
      <c r="A289" s="30" t="inlineStr">
        <is>
          <t>LOG-20260811-288</t>
        </is>
      </c>
      <c r="B289" s="32" t="n">
        <v>46245</v>
      </c>
      <c r="C289" t="inlineStr">
        <is>
          <t>Ing. de Campo</t>
        </is>
      </c>
      <c r="D289" s="30" t="inlineStr">
        <is>
          <t>WBS-200</t>
        </is>
      </c>
      <c r="E289" s="30" t="inlineStr">
        <is>
          <t>01.02.02</t>
        </is>
      </c>
      <c r="F289" t="inlineStr">
        <is>
          <t>EXCAVACION DE ZANJA C/MAQUINA EN T. SEMIROCOSO</t>
        </is>
      </c>
      <c r="G289" t="n">
        <v>150</v>
      </c>
      <c r="H289" s="30" t="inlineStr">
        <is>
          <t>M3</t>
        </is>
      </c>
      <c r="I289">
        <f>IFERROR(VLOOKUP(E289, '05_MAESTRO_RECURSOS'!A:D, 4, FALSE), IFERROR(VLOOKUP(E289, '06_MAESTRO_PARTIDAS_EV'!B:F, 5, FALSE), 0))</f>
        <v/>
      </c>
      <c r="J289">
        <f>ROUND(G289 * I289, 2)</f>
        <v/>
      </c>
      <c r="K289" t="inlineStr">
        <is>
          <t>EV_PRODUCCION</t>
        </is>
      </c>
      <c r="L289" t="inlineStr">
        <is>
          <t>ing_campo.html</t>
        </is>
      </c>
    </row>
    <row r="290">
      <c r="A290" s="30" t="inlineStr">
        <is>
          <t>LOG-20260811-289</t>
        </is>
      </c>
      <c r="B290" s="32" t="n">
        <v>46245</v>
      </c>
      <c r="C290" t="inlineStr">
        <is>
          <t>Ing. de Campo</t>
        </is>
      </c>
      <c r="D290" s="30" t="inlineStr">
        <is>
          <t>WBS-200</t>
        </is>
      </c>
      <c r="E290" s="30" t="inlineStr">
        <is>
          <t>01.02.03</t>
        </is>
      </c>
      <c r="F290" t="inlineStr">
        <is>
          <t>CAMA DE APOYO H=0.10 M CON ARENA SELECCIONADA</t>
        </is>
      </c>
      <c r="G290" t="n">
        <v>120</v>
      </c>
      <c r="H290" s="30" t="inlineStr">
        <is>
          <t>M</t>
        </is>
      </c>
      <c r="I290">
        <f>IFERROR(VLOOKUP(E290, '05_MAESTRO_RECURSOS'!A:D, 4, FALSE), IFERROR(VLOOKUP(E290, '06_MAESTRO_PARTIDAS_EV'!B:F, 5, FALSE), 0))</f>
        <v/>
      </c>
      <c r="J290">
        <f>ROUND(G290 * I290, 2)</f>
        <v/>
      </c>
      <c r="K290" t="inlineStr">
        <is>
          <t>EV_PRODUCCION</t>
        </is>
      </c>
      <c r="L290" t="inlineStr">
        <is>
          <t>ing_campo.html</t>
        </is>
      </c>
    </row>
    <row r="291">
      <c r="A291" s="30" t="inlineStr">
        <is>
          <t>LOG-20260811-290</t>
        </is>
      </c>
      <c r="B291" s="32" t="n">
        <v>46245</v>
      </c>
      <c r="C291" t="inlineStr">
        <is>
          <t>Ing. de Campo</t>
        </is>
      </c>
      <c r="D291" s="30" t="inlineStr">
        <is>
          <t>WBS-200</t>
        </is>
      </c>
      <c r="E291" s="30" t="inlineStr">
        <is>
          <t>01.02.04</t>
        </is>
      </c>
      <c r="F291" t="inlineStr">
        <is>
          <t>SUMINISTRO E INSTALACION DE TUBERIA PVC DN 200MM S-20</t>
        </is>
      </c>
      <c r="G291" t="n">
        <v>120</v>
      </c>
      <c r="H291" s="30" t="inlineStr">
        <is>
          <t>M</t>
        </is>
      </c>
      <c r="I291">
        <f>IFERROR(VLOOKUP(E291, '05_MAESTRO_RECURSOS'!A:D, 4, FALSE), IFERROR(VLOOKUP(E291, '06_MAESTRO_PARTIDAS_EV'!B:F, 5, FALSE), 0))</f>
        <v/>
      </c>
      <c r="J291">
        <f>ROUND(G291 * I291, 2)</f>
        <v/>
      </c>
      <c r="K291" t="inlineStr">
        <is>
          <t>EV_PRODUCCION</t>
        </is>
      </c>
      <c r="L291" t="inlineStr">
        <is>
          <t>ing_campo.html</t>
        </is>
      </c>
    </row>
    <row r="292">
      <c r="A292" s="30" t="inlineStr">
        <is>
          <t>LOG-20260811-291</t>
        </is>
      </c>
      <c r="B292" s="32" t="n">
        <v>46245</v>
      </c>
      <c r="C292" t="inlineStr">
        <is>
          <t>Ing. de Campo</t>
        </is>
      </c>
      <c r="D292" s="30" t="inlineStr">
        <is>
          <t>WBS-200</t>
        </is>
      </c>
      <c r="E292" s="30" t="inlineStr">
        <is>
          <t>01.02.05</t>
        </is>
      </c>
      <c r="F292" t="inlineStr">
        <is>
          <t>RELLENO COMPACTADO DE ZANJA C/MATERIAL PRESTAMO</t>
        </is>
      </c>
      <c r="G292" t="n">
        <v>120</v>
      </c>
      <c r="H292" s="30" t="inlineStr">
        <is>
          <t>M</t>
        </is>
      </c>
      <c r="I292">
        <f>IFERROR(VLOOKUP(E292, '05_MAESTRO_RECURSOS'!A:D, 4, FALSE), IFERROR(VLOOKUP(E292, '06_MAESTRO_PARTIDAS_EV'!B:F, 5, FALSE), 0))</f>
        <v/>
      </c>
      <c r="J292">
        <f>ROUND(G292 * I292, 2)</f>
        <v/>
      </c>
      <c r="K292" t="inlineStr">
        <is>
          <t>EV_PRODUCCION</t>
        </is>
      </c>
      <c r="L292" t="inlineStr">
        <is>
          <t>ing_campo.html</t>
        </is>
      </c>
    </row>
    <row r="293">
      <c r="A293" s="30" t="inlineStr">
        <is>
          <t>LOG-20260811-292</t>
        </is>
      </c>
      <c r="B293" s="32" t="n">
        <v>46245</v>
      </c>
      <c r="C293" t="inlineStr">
        <is>
          <t>Tareador (Bildin)</t>
        </is>
      </c>
      <c r="D293" s="30" t="inlineStr">
        <is>
          <t>WBS-300</t>
        </is>
      </c>
      <c r="E293" s="30" t="inlineStr">
        <is>
          <t>MO_CAPATAZ</t>
        </is>
      </c>
      <c r="F293" t="inlineStr">
        <is>
          <t>CAPATAZ</t>
        </is>
      </c>
      <c r="G293" t="n">
        <v>4</v>
      </c>
      <c r="H293" s="30" t="inlineStr">
        <is>
          <t>hh</t>
        </is>
      </c>
      <c r="I293">
        <f>IFERROR(VLOOKUP(E293, '05_MAESTRO_RECURSOS'!A:D, 4, FALSE), IFERROR(VLOOKUP(E293, '06_MAESTRO_PARTIDAS_EV'!B:F, 5, FALSE), 0))</f>
        <v/>
      </c>
      <c r="J293">
        <f>ROUND(G293 * I293, 2)</f>
        <v/>
      </c>
      <c r="K293" t="inlineStr">
        <is>
          <t>AC_MO</t>
        </is>
      </c>
      <c r="L293" t="inlineStr">
        <is>
          <t>tareador.html</t>
        </is>
      </c>
    </row>
    <row r="294">
      <c r="A294" s="30" t="inlineStr">
        <is>
          <t>LOG-20260811-293</t>
        </is>
      </c>
      <c r="B294" s="32" t="n">
        <v>46245</v>
      </c>
      <c r="C294" t="inlineStr">
        <is>
          <t>Tareador (Bildin)</t>
        </is>
      </c>
      <c r="D294" s="30" t="inlineStr">
        <is>
          <t>WBS-300</t>
        </is>
      </c>
      <c r="E294" s="30" t="inlineStr">
        <is>
          <t>MO_OPERARIO</t>
        </is>
      </c>
      <c r="F294" t="inlineStr">
        <is>
          <t>OPERARIO</t>
        </is>
      </c>
      <c r="G294" t="n">
        <v>16</v>
      </c>
      <c r="H294" s="30" t="inlineStr">
        <is>
          <t>hh</t>
        </is>
      </c>
      <c r="I294">
        <f>IFERROR(VLOOKUP(E294, '05_MAESTRO_RECURSOS'!A:D, 4, FALSE), IFERROR(VLOOKUP(E294, '06_MAESTRO_PARTIDAS_EV'!B:F, 5, FALSE), 0))</f>
        <v/>
      </c>
      <c r="J294">
        <f>ROUND(G294 * I294, 2)</f>
        <v/>
      </c>
      <c r="K294" t="inlineStr">
        <is>
          <t>AC_MO</t>
        </is>
      </c>
      <c r="L294" t="inlineStr">
        <is>
          <t>tareador.html</t>
        </is>
      </c>
    </row>
    <row r="295">
      <c r="A295" s="30" t="inlineStr">
        <is>
          <t>LOG-20260811-294</t>
        </is>
      </c>
      <c r="B295" s="32" t="n">
        <v>46245</v>
      </c>
      <c r="C295" t="inlineStr">
        <is>
          <t>Tareador (Bildin)</t>
        </is>
      </c>
      <c r="D295" s="30" t="inlineStr">
        <is>
          <t>WBS-300</t>
        </is>
      </c>
      <c r="E295" s="30" t="inlineStr">
        <is>
          <t>MO_PEON</t>
        </is>
      </c>
      <c r="F295" t="inlineStr">
        <is>
          <t>PEON</t>
        </is>
      </c>
      <c r="G295" t="n">
        <v>32</v>
      </c>
      <c r="H295" s="30" t="inlineStr">
        <is>
          <t>hh</t>
        </is>
      </c>
      <c r="I295">
        <f>IFERROR(VLOOKUP(E295, '05_MAESTRO_RECURSOS'!A:D, 4, FALSE), IFERROR(VLOOKUP(E295, '06_MAESTRO_PARTIDAS_EV'!B:F, 5, FALSE), 0))</f>
        <v/>
      </c>
      <c r="J295">
        <f>ROUND(G295 * I295, 2)</f>
        <v/>
      </c>
      <c r="K295" t="inlineStr">
        <is>
          <t>AC_MO</t>
        </is>
      </c>
      <c r="L295" t="inlineStr">
        <is>
          <t>tareador.html</t>
        </is>
      </c>
    </row>
    <row r="296">
      <c r="A296" s="30" t="inlineStr">
        <is>
          <t>LOG-20260811-295</t>
        </is>
      </c>
      <c r="B296" s="32" t="n">
        <v>46245</v>
      </c>
      <c r="C296" t="inlineStr">
        <is>
          <t>Almacenero</t>
        </is>
      </c>
      <c r="D296" s="30" t="inlineStr">
        <is>
          <t>WBS-300</t>
        </is>
      </c>
      <c r="E296" s="30" t="inlineStr">
        <is>
          <t>MAT_TUB_PVC_110_AGUA</t>
        </is>
      </c>
      <c r="F296" t="inlineStr">
        <is>
          <t>TUBERIA PVC C-10 DN 110MM AGUA</t>
        </is>
      </c>
      <c r="G296" t="n">
        <v>150</v>
      </c>
      <c r="H296" s="30" t="inlineStr">
        <is>
          <t>m</t>
        </is>
      </c>
      <c r="I296">
        <f>IFERROR(VLOOKUP(E296, '05_MAESTRO_RECURSOS'!A:D, 4, FALSE), IFERROR(VLOOKUP(E296, '06_MAESTRO_PARTIDAS_EV'!B:F, 5, FALSE), 0))</f>
        <v/>
      </c>
      <c r="J296">
        <f>ROUND(G296 * I296, 2)</f>
        <v/>
      </c>
      <c r="K296" t="inlineStr">
        <is>
          <t>AC_MAT</t>
        </is>
      </c>
      <c r="L296" t="inlineStr">
        <is>
          <t>almacenero.html</t>
        </is>
      </c>
    </row>
    <row r="297">
      <c r="A297" s="30" t="inlineStr">
        <is>
          <t>LOG-20260811-296</t>
        </is>
      </c>
      <c r="B297" s="32" t="n">
        <v>46245</v>
      </c>
      <c r="C297" t="inlineStr">
        <is>
          <t>Almacenero</t>
        </is>
      </c>
      <c r="D297" s="30" t="inlineStr">
        <is>
          <t>WBS-300</t>
        </is>
      </c>
      <c r="E297" s="30" t="inlineStr">
        <is>
          <t>MAT_ACCESORIOS_AGUA</t>
        </is>
      </c>
      <c r="F297" t="inlineStr">
        <is>
          <t>ACCESORIOS PVC AGUA 110MM</t>
        </is>
      </c>
      <c r="G297" t="n">
        <v>1</v>
      </c>
      <c r="H297" s="30" t="inlineStr">
        <is>
          <t>glb</t>
        </is>
      </c>
      <c r="I297">
        <f>IFERROR(VLOOKUP(E297, '05_MAESTRO_RECURSOS'!A:D, 4, FALSE), IFERROR(VLOOKUP(E297, '06_MAESTRO_PARTIDAS_EV'!B:F, 5, FALSE), 0))</f>
        <v/>
      </c>
      <c r="J297">
        <f>ROUND(G297 * I297, 2)</f>
        <v/>
      </c>
      <c r="K297" t="inlineStr">
        <is>
          <t>AC_MAT</t>
        </is>
      </c>
      <c r="L297" t="inlineStr">
        <is>
          <t>almacenero.html</t>
        </is>
      </c>
    </row>
    <row r="298">
      <c r="A298" s="30" t="inlineStr">
        <is>
          <t>LOG-20260811-297</t>
        </is>
      </c>
      <c r="B298" s="32" t="n">
        <v>46245</v>
      </c>
      <c r="C298" t="inlineStr">
        <is>
          <t>Almacenero</t>
        </is>
      </c>
      <c r="D298" s="30" t="inlineStr">
        <is>
          <t>WBS-300</t>
        </is>
      </c>
      <c r="E298" s="30" t="inlineStr">
        <is>
          <t>MAT_CAJA_AGUA</t>
        </is>
      </c>
      <c r="F298" t="inlineStr">
        <is>
          <t>CAJA TERMOFORMADA AGUA + MEDIDOR</t>
        </is>
      </c>
      <c r="G298" t="n">
        <v>5</v>
      </c>
      <c r="H298" s="30" t="inlineStr">
        <is>
          <t>und</t>
        </is>
      </c>
      <c r="I298">
        <f>IFERROR(VLOOKUP(E298, '05_MAESTRO_RECURSOS'!A:D, 4, FALSE), IFERROR(VLOOKUP(E298, '06_MAESTRO_PARTIDAS_EV'!B:F, 5, FALSE), 0))</f>
        <v/>
      </c>
      <c r="J298">
        <f>ROUND(G298 * I298, 2)</f>
        <v/>
      </c>
      <c r="K298" t="inlineStr">
        <is>
          <t>AC_MAT</t>
        </is>
      </c>
      <c r="L298" t="inlineStr">
        <is>
          <t>almacenero.html</t>
        </is>
      </c>
    </row>
    <row r="299">
      <c r="A299" s="30" t="inlineStr">
        <is>
          <t>LOG-20260811-298</t>
        </is>
      </c>
      <c r="B299" s="32" t="n">
        <v>46245</v>
      </c>
      <c r="C299" t="inlineStr">
        <is>
          <t>Almacenero</t>
        </is>
      </c>
      <c r="D299" s="30" t="inlineStr">
        <is>
          <t>WBS-300</t>
        </is>
      </c>
      <c r="E299" s="30" t="inlineStr">
        <is>
          <t>MAT_TUB_HDPE_1_2</t>
        </is>
      </c>
      <c r="F299" t="inlineStr">
        <is>
          <t>TUBERIA HDPE 1/2 ACOMETIDA AGUA</t>
        </is>
      </c>
      <c r="G299" t="n">
        <v>30</v>
      </c>
      <c r="H299" s="30" t="inlineStr">
        <is>
          <t>m</t>
        </is>
      </c>
      <c r="I299">
        <f>IFERROR(VLOOKUP(E299, '05_MAESTRO_RECURSOS'!A:D, 4, FALSE), IFERROR(VLOOKUP(E299, '06_MAESTRO_PARTIDAS_EV'!B:F, 5, FALSE), 0))</f>
        <v/>
      </c>
      <c r="J299">
        <f>ROUND(G299 * I299, 2)</f>
        <v/>
      </c>
      <c r="K299" t="inlineStr">
        <is>
          <t>AC_MAT</t>
        </is>
      </c>
      <c r="L299" t="inlineStr">
        <is>
          <t>almacenero.html</t>
        </is>
      </c>
    </row>
    <row r="300">
      <c r="A300" s="30" t="inlineStr">
        <is>
          <t>LOG-20260811-299</t>
        </is>
      </c>
      <c r="B300" s="32" t="n">
        <v>46245</v>
      </c>
      <c r="C300" t="inlineStr">
        <is>
          <t>Ing. de Campo</t>
        </is>
      </c>
      <c r="D300" s="30" t="inlineStr">
        <is>
          <t>WBS-300</t>
        </is>
      </c>
      <c r="E300" s="30" t="inlineStr">
        <is>
          <t>01.03.02</t>
        </is>
      </c>
      <c r="F300" t="inlineStr">
        <is>
          <t>CONEXIONES DOMICILIARIAS AGUA POTABLE</t>
        </is>
      </c>
      <c r="G300" t="n">
        <v>5</v>
      </c>
      <c r="H300" s="30" t="inlineStr">
        <is>
          <t>UND</t>
        </is>
      </c>
      <c r="I300">
        <f>IFERROR(VLOOKUP(E300, '05_MAESTRO_RECURSOS'!A:D, 4, FALSE), IFERROR(VLOOKUP(E300, '06_MAESTRO_PARTIDAS_EV'!B:F, 5, FALSE), 0))</f>
        <v/>
      </c>
      <c r="J300">
        <f>ROUND(G300 * I300, 2)</f>
        <v/>
      </c>
      <c r="K300" t="inlineStr">
        <is>
          <t>EV_PRODUCCION</t>
        </is>
      </c>
      <c r="L300" t="inlineStr">
        <is>
          <t>ing_campo.html</t>
        </is>
      </c>
    </row>
    <row r="301">
      <c r="A301" s="30" t="inlineStr">
        <is>
          <t>LOG-20260811-300</t>
        </is>
      </c>
      <c r="B301" s="32" t="n">
        <v>46245</v>
      </c>
      <c r="C301" t="inlineStr">
        <is>
          <t>Administradora</t>
        </is>
      </c>
      <c r="D301" s="30" t="inlineStr">
        <is>
          <t>WBS-300</t>
        </is>
      </c>
      <c r="E301" s="30" t="inlineStr">
        <is>
          <t>EQ_RETROEXCAVADORA</t>
        </is>
      </c>
      <c r="F301" t="inlineStr">
        <is>
          <t>RETROEXCAVADORA LLANTAS 62 HP</t>
        </is>
      </c>
      <c r="G301" t="n">
        <v>8</v>
      </c>
      <c r="H301" s="30" t="inlineStr">
        <is>
          <t>hm</t>
        </is>
      </c>
      <c r="I301">
        <f>IFERROR(VLOOKUP(E301, '05_MAESTRO_RECURSOS'!A:D, 4, FALSE), IFERROR(VLOOKUP(E301, '06_MAESTRO_PARTIDAS_EV'!B:F, 5, FALSE), 0))</f>
        <v/>
      </c>
      <c r="J301">
        <f>ROUND(G301 * I301, 2)</f>
        <v/>
      </c>
      <c r="K301" t="inlineStr">
        <is>
          <t>AC_EQP</t>
        </is>
      </c>
      <c r="L301" t="inlineStr">
        <is>
          <t>administradora.html</t>
        </is>
      </c>
    </row>
    <row r="302">
      <c r="A302" s="30" t="inlineStr">
        <is>
          <t>LOG-20260811-301</t>
        </is>
      </c>
      <c r="B302" s="32" t="n">
        <v>46245</v>
      </c>
      <c r="C302" t="inlineStr">
        <is>
          <t>Administradora</t>
        </is>
      </c>
      <c r="D302" s="30" t="inlineStr">
        <is>
          <t>WBS-300</t>
        </is>
      </c>
      <c r="E302" s="30" t="inlineStr">
        <is>
          <t>EQ_PLANCHA</t>
        </is>
      </c>
      <c r="F302" t="inlineStr">
        <is>
          <t>PLANCHA COMPACTADORA 7 HP</t>
        </is>
      </c>
      <c r="G302" t="n">
        <v>8</v>
      </c>
      <c r="H302" s="30" t="inlineStr">
        <is>
          <t>hm</t>
        </is>
      </c>
      <c r="I302">
        <f>IFERROR(VLOOKUP(E302, '05_MAESTRO_RECURSOS'!A:D, 4, FALSE), IFERROR(VLOOKUP(E302, '06_MAESTRO_PARTIDAS_EV'!B:F, 5, FALSE), 0))</f>
        <v/>
      </c>
      <c r="J302">
        <f>ROUND(G302 * I302, 2)</f>
        <v/>
      </c>
      <c r="K302" t="inlineStr">
        <is>
          <t>AC_EQP</t>
        </is>
      </c>
      <c r="L302" t="inlineStr">
        <is>
          <t>administradora.html</t>
        </is>
      </c>
    </row>
    <row r="303">
      <c r="A303" s="30" t="inlineStr">
        <is>
          <t>LOG-20260811-302</t>
        </is>
      </c>
      <c r="B303" s="32" t="n">
        <v>46245</v>
      </c>
      <c r="C303" t="inlineStr">
        <is>
          <t>Administradora</t>
        </is>
      </c>
      <c r="D303" s="30" t="inlineStr">
        <is>
          <t>WBS-300</t>
        </is>
      </c>
      <c r="E303" s="30" t="inlineStr">
        <is>
          <t>EQ_RODILLO_CAMINANTE</t>
        </is>
      </c>
      <c r="F303" t="inlineStr">
        <is>
          <t>RODILLO VIBRATORIO 1.5 TN</t>
        </is>
      </c>
      <c r="G303" t="n">
        <v>8</v>
      </c>
      <c r="H303" s="30" t="inlineStr">
        <is>
          <t>hm</t>
        </is>
      </c>
      <c r="I303">
        <f>IFERROR(VLOOKUP(E303, '05_MAESTRO_RECURSOS'!A:D, 4, FALSE), IFERROR(VLOOKUP(E303, '06_MAESTRO_PARTIDAS_EV'!B:F, 5, FALSE), 0))</f>
        <v/>
      </c>
      <c r="J303">
        <f>ROUND(G303 * I303, 2)</f>
        <v/>
      </c>
      <c r="K303" t="inlineStr">
        <is>
          <t>AC_EQP</t>
        </is>
      </c>
      <c r="L303" t="inlineStr">
        <is>
          <t>administradora.html</t>
        </is>
      </c>
    </row>
    <row r="304">
      <c r="A304" s="30" t="inlineStr">
        <is>
          <t>LOG-20260811-303</t>
        </is>
      </c>
      <c r="B304" s="32" t="n">
        <v>46245</v>
      </c>
      <c r="C304" t="inlineStr">
        <is>
          <t>Ing. de Campo</t>
        </is>
      </c>
      <c r="D304" s="30" t="inlineStr">
        <is>
          <t>WBS-300</t>
        </is>
      </c>
      <c r="E304" s="30" t="inlineStr">
        <is>
          <t>01.03.01</t>
        </is>
      </c>
      <c r="F304" t="inlineStr">
        <is>
          <t>INSTALACION TUBERIA PVC C-10 DN 110MM AGUA POTABLE</t>
        </is>
      </c>
      <c r="G304" t="n">
        <v>150</v>
      </c>
      <c r="H304" s="30" t="inlineStr">
        <is>
          <t>M</t>
        </is>
      </c>
      <c r="I304">
        <f>IFERROR(VLOOKUP(E304, '05_MAESTRO_RECURSOS'!A:D, 4, FALSE), IFERROR(VLOOKUP(E304, '06_MAESTRO_PARTIDAS_EV'!B:F, 5, FALSE), 0))</f>
        <v/>
      </c>
      <c r="J304">
        <f>ROUND(G304 * I304, 2)</f>
        <v/>
      </c>
      <c r="K304" t="inlineStr">
        <is>
          <t>EV_PRODUCCION</t>
        </is>
      </c>
      <c r="L304" t="inlineStr">
        <is>
          <t>ing_campo.html</t>
        </is>
      </c>
    </row>
    <row r="305">
      <c r="A305" s="30" t="inlineStr">
        <is>
          <t>LOG-20260811-304</t>
        </is>
      </c>
      <c r="B305" s="32" t="n">
        <v>46245</v>
      </c>
      <c r="C305" t="inlineStr">
        <is>
          <t>Tareador (Bildin)</t>
        </is>
      </c>
      <c r="D305" s="30" t="inlineStr">
        <is>
          <t>WBS-400</t>
        </is>
      </c>
      <c r="E305" s="30" t="inlineStr">
        <is>
          <t>MO_OPERARIO</t>
        </is>
      </c>
      <c r="F305" t="inlineStr">
        <is>
          <t>OPERARIO</t>
        </is>
      </c>
      <c r="G305" t="n">
        <v>8</v>
      </c>
      <c r="H305" s="30" t="inlineStr">
        <is>
          <t>hh</t>
        </is>
      </c>
      <c r="I305">
        <f>IFERROR(VLOOKUP(E305, '05_MAESTRO_RECURSOS'!A:D, 4, FALSE), IFERROR(VLOOKUP(E305, '06_MAESTRO_PARTIDAS_EV'!B:F, 5, FALSE), 0))</f>
        <v/>
      </c>
      <c r="J305">
        <f>ROUND(G305 * I305, 2)</f>
        <v/>
      </c>
      <c r="K305" t="inlineStr">
        <is>
          <t>AC_MO</t>
        </is>
      </c>
      <c r="L305" t="inlineStr">
        <is>
          <t>tareador.html</t>
        </is>
      </c>
    </row>
    <row r="306">
      <c r="A306" s="30" t="inlineStr">
        <is>
          <t>LOG-20260811-305</t>
        </is>
      </c>
      <c r="B306" s="32" t="n">
        <v>46245</v>
      </c>
      <c r="C306" t="inlineStr">
        <is>
          <t>Tareador (Bildin)</t>
        </is>
      </c>
      <c r="D306" s="30" t="inlineStr">
        <is>
          <t>WBS-400</t>
        </is>
      </c>
      <c r="E306" s="30" t="inlineStr">
        <is>
          <t>MO_OFICIAL</t>
        </is>
      </c>
      <c r="F306" t="inlineStr">
        <is>
          <t>OFICIAL</t>
        </is>
      </c>
      <c r="G306" t="n">
        <v>8</v>
      </c>
      <c r="H306" s="30" t="inlineStr">
        <is>
          <t>hh</t>
        </is>
      </c>
      <c r="I306">
        <f>IFERROR(VLOOKUP(E306, '05_MAESTRO_RECURSOS'!A:D, 4, FALSE), IFERROR(VLOOKUP(E306, '06_MAESTRO_PARTIDAS_EV'!B:F, 5, FALSE), 0))</f>
        <v/>
      </c>
      <c r="J306">
        <f>ROUND(G306 * I306, 2)</f>
        <v/>
      </c>
      <c r="K306" t="inlineStr">
        <is>
          <t>AC_MO</t>
        </is>
      </c>
      <c r="L306" t="inlineStr">
        <is>
          <t>tareador.html</t>
        </is>
      </c>
    </row>
    <row r="307">
      <c r="A307" s="30" t="inlineStr">
        <is>
          <t>LOG-20260811-306</t>
        </is>
      </c>
      <c r="B307" s="32" t="n">
        <v>46245</v>
      </c>
      <c r="C307" t="inlineStr">
        <is>
          <t>Tareador (Bildin)</t>
        </is>
      </c>
      <c r="D307" s="30" t="inlineStr">
        <is>
          <t>WBS-400</t>
        </is>
      </c>
      <c r="E307" s="30" t="inlineStr">
        <is>
          <t>MO_PEON</t>
        </is>
      </c>
      <c r="F307" t="inlineStr">
        <is>
          <t>PEON</t>
        </is>
      </c>
      <c r="G307" t="n">
        <v>16</v>
      </c>
      <c r="H307" s="30" t="inlineStr">
        <is>
          <t>hh</t>
        </is>
      </c>
      <c r="I307">
        <f>IFERROR(VLOOKUP(E307, '05_MAESTRO_RECURSOS'!A:D, 4, FALSE), IFERROR(VLOOKUP(E307, '06_MAESTRO_PARTIDAS_EV'!B:F, 5, FALSE), 0))</f>
        <v/>
      </c>
      <c r="J307">
        <f>ROUND(G307 * I307, 2)</f>
        <v/>
      </c>
      <c r="K307" t="inlineStr">
        <is>
          <t>AC_MO</t>
        </is>
      </c>
      <c r="L307" t="inlineStr">
        <is>
          <t>tareador.html</t>
        </is>
      </c>
    </row>
    <row r="308">
      <c r="A308" s="30" t="inlineStr">
        <is>
          <t>LOG-20260811-307</t>
        </is>
      </c>
      <c r="B308" s="32" t="n">
        <v>46245</v>
      </c>
      <c r="C308" t="inlineStr">
        <is>
          <t>Almacenero</t>
        </is>
      </c>
      <c r="D308" s="30" t="inlineStr">
        <is>
          <t>WBS-400</t>
        </is>
      </c>
      <c r="E308" s="30" t="inlineStr">
        <is>
          <t>MAT_HIPOCLORITO</t>
        </is>
      </c>
      <c r="F308" t="inlineStr">
        <is>
          <t>HIPOCLORITO DE CALCIO 70%</t>
        </is>
      </c>
      <c r="G308" t="n">
        <v>5</v>
      </c>
      <c r="H308" s="30" t="inlineStr">
        <is>
          <t>kg</t>
        </is>
      </c>
      <c r="I308">
        <f>IFERROR(VLOOKUP(E308, '05_MAESTRO_RECURSOS'!A:D, 4, FALSE), IFERROR(VLOOKUP(E308, '06_MAESTRO_PARTIDAS_EV'!B:F, 5, FALSE), 0))</f>
        <v/>
      </c>
      <c r="J308">
        <f>ROUND(G308 * I308, 2)</f>
        <v/>
      </c>
      <c r="K308" t="inlineStr">
        <is>
          <t>AC_MAT</t>
        </is>
      </c>
      <c r="L308" t="inlineStr">
        <is>
          <t>almacenero.html</t>
        </is>
      </c>
    </row>
    <row r="309">
      <c r="A309" s="30" t="inlineStr">
        <is>
          <t>LOG-20260811-308</t>
        </is>
      </c>
      <c r="B309" s="32" t="n">
        <v>46245</v>
      </c>
      <c r="C309" t="inlineStr">
        <is>
          <t>Almacenero</t>
        </is>
      </c>
      <c r="D309" s="30" t="inlineStr">
        <is>
          <t>WBS-400</t>
        </is>
      </c>
      <c r="E309" s="30" t="inlineStr">
        <is>
          <t>MAT_AGUA</t>
        </is>
      </c>
      <c r="F309" t="inlineStr">
        <is>
          <t>AGUA PARA COMPACTACION/PRUEBAS</t>
        </is>
      </c>
      <c r="G309" t="n">
        <v>20</v>
      </c>
      <c r="H309" s="30" t="inlineStr">
        <is>
          <t>m3</t>
        </is>
      </c>
      <c r="I309">
        <f>IFERROR(VLOOKUP(E309, '05_MAESTRO_RECURSOS'!A:D, 4, FALSE), IFERROR(VLOOKUP(E309, '06_MAESTRO_PARTIDAS_EV'!B:F, 5, FALSE), 0))</f>
        <v/>
      </c>
      <c r="J309">
        <f>ROUND(G309 * I309, 2)</f>
        <v/>
      </c>
      <c r="K309" t="inlineStr">
        <is>
          <t>AC_MAT</t>
        </is>
      </c>
      <c r="L309" t="inlineStr">
        <is>
          <t>almacenero.html</t>
        </is>
      </c>
    </row>
    <row r="310">
      <c r="A310" s="30" t="inlineStr">
        <is>
          <t>LOG-20260811-309</t>
        </is>
      </c>
      <c r="B310" s="32" t="n">
        <v>46245</v>
      </c>
      <c r="C310" t="inlineStr">
        <is>
          <t>Administradora</t>
        </is>
      </c>
      <c r="D310" s="30" t="inlineStr">
        <is>
          <t>WBS-400</t>
        </is>
      </c>
      <c r="E310" s="30" t="inlineStr">
        <is>
          <t>EQ_BOMBA_PRUEBA</t>
        </is>
      </c>
      <c r="F310" t="inlineStr">
        <is>
          <t>BOMBA HIDROSTATICA PRUEBA PRESION</t>
        </is>
      </c>
      <c r="G310" t="n">
        <v>8</v>
      </c>
      <c r="H310" s="30" t="inlineStr">
        <is>
          <t>hm</t>
        </is>
      </c>
      <c r="I310">
        <f>IFERROR(VLOOKUP(E310, '05_MAESTRO_RECURSOS'!A:D, 4, FALSE), IFERROR(VLOOKUP(E310, '06_MAESTRO_PARTIDAS_EV'!B:F, 5, FALSE), 0))</f>
        <v/>
      </c>
      <c r="J310">
        <f>ROUND(G310 * I310, 2)</f>
        <v/>
      </c>
      <c r="K310" t="inlineStr">
        <is>
          <t>AC_EQP</t>
        </is>
      </c>
      <c r="L310" t="inlineStr">
        <is>
          <t>administradora.html</t>
        </is>
      </c>
    </row>
    <row r="311">
      <c r="A311" s="30" t="inlineStr">
        <is>
          <t>LOG-20260811-310</t>
        </is>
      </c>
      <c r="B311" s="32" t="n">
        <v>46245</v>
      </c>
      <c r="C311" t="inlineStr">
        <is>
          <t>Administradora</t>
        </is>
      </c>
      <c r="D311" s="30" t="inlineStr">
        <is>
          <t>WBS-400</t>
        </is>
      </c>
      <c r="E311" s="30" t="inlineStr">
        <is>
          <t>EQ_CAMION_CISTERNA</t>
        </is>
      </c>
      <c r="F311" t="inlineStr">
        <is>
          <t>CAMION CISTERNA AGUA 2000 GLN</t>
        </is>
      </c>
      <c r="G311" t="n">
        <v>8</v>
      </c>
      <c r="H311" s="30" t="inlineStr">
        <is>
          <t>hm</t>
        </is>
      </c>
      <c r="I311">
        <f>IFERROR(VLOOKUP(E311, '05_MAESTRO_RECURSOS'!A:D, 4, FALSE), IFERROR(VLOOKUP(E311, '06_MAESTRO_PARTIDAS_EV'!B:F, 5, FALSE), 0))</f>
        <v/>
      </c>
      <c r="J311">
        <f>ROUND(G311 * I311, 2)</f>
        <v/>
      </c>
      <c r="K311" t="inlineStr">
        <is>
          <t>AC_EQP</t>
        </is>
      </c>
      <c r="L311" t="inlineStr">
        <is>
          <t>administradora.html</t>
        </is>
      </c>
    </row>
    <row r="312">
      <c r="A312" s="30" t="inlineStr">
        <is>
          <t>LOG-20260811-311</t>
        </is>
      </c>
      <c r="B312" s="32" t="n">
        <v>46245</v>
      </c>
      <c r="C312" t="inlineStr">
        <is>
          <t>Ing. de Campo</t>
        </is>
      </c>
      <c r="D312" s="30" t="inlineStr">
        <is>
          <t>WBS-400</t>
        </is>
      </c>
      <c r="E312" s="30" t="inlineStr">
        <is>
          <t>01.04.01</t>
        </is>
      </c>
      <c r="F312" t="inlineStr">
        <is>
          <t>PRUEBA HIDRAULICA Y DESINFECCION DE RED DE AGUA</t>
        </is>
      </c>
      <c r="G312" t="n">
        <v>0.16</v>
      </c>
      <c r="H312" s="30" t="inlineStr">
        <is>
          <t>GLB</t>
        </is>
      </c>
      <c r="I312">
        <f>IFERROR(VLOOKUP(E312, '05_MAESTRO_RECURSOS'!A:D, 4, FALSE), IFERROR(VLOOKUP(E312, '06_MAESTRO_PARTIDAS_EV'!B:F, 5, FALSE), 0))</f>
        <v/>
      </c>
      <c r="J312">
        <f>ROUND(G312 * I312, 2)</f>
        <v/>
      </c>
      <c r="K312" t="inlineStr">
        <is>
          <t>EV_PRODUCCION</t>
        </is>
      </c>
      <c r="L312" t="inlineStr">
        <is>
          <t>ing_campo.html</t>
        </is>
      </c>
    </row>
    <row r="313">
      <c r="A313" s="30" t="inlineStr">
        <is>
          <t>LOG-20260812-312</t>
        </is>
      </c>
      <c r="B313" s="32" t="n">
        <v>46246</v>
      </c>
      <c r="C313" t="inlineStr">
        <is>
          <t>Tareador (Bildin)</t>
        </is>
      </c>
      <c r="D313" s="30" t="inlineStr">
        <is>
          <t>WBS-200</t>
        </is>
      </c>
      <c r="E313" s="30" t="inlineStr">
        <is>
          <t>MO_CAPATAZ</t>
        </is>
      </c>
      <c r="F313" t="inlineStr">
        <is>
          <t>CAPATAZ</t>
        </is>
      </c>
      <c r="G313" t="n">
        <v>8</v>
      </c>
      <c r="H313" s="30" t="inlineStr">
        <is>
          <t>hh</t>
        </is>
      </c>
      <c r="I313">
        <f>IFERROR(VLOOKUP(E313, '05_MAESTRO_RECURSOS'!A:D, 4, FALSE), IFERROR(VLOOKUP(E313, '06_MAESTRO_PARTIDAS_EV'!B:F, 5, FALSE), 0))</f>
        <v/>
      </c>
      <c r="J313">
        <f>ROUND(G313 * I313, 2)</f>
        <v/>
      </c>
      <c r="K313" t="inlineStr">
        <is>
          <t>AC_MO</t>
        </is>
      </c>
      <c r="L313" t="inlineStr">
        <is>
          <t>tareador.html</t>
        </is>
      </c>
    </row>
    <row r="314">
      <c r="A314" s="30" t="inlineStr">
        <is>
          <t>LOG-20260812-313</t>
        </is>
      </c>
      <c r="B314" s="32" t="n">
        <v>46246</v>
      </c>
      <c r="C314" t="inlineStr">
        <is>
          <t>Tareador (Bildin)</t>
        </is>
      </c>
      <c r="D314" s="30" t="inlineStr">
        <is>
          <t>WBS-200</t>
        </is>
      </c>
      <c r="E314" s="30" t="inlineStr">
        <is>
          <t>MO_OPERARIO</t>
        </is>
      </c>
      <c r="F314" t="inlineStr">
        <is>
          <t>OPERARIO</t>
        </is>
      </c>
      <c r="G314" t="n">
        <v>24</v>
      </c>
      <c r="H314" s="30" t="inlineStr">
        <is>
          <t>hh</t>
        </is>
      </c>
      <c r="I314">
        <f>IFERROR(VLOOKUP(E314, '05_MAESTRO_RECURSOS'!A:D, 4, FALSE), IFERROR(VLOOKUP(E314, '06_MAESTRO_PARTIDAS_EV'!B:F, 5, FALSE), 0))</f>
        <v/>
      </c>
      <c r="J314">
        <f>ROUND(G314 * I314, 2)</f>
        <v/>
      </c>
      <c r="K314" t="inlineStr">
        <is>
          <t>AC_MO</t>
        </is>
      </c>
      <c r="L314" t="inlineStr">
        <is>
          <t>tareador.html</t>
        </is>
      </c>
    </row>
    <row r="315">
      <c r="A315" s="30" t="inlineStr">
        <is>
          <t>LOG-20260812-314</t>
        </is>
      </c>
      <c r="B315" s="32" t="n">
        <v>46246</v>
      </c>
      <c r="C315" t="inlineStr">
        <is>
          <t>Tareador (Bildin)</t>
        </is>
      </c>
      <c r="D315" s="30" t="inlineStr">
        <is>
          <t>WBS-200</t>
        </is>
      </c>
      <c r="E315" s="30" t="inlineStr">
        <is>
          <t>MO_OFICIAL</t>
        </is>
      </c>
      <c r="F315" t="inlineStr">
        <is>
          <t>OFICIAL</t>
        </is>
      </c>
      <c r="G315" t="n">
        <v>16</v>
      </c>
      <c r="H315" s="30" t="inlineStr">
        <is>
          <t>hh</t>
        </is>
      </c>
      <c r="I315">
        <f>IFERROR(VLOOKUP(E315, '05_MAESTRO_RECURSOS'!A:D, 4, FALSE), IFERROR(VLOOKUP(E315, '06_MAESTRO_PARTIDAS_EV'!B:F, 5, FALSE), 0))</f>
        <v/>
      </c>
      <c r="J315">
        <f>ROUND(G315 * I315, 2)</f>
        <v/>
      </c>
      <c r="K315" t="inlineStr">
        <is>
          <t>AC_MO</t>
        </is>
      </c>
      <c r="L315" t="inlineStr">
        <is>
          <t>tareador.html</t>
        </is>
      </c>
    </row>
    <row r="316">
      <c r="A316" s="30" t="inlineStr">
        <is>
          <t>LOG-20260812-315</t>
        </is>
      </c>
      <c r="B316" s="32" t="n">
        <v>46246</v>
      </c>
      <c r="C316" t="inlineStr">
        <is>
          <t>Tareador (Bildin)</t>
        </is>
      </c>
      <c r="D316" s="30" t="inlineStr">
        <is>
          <t>WBS-200</t>
        </is>
      </c>
      <c r="E316" s="30" t="inlineStr">
        <is>
          <t>MO_PEON</t>
        </is>
      </c>
      <c r="F316" t="inlineStr">
        <is>
          <t>PEON</t>
        </is>
      </c>
      <c r="G316" t="n">
        <v>64</v>
      </c>
      <c r="H316" s="30" t="inlineStr">
        <is>
          <t>hh</t>
        </is>
      </c>
      <c r="I316">
        <f>IFERROR(VLOOKUP(E316, '05_MAESTRO_RECURSOS'!A:D, 4, FALSE), IFERROR(VLOOKUP(E316, '06_MAESTRO_PARTIDAS_EV'!B:F, 5, FALSE), 0))</f>
        <v/>
      </c>
      <c r="J316">
        <f>ROUND(G316 * I316, 2)</f>
        <v/>
      </c>
      <c r="K316" t="inlineStr">
        <is>
          <t>AC_MO</t>
        </is>
      </c>
      <c r="L316" t="inlineStr">
        <is>
          <t>tareador.html</t>
        </is>
      </c>
    </row>
    <row r="317">
      <c r="A317" s="30" t="inlineStr">
        <is>
          <t>LOG-20260812-316</t>
        </is>
      </c>
      <c r="B317" s="32" t="n">
        <v>46246</v>
      </c>
      <c r="C317" t="inlineStr">
        <is>
          <t>Almacenero</t>
        </is>
      </c>
      <c r="D317" s="30" t="inlineStr">
        <is>
          <t>WBS-200</t>
        </is>
      </c>
      <c r="E317" s="30" t="inlineStr">
        <is>
          <t>MAT_ARENA_CAMAS</t>
        </is>
      </c>
      <c r="F317" t="inlineStr">
        <is>
          <t>ARENA FINA SELECCIONADA PARA CAMA</t>
        </is>
      </c>
      <c r="G317" t="n">
        <v>10</v>
      </c>
      <c r="H317" s="30" t="inlineStr">
        <is>
          <t>m3</t>
        </is>
      </c>
      <c r="I317">
        <f>IFERROR(VLOOKUP(E317, '05_MAESTRO_RECURSOS'!A:D, 4, FALSE), IFERROR(VLOOKUP(E317, '06_MAESTRO_PARTIDAS_EV'!B:F, 5, FALSE), 0))</f>
        <v/>
      </c>
      <c r="J317">
        <f>ROUND(G317 * I317, 2)</f>
        <v/>
      </c>
      <c r="K317" t="inlineStr">
        <is>
          <t>AC_MAT</t>
        </is>
      </c>
      <c r="L317" t="inlineStr">
        <is>
          <t>almacenero.html</t>
        </is>
      </c>
    </row>
    <row r="318">
      <c r="A318" s="30" t="inlineStr">
        <is>
          <t>LOG-20260812-317</t>
        </is>
      </c>
      <c r="B318" s="32" t="n">
        <v>46246</v>
      </c>
      <c r="C318" t="inlineStr">
        <is>
          <t>Almacenero</t>
        </is>
      </c>
      <c r="D318" s="30" t="inlineStr">
        <is>
          <t>WBS-200</t>
        </is>
      </c>
      <c r="E318" s="30" t="inlineStr">
        <is>
          <t>MAT_TUB_PVC_200</t>
        </is>
      </c>
      <c r="F318" t="inlineStr">
        <is>
          <t>TUBERIA PVC UF DN 200MM S-20 ALCANTARILLADO</t>
        </is>
      </c>
      <c r="G318" t="n">
        <v>120</v>
      </c>
      <c r="H318" s="30" t="inlineStr">
        <is>
          <t>m</t>
        </is>
      </c>
      <c r="I318">
        <f>IFERROR(VLOOKUP(E318, '05_MAESTRO_RECURSOS'!A:D, 4, FALSE), IFERROR(VLOOKUP(E318, '06_MAESTRO_PARTIDAS_EV'!B:F, 5, FALSE), 0))</f>
        <v/>
      </c>
      <c r="J318">
        <f>ROUND(G318 * I318, 2)</f>
        <v/>
      </c>
      <c r="K318" t="inlineStr">
        <is>
          <t>AC_MAT</t>
        </is>
      </c>
      <c r="L318" t="inlineStr">
        <is>
          <t>almacenero.html</t>
        </is>
      </c>
    </row>
    <row r="319">
      <c r="A319" s="30" t="inlineStr">
        <is>
          <t>LOG-20260812-318</t>
        </is>
      </c>
      <c r="B319" s="32" t="n">
        <v>46246</v>
      </c>
      <c r="C319" t="inlineStr">
        <is>
          <t>Almacenero</t>
        </is>
      </c>
      <c r="D319" s="30" t="inlineStr">
        <is>
          <t>WBS-200</t>
        </is>
      </c>
      <c r="E319" s="30" t="inlineStr">
        <is>
          <t>MAT_LUBRICANTE</t>
        </is>
      </c>
      <c r="F319" t="inlineStr">
        <is>
          <t>LUBRICANTE PARA TUBERIA</t>
        </is>
      </c>
      <c r="G319" t="n">
        <v>2</v>
      </c>
      <c r="H319" s="30" t="inlineStr">
        <is>
          <t>kg</t>
        </is>
      </c>
      <c r="I319">
        <f>IFERROR(VLOOKUP(E319, '05_MAESTRO_RECURSOS'!A:D, 4, FALSE), IFERROR(VLOOKUP(E319, '06_MAESTRO_PARTIDAS_EV'!B:F, 5, FALSE), 0))</f>
        <v/>
      </c>
      <c r="J319">
        <f>ROUND(G319 * I319, 2)</f>
        <v/>
      </c>
      <c r="K319" t="inlineStr">
        <is>
          <t>AC_MAT</t>
        </is>
      </c>
      <c r="L319" t="inlineStr">
        <is>
          <t>almacenero.html</t>
        </is>
      </c>
    </row>
    <row r="320">
      <c r="A320" s="30" t="inlineStr">
        <is>
          <t>LOG-20260812-319</t>
        </is>
      </c>
      <c r="B320" s="32" t="n">
        <v>46246</v>
      </c>
      <c r="C320" t="inlineStr">
        <is>
          <t>Almacenero</t>
        </is>
      </c>
      <c r="D320" s="30" t="inlineStr">
        <is>
          <t>WBS-200</t>
        </is>
      </c>
      <c r="E320" s="30" t="inlineStr">
        <is>
          <t>MAT_CAJA_REGISTRO</t>
        </is>
      </c>
      <c r="F320" t="inlineStr">
        <is>
          <t>CAJA REGISTRO CONCRETO 12X24</t>
        </is>
      </c>
      <c r="G320" t="n">
        <v>3</v>
      </c>
      <c r="H320" s="30" t="inlineStr">
        <is>
          <t>und</t>
        </is>
      </c>
      <c r="I320">
        <f>IFERROR(VLOOKUP(E320, '05_MAESTRO_RECURSOS'!A:D, 4, FALSE), IFERROR(VLOOKUP(E320, '06_MAESTRO_PARTIDAS_EV'!B:F, 5, FALSE), 0))</f>
        <v/>
      </c>
      <c r="J320">
        <f>ROUND(G320 * I320, 2)</f>
        <v/>
      </c>
      <c r="K320" t="inlineStr">
        <is>
          <t>AC_MAT</t>
        </is>
      </c>
      <c r="L320" t="inlineStr">
        <is>
          <t>almacenero.html</t>
        </is>
      </c>
    </row>
    <row r="321">
      <c r="A321" s="30" t="inlineStr">
        <is>
          <t>LOG-20260812-320</t>
        </is>
      </c>
      <c r="B321" s="32" t="n">
        <v>46246</v>
      </c>
      <c r="C321" t="inlineStr">
        <is>
          <t>Almacenero</t>
        </is>
      </c>
      <c r="D321" s="30" t="inlineStr">
        <is>
          <t>WBS-200</t>
        </is>
      </c>
      <c r="E321" s="30" t="inlineStr">
        <is>
          <t>MAT_TUB_PVC_160_CONEX</t>
        </is>
      </c>
      <c r="F321" t="inlineStr">
        <is>
          <t>TUBERIA PVC SAL 160MM ACOMETIDA</t>
        </is>
      </c>
      <c r="G321" t="n">
        <v>18</v>
      </c>
      <c r="H321" s="30" t="inlineStr">
        <is>
          <t>m</t>
        </is>
      </c>
      <c r="I321">
        <f>IFERROR(VLOOKUP(E321, '05_MAESTRO_RECURSOS'!A:D, 4, FALSE), IFERROR(VLOOKUP(E321, '06_MAESTRO_PARTIDAS_EV'!B:F, 5, FALSE), 0))</f>
        <v/>
      </c>
      <c r="J321">
        <f>ROUND(G321 * I321, 2)</f>
        <v/>
      </c>
      <c r="K321" t="inlineStr">
        <is>
          <t>AC_MAT</t>
        </is>
      </c>
      <c r="L321" t="inlineStr">
        <is>
          <t>almacenero.html</t>
        </is>
      </c>
    </row>
    <row r="322">
      <c r="A322" s="30" t="inlineStr">
        <is>
          <t>LOG-20260812-321</t>
        </is>
      </c>
      <c r="B322" s="32" t="n">
        <v>46246</v>
      </c>
      <c r="C322" t="inlineStr">
        <is>
          <t>Administradora</t>
        </is>
      </c>
      <c r="D322" s="30" t="inlineStr">
        <is>
          <t>WBS-200</t>
        </is>
      </c>
      <c r="E322" s="30" t="inlineStr">
        <is>
          <t>SUB_ENSAYOS_COMPAC</t>
        </is>
      </c>
      <c r="F322" t="inlineStr">
        <is>
          <t>SUBCONTRATO DENSIDADES PROCTOR</t>
        </is>
      </c>
      <c r="G322" t="n">
        <v>2</v>
      </c>
      <c r="H322" s="30" t="inlineStr">
        <is>
          <t>und</t>
        </is>
      </c>
      <c r="I322">
        <f>IFERROR(VLOOKUP(E322, '05_MAESTRO_RECURSOS'!A:D, 4, FALSE), IFERROR(VLOOKUP(E322, '06_MAESTRO_PARTIDAS_EV'!B:F, 5, FALSE), 0))</f>
        <v/>
      </c>
      <c r="J322">
        <f>ROUND(G322 * I322, 2)</f>
        <v/>
      </c>
      <c r="K322" t="inlineStr">
        <is>
          <t>AC_SUB</t>
        </is>
      </c>
      <c r="L322" t="inlineStr">
        <is>
          <t>administradora.html</t>
        </is>
      </c>
    </row>
    <row r="323">
      <c r="A323" s="30" t="inlineStr">
        <is>
          <t>LOG-20260812-322</t>
        </is>
      </c>
      <c r="B323" s="32" t="n">
        <v>46246</v>
      </c>
      <c r="C323" t="inlineStr">
        <is>
          <t>Ing. de Campo</t>
        </is>
      </c>
      <c r="D323" s="30" t="inlineStr">
        <is>
          <t>WBS-200</t>
        </is>
      </c>
      <c r="E323" s="30" t="inlineStr">
        <is>
          <t>01.02.07</t>
        </is>
      </c>
      <c r="F323" t="inlineStr">
        <is>
          <t>CONEXIONES DOMICILIARIAS ALCANTARILLADO DN 160MM</t>
        </is>
      </c>
      <c r="G323" t="n">
        <v>3</v>
      </c>
      <c r="H323" s="30" t="inlineStr">
        <is>
          <t>UND</t>
        </is>
      </c>
      <c r="I323">
        <f>IFERROR(VLOOKUP(E323, '05_MAESTRO_RECURSOS'!A:D, 4, FALSE), IFERROR(VLOOKUP(E323, '06_MAESTRO_PARTIDAS_EV'!B:F, 5, FALSE), 0))</f>
        <v/>
      </c>
      <c r="J323">
        <f>ROUND(G323 * I323, 2)</f>
        <v/>
      </c>
      <c r="K323" t="inlineStr">
        <is>
          <t>EV_PRODUCCION</t>
        </is>
      </c>
      <c r="L323" t="inlineStr">
        <is>
          <t>ing_campo.html</t>
        </is>
      </c>
    </row>
    <row r="324">
      <c r="A324" s="30" t="inlineStr">
        <is>
          <t>LOG-20260812-323</t>
        </is>
      </c>
      <c r="B324" s="32" t="n">
        <v>46246</v>
      </c>
      <c r="C324" t="inlineStr">
        <is>
          <t>Administradora</t>
        </is>
      </c>
      <c r="D324" s="30" t="inlineStr">
        <is>
          <t>WBS-200</t>
        </is>
      </c>
      <c r="E324" s="30" t="inlineStr">
        <is>
          <t>EQ_EXCAVADORA</t>
        </is>
      </c>
      <c r="F324" t="inlineStr">
        <is>
          <t>EXCAVADORA ORUGAS 140 HP</t>
        </is>
      </c>
      <c r="G324" t="n">
        <v>8</v>
      </c>
      <c r="H324" s="30" t="inlineStr">
        <is>
          <t>hm</t>
        </is>
      </c>
      <c r="I324">
        <f>IFERROR(VLOOKUP(E324, '05_MAESTRO_RECURSOS'!A:D, 4, FALSE), IFERROR(VLOOKUP(E324, '06_MAESTRO_PARTIDAS_EV'!B:F, 5, FALSE), 0))</f>
        <v/>
      </c>
      <c r="J324">
        <f>ROUND(G324 * I324, 2)</f>
        <v/>
      </c>
      <c r="K324" t="inlineStr">
        <is>
          <t>AC_EQP</t>
        </is>
      </c>
      <c r="L324" t="inlineStr">
        <is>
          <t>administradora.html</t>
        </is>
      </c>
    </row>
    <row r="325">
      <c r="A325" s="30" t="inlineStr">
        <is>
          <t>LOG-20260812-324</t>
        </is>
      </c>
      <c r="B325" s="32" t="n">
        <v>46246</v>
      </c>
      <c r="C325" t="inlineStr">
        <is>
          <t>Administradora</t>
        </is>
      </c>
      <c r="D325" s="30" t="inlineStr">
        <is>
          <t>WBS-200</t>
        </is>
      </c>
      <c r="E325" s="30" t="inlineStr">
        <is>
          <t>EQ_PLANCHA</t>
        </is>
      </c>
      <c r="F325" t="inlineStr">
        <is>
          <t>PLANCHA COMPACTADORA 7 HP</t>
        </is>
      </c>
      <c r="G325" t="n">
        <v>8</v>
      </c>
      <c r="H325" s="30" t="inlineStr">
        <is>
          <t>hm</t>
        </is>
      </c>
      <c r="I325">
        <f>IFERROR(VLOOKUP(E325, '05_MAESTRO_RECURSOS'!A:D, 4, FALSE), IFERROR(VLOOKUP(E325, '06_MAESTRO_PARTIDAS_EV'!B:F, 5, FALSE), 0))</f>
        <v/>
      </c>
      <c r="J325">
        <f>ROUND(G325 * I325, 2)</f>
        <v/>
      </c>
      <c r="K325" t="inlineStr">
        <is>
          <t>AC_EQP</t>
        </is>
      </c>
      <c r="L325" t="inlineStr">
        <is>
          <t>administradora.html</t>
        </is>
      </c>
    </row>
    <row r="326">
      <c r="A326" s="30" t="inlineStr">
        <is>
          <t>LOG-20260812-325</t>
        </is>
      </c>
      <c r="B326" s="32" t="n">
        <v>46246</v>
      </c>
      <c r="C326" t="inlineStr">
        <is>
          <t>Administradora</t>
        </is>
      </c>
      <c r="D326" s="30" t="inlineStr">
        <is>
          <t>WBS-200</t>
        </is>
      </c>
      <c r="E326" s="30" t="inlineStr">
        <is>
          <t>EQ_RODILLO_CAMINANTE</t>
        </is>
      </c>
      <c r="F326" t="inlineStr">
        <is>
          <t>RODILLO VIBRATORIO 1.5 TN</t>
        </is>
      </c>
      <c r="G326" t="n">
        <v>8</v>
      </c>
      <c r="H326" s="30" t="inlineStr">
        <is>
          <t>hm</t>
        </is>
      </c>
      <c r="I326">
        <f>IFERROR(VLOOKUP(E326, '05_MAESTRO_RECURSOS'!A:D, 4, FALSE), IFERROR(VLOOKUP(E326, '06_MAESTRO_PARTIDAS_EV'!B:F, 5, FALSE), 0))</f>
        <v/>
      </c>
      <c r="J326">
        <f>ROUND(G326 * I326, 2)</f>
        <v/>
      </c>
      <c r="K326" t="inlineStr">
        <is>
          <t>AC_EQP</t>
        </is>
      </c>
      <c r="L326" t="inlineStr">
        <is>
          <t>administradora.html</t>
        </is>
      </c>
    </row>
    <row r="327">
      <c r="A327" s="30" t="inlineStr">
        <is>
          <t>LOG-20260812-326</t>
        </is>
      </c>
      <c r="B327" s="32" t="n">
        <v>46246</v>
      </c>
      <c r="C327" t="inlineStr">
        <is>
          <t>Ing. de Campo</t>
        </is>
      </c>
      <c r="D327" s="30" t="inlineStr">
        <is>
          <t>WBS-200</t>
        </is>
      </c>
      <c r="E327" s="30" t="inlineStr">
        <is>
          <t>01.02.02</t>
        </is>
      </c>
      <c r="F327" t="inlineStr">
        <is>
          <t>EXCAVACION DE ZANJA C/MAQUINA EN T. SEMIROCOSO</t>
        </is>
      </c>
      <c r="G327" t="n">
        <v>150</v>
      </c>
      <c r="H327" s="30" t="inlineStr">
        <is>
          <t>M3</t>
        </is>
      </c>
      <c r="I327">
        <f>IFERROR(VLOOKUP(E327, '05_MAESTRO_RECURSOS'!A:D, 4, FALSE), IFERROR(VLOOKUP(E327, '06_MAESTRO_PARTIDAS_EV'!B:F, 5, FALSE), 0))</f>
        <v/>
      </c>
      <c r="J327">
        <f>ROUND(G327 * I327, 2)</f>
        <v/>
      </c>
      <c r="K327" t="inlineStr">
        <is>
          <t>EV_PRODUCCION</t>
        </is>
      </c>
      <c r="L327" t="inlineStr">
        <is>
          <t>ing_campo.html</t>
        </is>
      </c>
    </row>
    <row r="328">
      <c r="A328" s="30" t="inlineStr">
        <is>
          <t>LOG-20260812-327</t>
        </is>
      </c>
      <c r="B328" s="32" t="n">
        <v>46246</v>
      </c>
      <c r="C328" t="inlineStr">
        <is>
          <t>Ing. de Campo</t>
        </is>
      </c>
      <c r="D328" s="30" t="inlineStr">
        <is>
          <t>WBS-200</t>
        </is>
      </c>
      <c r="E328" s="30" t="inlineStr">
        <is>
          <t>01.02.03</t>
        </is>
      </c>
      <c r="F328" t="inlineStr">
        <is>
          <t>CAMA DE APOYO H=0.10 M CON ARENA SELECCIONADA</t>
        </is>
      </c>
      <c r="G328" t="n">
        <v>120</v>
      </c>
      <c r="H328" s="30" t="inlineStr">
        <is>
          <t>M</t>
        </is>
      </c>
      <c r="I328">
        <f>IFERROR(VLOOKUP(E328, '05_MAESTRO_RECURSOS'!A:D, 4, FALSE), IFERROR(VLOOKUP(E328, '06_MAESTRO_PARTIDAS_EV'!B:F, 5, FALSE), 0))</f>
        <v/>
      </c>
      <c r="J328">
        <f>ROUND(G328 * I328, 2)</f>
        <v/>
      </c>
      <c r="K328" t="inlineStr">
        <is>
          <t>EV_PRODUCCION</t>
        </is>
      </c>
      <c r="L328" t="inlineStr">
        <is>
          <t>ing_campo.html</t>
        </is>
      </c>
    </row>
    <row r="329">
      <c r="A329" s="30" t="inlineStr">
        <is>
          <t>LOG-20260812-328</t>
        </is>
      </c>
      <c r="B329" s="32" t="n">
        <v>46246</v>
      </c>
      <c r="C329" t="inlineStr">
        <is>
          <t>Ing. de Campo</t>
        </is>
      </c>
      <c r="D329" s="30" t="inlineStr">
        <is>
          <t>WBS-200</t>
        </is>
      </c>
      <c r="E329" s="30" t="inlineStr">
        <is>
          <t>01.02.04</t>
        </is>
      </c>
      <c r="F329" t="inlineStr">
        <is>
          <t>SUMINISTRO E INSTALACION DE TUBERIA PVC DN 200MM S-20</t>
        </is>
      </c>
      <c r="G329" t="n">
        <v>120</v>
      </c>
      <c r="H329" s="30" t="inlineStr">
        <is>
          <t>M</t>
        </is>
      </c>
      <c r="I329">
        <f>IFERROR(VLOOKUP(E329, '05_MAESTRO_RECURSOS'!A:D, 4, FALSE), IFERROR(VLOOKUP(E329, '06_MAESTRO_PARTIDAS_EV'!B:F, 5, FALSE), 0))</f>
        <v/>
      </c>
      <c r="J329">
        <f>ROUND(G329 * I329, 2)</f>
        <v/>
      </c>
      <c r="K329" t="inlineStr">
        <is>
          <t>EV_PRODUCCION</t>
        </is>
      </c>
      <c r="L329" t="inlineStr">
        <is>
          <t>ing_campo.html</t>
        </is>
      </c>
    </row>
    <row r="330">
      <c r="A330" s="30" t="inlineStr">
        <is>
          <t>LOG-20260812-329</t>
        </is>
      </c>
      <c r="B330" s="32" t="n">
        <v>46246</v>
      </c>
      <c r="C330" t="inlineStr">
        <is>
          <t>Ing. de Campo</t>
        </is>
      </c>
      <c r="D330" s="30" t="inlineStr">
        <is>
          <t>WBS-200</t>
        </is>
      </c>
      <c r="E330" s="30" t="inlineStr">
        <is>
          <t>01.02.05</t>
        </is>
      </c>
      <c r="F330" t="inlineStr">
        <is>
          <t>RELLENO COMPACTADO DE ZANJA C/MATERIAL PRESTAMO</t>
        </is>
      </c>
      <c r="G330" t="n">
        <v>120</v>
      </c>
      <c r="H330" s="30" t="inlineStr">
        <is>
          <t>M</t>
        </is>
      </c>
      <c r="I330">
        <f>IFERROR(VLOOKUP(E330, '05_MAESTRO_RECURSOS'!A:D, 4, FALSE), IFERROR(VLOOKUP(E330, '06_MAESTRO_PARTIDAS_EV'!B:F, 5, FALSE), 0))</f>
        <v/>
      </c>
      <c r="J330">
        <f>ROUND(G330 * I330, 2)</f>
        <v/>
      </c>
      <c r="K330" t="inlineStr">
        <is>
          <t>EV_PRODUCCION</t>
        </is>
      </c>
      <c r="L330" t="inlineStr">
        <is>
          <t>ing_campo.html</t>
        </is>
      </c>
    </row>
    <row r="331">
      <c r="A331" s="30" t="inlineStr">
        <is>
          <t>LOG-20260812-330</t>
        </is>
      </c>
      <c r="B331" s="32" t="n">
        <v>46246</v>
      </c>
      <c r="C331" t="inlineStr">
        <is>
          <t>Tareador (Bildin)</t>
        </is>
      </c>
      <c r="D331" s="30" t="inlineStr">
        <is>
          <t>WBS-300</t>
        </is>
      </c>
      <c r="E331" s="30" t="inlineStr">
        <is>
          <t>MO_CAPATAZ</t>
        </is>
      </c>
      <c r="F331" t="inlineStr">
        <is>
          <t>CAPATAZ</t>
        </is>
      </c>
      <c r="G331" t="n">
        <v>4</v>
      </c>
      <c r="H331" s="30" t="inlineStr">
        <is>
          <t>hh</t>
        </is>
      </c>
      <c r="I331">
        <f>IFERROR(VLOOKUP(E331, '05_MAESTRO_RECURSOS'!A:D, 4, FALSE), IFERROR(VLOOKUP(E331, '06_MAESTRO_PARTIDAS_EV'!B:F, 5, FALSE), 0))</f>
        <v/>
      </c>
      <c r="J331">
        <f>ROUND(G331 * I331, 2)</f>
        <v/>
      </c>
      <c r="K331" t="inlineStr">
        <is>
          <t>AC_MO</t>
        </is>
      </c>
      <c r="L331" t="inlineStr">
        <is>
          <t>tareador.html</t>
        </is>
      </c>
    </row>
    <row r="332">
      <c r="A332" s="30" t="inlineStr">
        <is>
          <t>LOG-20260812-331</t>
        </is>
      </c>
      <c r="B332" s="32" t="n">
        <v>46246</v>
      </c>
      <c r="C332" t="inlineStr">
        <is>
          <t>Tareador (Bildin)</t>
        </is>
      </c>
      <c r="D332" s="30" t="inlineStr">
        <is>
          <t>WBS-300</t>
        </is>
      </c>
      <c r="E332" s="30" t="inlineStr">
        <is>
          <t>MO_OPERARIO</t>
        </is>
      </c>
      <c r="F332" t="inlineStr">
        <is>
          <t>OPERARIO</t>
        </is>
      </c>
      <c r="G332" t="n">
        <v>16</v>
      </c>
      <c r="H332" s="30" t="inlineStr">
        <is>
          <t>hh</t>
        </is>
      </c>
      <c r="I332">
        <f>IFERROR(VLOOKUP(E332, '05_MAESTRO_RECURSOS'!A:D, 4, FALSE), IFERROR(VLOOKUP(E332, '06_MAESTRO_PARTIDAS_EV'!B:F, 5, FALSE), 0))</f>
        <v/>
      </c>
      <c r="J332">
        <f>ROUND(G332 * I332, 2)</f>
        <v/>
      </c>
      <c r="K332" t="inlineStr">
        <is>
          <t>AC_MO</t>
        </is>
      </c>
      <c r="L332" t="inlineStr">
        <is>
          <t>tareador.html</t>
        </is>
      </c>
    </row>
    <row r="333">
      <c r="A333" s="30" t="inlineStr">
        <is>
          <t>LOG-20260812-332</t>
        </is>
      </c>
      <c r="B333" s="32" t="n">
        <v>46246</v>
      </c>
      <c r="C333" t="inlineStr">
        <is>
          <t>Tareador (Bildin)</t>
        </is>
      </c>
      <c r="D333" s="30" t="inlineStr">
        <is>
          <t>WBS-300</t>
        </is>
      </c>
      <c r="E333" s="30" t="inlineStr">
        <is>
          <t>MO_PEON</t>
        </is>
      </c>
      <c r="F333" t="inlineStr">
        <is>
          <t>PEON</t>
        </is>
      </c>
      <c r="G333" t="n">
        <v>32</v>
      </c>
      <c r="H333" s="30" t="inlineStr">
        <is>
          <t>hh</t>
        </is>
      </c>
      <c r="I333">
        <f>IFERROR(VLOOKUP(E333, '05_MAESTRO_RECURSOS'!A:D, 4, FALSE), IFERROR(VLOOKUP(E333, '06_MAESTRO_PARTIDAS_EV'!B:F, 5, FALSE), 0))</f>
        <v/>
      </c>
      <c r="J333">
        <f>ROUND(G333 * I333, 2)</f>
        <v/>
      </c>
      <c r="K333" t="inlineStr">
        <is>
          <t>AC_MO</t>
        </is>
      </c>
      <c r="L333" t="inlineStr">
        <is>
          <t>tareador.html</t>
        </is>
      </c>
    </row>
    <row r="334">
      <c r="A334" s="30" t="inlineStr">
        <is>
          <t>LOG-20260812-333</t>
        </is>
      </c>
      <c r="B334" s="32" t="n">
        <v>46246</v>
      </c>
      <c r="C334" t="inlineStr">
        <is>
          <t>Almacenero</t>
        </is>
      </c>
      <c r="D334" s="30" t="inlineStr">
        <is>
          <t>WBS-300</t>
        </is>
      </c>
      <c r="E334" s="30" t="inlineStr">
        <is>
          <t>MAT_TUB_PVC_110_AGUA</t>
        </is>
      </c>
      <c r="F334" t="inlineStr">
        <is>
          <t>TUBERIA PVC C-10 DN 110MM AGUA</t>
        </is>
      </c>
      <c r="G334" t="n">
        <v>150</v>
      </c>
      <c r="H334" s="30" t="inlineStr">
        <is>
          <t>m</t>
        </is>
      </c>
      <c r="I334">
        <f>IFERROR(VLOOKUP(E334, '05_MAESTRO_RECURSOS'!A:D, 4, FALSE), IFERROR(VLOOKUP(E334, '06_MAESTRO_PARTIDAS_EV'!B:F, 5, FALSE), 0))</f>
        <v/>
      </c>
      <c r="J334">
        <f>ROUND(G334 * I334, 2)</f>
        <v/>
      </c>
      <c r="K334" t="inlineStr">
        <is>
          <t>AC_MAT</t>
        </is>
      </c>
      <c r="L334" t="inlineStr">
        <is>
          <t>almacenero.html</t>
        </is>
      </c>
    </row>
    <row r="335">
      <c r="A335" s="30" t="inlineStr">
        <is>
          <t>LOG-20260812-334</t>
        </is>
      </c>
      <c r="B335" s="32" t="n">
        <v>46246</v>
      </c>
      <c r="C335" t="inlineStr">
        <is>
          <t>Almacenero</t>
        </is>
      </c>
      <c r="D335" s="30" t="inlineStr">
        <is>
          <t>WBS-300</t>
        </is>
      </c>
      <c r="E335" s="30" t="inlineStr">
        <is>
          <t>MAT_ACCESORIOS_AGUA</t>
        </is>
      </c>
      <c r="F335" t="inlineStr">
        <is>
          <t>ACCESORIOS PVC AGUA 110MM</t>
        </is>
      </c>
      <c r="G335" t="n">
        <v>1</v>
      </c>
      <c r="H335" s="30" t="inlineStr">
        <is>
          <t>glb</t>
        </is>
      </c>
      <c r="I335">
        <f>IFERROR(VLOOKUP(E335, '05_MAESTRO_RECURSOS'!A:D, 4, FALSE), IFERROR(VLOOKUP(E335, '06_MAESTRO_PARTIDAS_EV'!B:F, 5, FALSE), 0))</f>
        <v/>
      </c>
      <c r="J335">
        <f>ROUND(G335 * I335, 2)</f>
        <v/>
      </c>
      <c r="K335" t="inlineStr">
        <is>
          <t>AC_MAT</t>
        </is>
      </c>
      <c r="L335" t="inlineStr">
        <is>
          <t>almacenero.html</t>
        </is>
      </c>
    </row>
    <row r="336">
      <c r="A336" s="30" t="inlineStr">
        <is>
          <t>LOG-20260812-335</t>
        </is>
      </c>
      <c r="B336" s="32" t="n">
        <v>46246</v>
      </c>
      <c r="C336" t="inlineStr">
        <is>
          <t>Almacenero</t>
        </is>
      </c>
      <c r="D336" s="30" t="inlineStr">
        <is>
          <t>WBS-300</t>
        </is>
      </c>
      <c r="E336" s="30" t="inlineStr">
        <is>
          <t>MAT_CAJA_AGUA</t>
        </is>
      </c>
      <c r="F336" t="inlineStr">
        <is>
          <t>CAJA TERMOFORMADA AGUA + MEDIDOR</t>
        </is>
      </c>
      <c r="G336" t="n">
        <v>5</v>
      </c>
      <c r="H336" s="30" t="inlineStr">
        <is>
          <t>und</t>
        </is>
      </c>
      <c r="I336">
        <f>IFERROR(VLOOKUP(E336, '05_MAESTRO_RECURSOS'!A:D, 4, FALSE), IFERROR(VLOOKUP(E336, '06_MAESTRO_PARTIDAS_EV'!B:F, 5, FALSE), 0))</f>
        <v/>
      </c>
      <c r="J336">
        <f>ROUND(G336 * I336, 2)</f>
        <v/>
      </c>
      <c r="K336" t="inlineStr">
        <is>
          <t>AC_MAT</t>
        </is>
      </c>
      <c r="L336" t="inlineStr">
        <is>
          <t>almacenero.html</t>
        </is>
      </c>
    </row>
    <row r="337">
      <c r="A337" s="30" t="inlineStr">
        <is>
          <t>LOG-20260812-336</t>
        </is>
      </c>
      <c r="B337" s="32" t="n">
        <v>46246</v>
      </c>
      <c r="C337" t="inlineStr">
        <is>
          <t>Almacenero</t>
        </is>
      </c>
      <c r="D337" s="30" t="inlineStr">
        <is>
          <t>WBS-300</t>
        </is>
      </c>
      <c r="E337" s="30" t="inlineStr">
        <is>
          <t>MAT_TUB_HDPE_1_2</t>
        </is>
      </c>
      <c r="F337" t="inlineStr">
        <is>
          <t>TUBERIA HDPE 1/2 ACOMETIDA AGUA</t>
        </is>
      </c>
      <c r="G337" t="n">
        <v>30</v>
      </c>
      <c r="H337" s="30" t="inlineStr">
        <is>
          <t>m</t>
        </is>
      </c>
      <c r="I337">
        <f>IFERROR(VLOOKUP(E337, '05_MAESTRO_RECURSOS'!A:D, 4, FALSE), IFERROR(VLOOKUP(E337, '06_MAESTRO_PARTIDAS_EV'!B:F, 5, FALSE), 0))</f>
        <v/>
      </c>
      <c r="J337">
        <f>ROUND(G337 * I337, 2)</f>
        <v/>
      </c>
      <c r="K337" t="inlineStr">
        <is>
          <t>AC_MAT</t>
        </is>
      </c>
      <c r="L337" t="inlineStr">
        <is>
          <t>almacenero.html</t>
        </is>
      </c>
    </row>
    <row r="338">
      <c r="A338" s="30" t="inlineStr">
        <is>
          <t>LOG-20260812-337</t>
        </is>
      </c>
      <c r="B338" s="32" t="n">
        <v>46246</v>
      </c>
      <c r="C338" t="inlineStr">
        <is>
          <t>Ing. de Campo</t>
        </is>
      </c>
      <c r="D338" s="30" t="inlineStr">
        <is>
          <t>WBS-300</t>
        </is>
      </c>
      <c r="E338" s="30" t="inlineStr">
        <is>
          <t>01.03.02</t>
        </is>
      </c>
      <c r="F338" t="inlineStr">
        <is>
          <t>CONEXIONES DOMICILIARIAS AGUA POTABLE</t>
        </is>
      </c>
      <c r="G338" t="n">
        <v>5</v>
      </c>
      <c r="H338" s="30" t="inlineStr">
        <is>
          <t>UND</t>
        </is>
      </c>
      <c r="I338">
        <f>IFERROR(VLOOKUP(E338, '05_MAESTRO_RECURSOS'!A:D, 4, FALSE), IFERROR(VLOOKUP(E338, '06_MAESTRO_PARTIDAS_EV'!B:F, 5, FALSE), 0))</f>
        <v/>
      </c>
      <c r="J338">
        <f>ROUND(G338 * I338, 2)</f>
        <v/>
      </c>
      <c r="K338" t="inlineStr">
        <is>
          <t>EV_PRODUCCION</t>
        </is>
      </c>
      <c r="L338" t="inlineStr">
        <is>
          <t>ing_campo.html</t>
        </is>
      </c>
    </row>
    <row r="339">
      <c r="A339" s="30" t="inlineStr">
        <is>
          <t>LOG-20260812-338</t>
        </is>
      </c>
      <c r="B339" s="32" t="n">
        <v>46246</v>
      </c>
      <c r="C339" t="inlineStr">
        <is>
          <t>Administradora</t>
        </is>
      </c>
      <c r="D339" s="30" t="inlineStr">
        <is>
          <t>WBS-300</t>
        </is>
      </c>
      <c r="E339" s="30" t="inlineStr">
        <is>
          <t>EQ_RETROEXCAVADORA</t>
        </is>
      </c>
      <c r="F339" t="inlineStr">
        <is>
          <t>RETROEXCAVADORA LLANTAS 62 HP</t>
        </is>
      </c>
      <c r="G339" t="n">
        <v>8</v>
      </c>
      <c r="H339" s="30" t="inlineStr">
        <is>
          <t>hm</t>
        </is>
      </c>
      <c r="I339">
        <f>IFERROR(VLOOKUP(E339, '05_MAESTRO_RECURSOS'!A:D, 4, FALSE), IFERROR(VLOOKUP(E339, '06_MAESTRO_PARTIDAS_EV'!B:F, 5, FALSE), 0))</f>
        <v/>
      </c>
      <c r="J339">
        <f>ROUND(G339 * I339, 2)</f>
        <v/>
      </c>
      <c r="K339" t="inlineStr">
        <is>
          <t>AC_EQP</t>
        </is>
      </c>
      <c r="L339" t="inlineStr">
        <is>
          <t>administradora.html</t>
        </is>
      </c>
    </row>
    <row r="340">
      <c r="A340" s="30" t="inlineStr">
        <is>
          <t>LOG-20260812-339</t>
        </is>
      </c>
      <c r="B340" s="32" t="n">
        <v>46246</v>
      </c>
      <c r="C340" t="inlineStr">
        <is>
          <t>Administradora</t>
        </is>
      </c>
      <c r="D340" s="30" t="inlineStr">
        <is>
          <t>WBS-300</t>
        </is>
      </c>
      <c r="E340" s="30" t="inlineStr">
        <is>
          <t>EQ_PLANCHA</t>
        </is>
      </c>
      <c r="F340" t="inlineStr">
        <is>
          <t>PLANCHA COMPACTADORA 7 HP</t>
        </is>
      </c>
      <c r="G340" t="n">
        <v>8</v>
      </c>
      <c r="H340" s="30" t="inlineStr">
        <is>
          <t>hm</t>
        </is>
      </c>
      <c r="I340">
        <f>IFERROR(VLOOKUP(E340, '05_MAESTRO_RECURSOS'!A:D, 4, FALSE), IFERROR(VLOOKUP(E340, '06_MAESTRO_PARTIDAS_EV'!B:F, 5, FALSE), 0))</f>
        <v/>
      </c>
      <c r="J340">
        <f>ROUND(G340 * I340, 2)</f>
        <v/>
      </c>
      <c r="K340" t="inlineStr">
        <is>
          <t>AC_EQP</t>
        </is>
      </c>
      <c r="L340" t="inlineStr">
        <is>
          <t>administradora.html</t>
        </is>
      </c>
    </row>
    <row r="341">
      <c r="A341" s="30" t="inlineStr">
        <is>
          <t>LOG-20260812-340</t>
        </is>
      </c>
      <c r="B341" s="32" t="n">
        <v>46246</v>
      </c>
      <c r="C341" t="inlineStr">
        <is>
          <t>Administradora</t>
        </is>
      </c>
      <c r="D341" s="30" t="inlineStr">
        <is>
          <t>WBS-300</t>
        </is>
      </c>
      <c r="E341" s="30" t="inlineStr">
        <is>
          <t>EQ_RODILLO_CAMINANTE</t>
        </is>
      </c>
      <c r="F341" t="inlineStr">
        <is>
          <t>RODILLO VIBRATORIO 1.5 TN</t>
        </is>
      </c>
      <c r="G341" t="n">
        <v>8</v>
      </c>
      <c r="H341" s="30" t="inlineStr">
        <is>
          <t>hm</t>
        </is>
      </c>
      <c r="I341">
        <f>IFERROR(VLOOKUP(E341, '05_MAESTRO_RECURSOS'!A:D, 4, FALSE), IFERROR(VLOOKUP(E341, '06_MAESTRO_PARTIDAS_EV'!B:F, 5, FALSE), 0))</f>
        <v/>
      </c>
      <c r="J341">
        <f>ROUND(G341 * I341, 2)</f>
        <v/>
      </c>
      <c r="K341" t="inlineStr">
        <is>
          <t>AC_EQP</t>
        </is>
      </c>
      <c r="L341" t="inlineStr">
        <is>
          <t>administradora.html</t>
        </is>
      </c>
    </row>
    <row r="342">
      <c r="A342" s="30" t="inlineStr">
        <is>
          <t>LOG-20260812-341</t>
        </is>
      </c>
      <c r="B342" s="32" t="n">
        <v>46246</v>
      </c>
      <c r="C342" t="inlineStr">
        <is>
          <t>Ing. de Campo</t>
        </is>
      </c>
      <c r="D342" s="30" t="inlineStr">
        <is>
          <t>WBS-300</t>
        </is>
      </c>
      <c r="E342" s="30" t="inlineStr">
        <is>
          <t>01.03.01</t>
        </is>
      </c>
      <c r="F342" t="inlineStr">
        <is>
          <t>INSTALACION TUBERIA PVC C-10 DN 110MM AGUA POTABLE</t>
        </is>
      </c>
      <c r="G342" t="n">
        <v>150</v>
      </c>
      <c r="H342" s="30" t="inlineStr">
        <is>
          <t>M</t>
        </is>
      </c>
      <c r="I342">
        <f>IFERROR(VLOOKUP(E342, '05_MAESTRO_RECURSOS'!A:D, 4, FALSE), IFERROR(VLOOKUP(E342, '06_MAESTRO_PARTIDAS_EV'!B:F, 5, FALSE), 0))</f>
        <v/>
      </c>
      <c r="J342">
        <f>ROUND(G342 * I342, 2)</f>
        <v/>
      </c>
      <c r="K342" t="inlineStr">
        <is>
          <t>EV_PRODUCCION</t>
        </is>
      </c>
      <c r="L342" t="inlineStr">
        <is>
          <t>ing_campo.html</t>
        </is>
      </c>
    </row>
    <row r="343">
      <c r="A343" s="30" t="inlineStr">
        <is>
          <t>LOG-20260812-342</t>
        </is>
      </c>
      <c r="B343" s="32" t="n">
        <v>46246</v>
      </c>
      <c r="C343" t="inlineStr">
        <is>
          <t>Tareador (Bildin)</t>
        </is>
      </c>
      <c r="D343" s="30" t="inlineStr">
        <is>
          <t>WBS-400</t>
        </is>
      </c>
      <c r="E343" s="30" t="inlineStr">
        <is>
          <t>MO_OPERARIO</t>
        </is>
      </c>
      <c r="F343" t="inlineStr">
        <is>
          <t>OPERARIO</t>
        </is>
      </c>
      <c r="G343" t="n">
        <v>8</v>
      </c>
      <c r="H343" s="30" t="inlineStr">
        <is>
          <t>hh</t>
        </is>
      </c>
      <c r="I343">
        <f>IFERROR(VLOOKUP(E343, '05_MAESTRO_RECURSOS'!A:D, 4, FALSE), IFERROR(VLOOKUP(E343, '06_MAESTRO_PARTIDAS_EV'!B:F, 5, FALSE), 0))</f>
        <v/>
      </c>
      <c r="J343">
        <f>ROUND(G343 * I343, 2)</f>
        <v/>
      </c>
      <c r="K343" t="inlineStr">
        <is>
          <t>AC_MO</t>
        </is>
      </c>
      <c r="L343" t="inlineStr">
        <is>
          <t>tareador.html</t>
        </is>
      </c>
    </row>
    <row r="344">
      <c r="A344" s="30" t="inlineStr">
        <is>
          <t>LOG-20260812-343</t>
        </is>
      </c>
      <c r="B344" s="32" t="n">
        <v>46246</v>
      </c>
      <c r="C344" t="inlineStr">
        <is>
          <t>Tareador (Bildin)</t>
        </is>
      </c>
      <c r="D344" s="30" t="inlineStr">
        <is>
          <t>WBS-400</t>
        </is>
      </c>
      <c r="E344" s="30" t="inlineStr">
        <is>
          <t>MO_OFICIAL</t>
        </is>
      </c>
      <c r="F344" t="inlineStr">
        <is>
          <t>OFICIAL</t>
        </is>
      </c>
      <c r="G344" t="n">
        <v>8</v>
      </c>
      <c r="H344" s="30" t="inlineStr">
        <is>
          <t>hh</t>
        </is>
      </c>
      <c r="I344">
        <f>IFERROR(VLOOKUP(E344, '05_MAESTRO_RECURSOS'!A:D, 4, FALSE), IFERROR(VLOOKUP(E344, '06_MAESTRO_PARTIDAS_EV'!B:F, 5, FALSE), 0))</f>
        <v/>
      </c>
      <c r="J344">
        <f>ROUND(G344 * I344, 2)</f>
        <v/>
      </c>
      <c r="K344" t="inlineStr">
        <is>
          <t>AC_MO</t>
        </is>
      </c>
      <c r="L344" t="inlineStr">
        <is>
          <t>tareador.html</t>
        </is>
      </c>
    </row>
    <row r="345">
      <c r="A345" s="30" t="inlineStr">
        <is>
          <t>LOG-20260812-344</t>
        </is>
      </c>
      <c r="B345" s="32" t="n">
        <v>46246</v>
      </c>
      <c r="C345" t="inlineStr">
        <is>
          <t>Tareador (Bildin)</t>
        </is>
      </c>
      <c r="D345" s="30" t="inlineStr">
        <is>
          <t>WBS-400</t>
        </is>
      </c>
      <c r="E345" s="30" t="inlineStr">
        <is>
          <t>MO_PEON</t>
        </is>
      </c>
      <c r="F345" t="inlineStr">
        <is>
          <t>PEON</t>
        </is>
      </c>
      <c r="G345" t="n">
        <v>16</v>
      </c>
      <c r="H345" s="30" t="inlineStr">
        <is>
          <t>hh</t>
        </is>
      </c>
      <c r="I345">
        <f>IFERROR(VLOOKUP(E345, '05_MAESTRO_RECURSOS'!A:D, 4, FALSE), IFERROR(VLOOKUP(E345, '06_MAESTRO_PARTIDAS_EV'!B:F, 5, FALSE), 0))</f>
        <v/>
      </c>
      <c r="J345">
        <f>ROUND(G345 * I345, 2)</f>
        <v/>
      </c>
      <c r="K345" t="inlineStr">
        <is>
          <t>AC_MO</t>
        </is>
      </c>
      <c r="L345" t="inlineStr">
        <is>
          <t>tareador.html</t>
        </is>
      </c>
    </row>
    <row r="346">
      <c r="A346" s="30" t="inlineStr">
        <is>
          <t>LOG-20260812-345</t>
        </is>
      </c>
      <c r="B346" s="32" t="n">
        <v>46246</v>
      </c>
      <c r="C346" t="inlineStr">
        <is>
          <t>Almacenero</t>
        </is>
      </c>
      <c r="D346" s="30" t="inlineStr">
        <is>
          <t>WBS-400</t>
        </is>
      </c>
      <c r="E346" s="30" t="inlineStr">
        <is>
          <t>MAT_HIPOCLORITO</t>
        </is>
      </c>
      <c r="F346" t="inlineStr">
        <is>
          <t>HIPOCLORITO DE CALCIO 70%</t>
        </is>
      </c>
      <c r="G346" t="n">
        <v>5</v>
      </c>
      <c r="H346" s="30" t="inlineStr">
        <is>
          <t>kg</t>
        </is>
      </c>
      <c r="I346">
        <f>IFERROR(VLOOKUP(E346, '05_MAESTRO_RECURSOS'!A:D, 4, FALSE), IFERROR(VLOOKUP(E346, '06_MAESTRO_PARTIDAS_EV'!B:F, 5, FALSE), 0))</f>
        <v/>
      </c>
      <c r="J346">
        <f>ROUND(G346 * I346, 2)</f>
        <v/>
      </c>
      <c r="K346" t="inlineStr">
        <is>
          <t>AC_MAT</t>
        </is>
      </c>
      <c r="L346" t="inlineStr">
        <is>
          <t>almacenero.html</t>
        </is>
      </c>
    </row>
    <row r="347">
      <c r="A347" s="30" t="inlineStr">
        <is>
          <t>LOG-20260812-346</t>
        </is>
      </c>
      <c r="B347" s="32" t="n">
        <v>46246</v>
      </c>
      <c r="C347" t="inlineStr">
        <is>
          <t>Almacenero</t>
        </is>
      </c>
      <c r="D347" s="30" t="inlineStr">
        <is>
          <t>WBS-400</t>
        </is>
      </c>
      <c r="E347" s="30" t="inlineStr">
        <is>
          <t>MAT_AGUA</t>
        </is>
      </c>
      <c r="F347" t="inlineStr">
        <is>
          <t>AGUA PARA COMPACTACION/PRUEBAS</t>
        </is>
      </c>
      <c r="G347" t="n">
        <v>20</v>
      </c>
      <c r="H347" s="30" t="inlineStr">
        <is>
          <t>m3</t>
        </is>
      </c>
      <c r="I347">
        <f>IFERROR(VLOOKUP(E347, '05_MAESTRO_RECURSOS'!A:D, 4, FALSE), IFERROR(VLOOKUP(E347, '06_MAESTRO_PARTIDAS_EV'!B:F, 5, FALSE), 0))</f>
        <v/>
      </c>
      <c r="J347">
        <f>ROUND(G347 * I347, 2)</f>
        <v/>
      </c>
      <c r="K347" t="inlineStr">
        <is>
          <t>AC_MAT</t>
        </is>
      </c>
      <c r="L347" t="inlineStr">
        <is>
          <t>almacenero.html</t>
        </is>
      </c>
    </row>
    <row r="348">
      <c r="A348" s="30" t="inlineStr">
        <is>
          <t>LOG-20260812-347</t>
        </is>
      </c>
      <c r="B348" s="32" t="n">
        <v>46246</v>
      </c>
      <c r="C348" t="inlineStr">
        <is>
          <t>Administradora</t>
        </is>
      </c>
      <c r="D348" s="30" t="inlineStr">
        <is>
          <t>WBS-400</t>
        </is>
      </c>
      <c r="E348" s="30" t="inlineStr">
        <is>
          <t>EQ_BOMBA_PRUEBA</t>
        </is>
      </c>
      <c r="F348" t="inlineStr">
        <is>
          <t>BOMBA HIDROSTATICA PRUEBA PRESION</t>
        </is>
      </c>
      <c r="G348" t="n">
        <v>8</v>
      </c>
      <c r="H348" s="30" t="inlineStr">
        <is>
          <t>hm</t>
        </is>
      </c>
      <c r="I348">
        <f>IFERROR(VLOOKUP(E348, '05_MAESTRO_RECURSOS'!A:D, 4, FALSE), IFERROR(VLOOKUP(E348, '06_MAESTRO_PARTIDAS_EV'!B:F, 5, FALSE), 0))</f>
        <v/>
      </c>
      <c r="J348">
        <f>ROUND(G348 * I348, 2)</f>
        <v/>
      </c>
      <c r="K348" t="inlineStr">
        <is>
          <t>AC_EQP</t>
        </is>
      </c>
      <c r="L348" t="inlineStr">
        <is>
          <t>administradora.html</t>
        </is>
      </c>
    </row>
    <row r="349">
      <c r="A349" s="30" t="inlineStr">
        <is>
          <t>LOG-20260812-348</t>
        </is>
      </c>
      <c r="B349" s="32" t="n">
        <v>46246</v>
      </c>
      <c r="C349" t="inlineStr">
        <is>
          <t>Administradora</t>
        </is>
      </c>
      <c r="D349" s="30" t="inlineStr">
        <is>
          <t>WBS-400</t>
        </is>
      </c>
      <c r="E349" s="30" t="inlineStr">
        <is>
          <t>EQ_CAMION_CISTERNA</t>
        </is>
      </c>
      <c r="F349" t="inlineStr">
        <is>
          <t>CAMION CISTERNA AGUA 2000 GLN</t>
        </is>
      </c>
      <c r="G349" t="n">
        <v>8</v>
      </c>
      <c r="H349" s="30" t="inlineStr">
        <is>
          <t>hm</t>
        </is>
      </c>
      <c r="I349">
        <f>IFERROR(VLOOKUP(E349, '05_MAESTRO_RECURSOS'!A:D, 4, FALSE), IFERROR(VLOOKUP(E349, '06_MAESTRO_PARTIDAS_EV'!B:F, 5, FALSE), 0))</f>
        <v/>
      </c>
      <c r="J349">
        <f>ROUND(G349 * I349, 2)</f>
        <v/>
      </c>
      <c r="K349" t="inlineStr">
        <is>
          <t>AC_EQP</t>
        </is>
      </c>
      <c r="L349" t="inlineStr">
        <is>
          <t>administradora.html</t>
        </is>
      </c>
    </row>
    <row r="350">
      <c r="A350" s="30" t="inlineStr">
        <is>
          <t>LOG-20260812-349</t>
        </is>
      </c>
      <c r="B350" s="32" t="n">
        <v>46246</v>
      </c>
      <c r="C350" t="inlineStr">
        <is>
          <t>Ing. de Campo</t>
        </is>
      </c>
      <c r="D350" s="30" t="inlineStr">
        <is>
          <t>WBS-400</t>
        </is>
      </c>
      <c r="E350" s="30" t="inlineStr">
        <is>
          <t>01.04.01</t>
        </is>
      </c>
      <c r="F350" t="inlineStr">
        <is>
          <t>PRUEBA HIDRAULICA Y DESINFECCION DE RED DE AGUA</t>
        </is>
      </c>
      <c r="G350" t="n">
        <v>0.16</v>
      </c>
      <c r="H350" s="30" t="inlineStr">
        <is>
          <t>GLB</t>
        </is>
      </c>
      <c r="I350">
        <f>IFERROR(VLOOKUP(E350, '05_MAESTRO_RECURSOS'!A:D, 4, FALSE), IFERROR(VLOOKUP(E350, '06_MAESTRO_PARTIDAS_EV'!B:F, 5, FALSE), 0))</f>
        <v/>
      </c>
      <c r="J350">
        <f>ROUND(G350 * I350, 2)</f>
        <v/>
      </c>
      <c r="K350" t="inlineStr">
        <is>
          <t>EV_PRODUCCION</t>
        </is>
      </c>
      <c r="L350" t="inlineStr">
        <is>
          <t>ing_campo.html</t>
        </is>
      </c>
    </row>
    <row r="351">
      <c r="A351" s="30" t="inlineStr">
        <is>
          <t>LOG-20260813-350</t>
        </is>
      </c>
      <c r="B351" s="32" t="n">
        <v>46247</v>
      </c>
      <c r="C351" t="inlineStr">
        <is>
          <t>Tareador (Bildin)</t>
        </is>
      </c>
      <c r="D351" s="30" t="inlineStr">
        <is>
          <t>WBS-200</t>
        </is>
      </c>
      <c r="E351" s="30" t="inlineStr">
        <is>
          <t>MO_CAPATAZ</t>
        </is>
      </c>
      <c r="F351" t="inlineStr">
        <is>
          <t>CAPATAZ</t>
        </is>
      </c>
      <c r="G351" t="n">
        <v>8</v>
      </c>
      <c r="H351" s="30" t="inlineStr">
        <is>
          <t>hh</t>
        </is>
      </c>
      <c r="I351">
        <f>IFERROR(VLOOKUP(E351, '05_MAESTRO_RECURSOS'!A:D, 4, FALSE), IFERROR(VLOOKUP(E351, '06_MAESTRO_PARTIDAS_EV'!B:F, 5, FALSE), 0))</f>
        <v/>
      </c>
      <c r="J351">
        <f>ROUND(G351 * I351, 2)</f>
        <v/>
      </c>
      <c r="K351" t="inlineStr">
        <is>
          <t>AC_MO</t>
        </is>
      </c>
      <c r="L351" t="inlineStr">
        <is>
          <t>tareador.html</t>
        </is>
      </c>
    </row>
    <row r="352">
      <c r="A352" s="30" t="inlineStr">
        <is>
          <t>LOG-20260813-351</t>
        </is>
      </c>
      <c r="B352" s="32" t="n">
        <v>46247</v>
      </c>
      <c r="C352" t="inlineStr">
        <is>
          <t>Tareador (Bildin)</t>
        </is>
      </c>
      <c r="D352" s="30" t="inlineStr">
        <is>
          <t>WBS-200</t>
        </is>
      </c>
      <c r="E352" s="30" t="inlineStr">
        <is>
          <t>MO_OPERARIO</t>
        </is>
      </c>
      <c r="F352" t="inlineStr">
        <is>
          <t>OPERARIO</t>
        </is>
      </c>
      <c r="G352" t="n">
        <v>24</v>
      </c>
      <c r="H352" s="30" t="inlineStr">
        <is>
          <t>hh</t>
        </is>
      </c>
      <c r="I352">
        <f>IFERROR(VLOOKUP(E352, '05_MAESTRO_RECURSOS'!A:D, 4, FALSE), IFERROR(VLOOKUP(E352, '06_MAESTRO_PARTIDAS_EV'!B:F, 5, FALSE), 0))</f>
        <v/>
      </c>
      <c r="J352">
        <f>ROUND(G352 * I352, 2)</f>
        <v/>
      </c>
      <c r="K352" t="inlineStr">
        <is>
          <t>AC_MO</t>
        </is>
      </c>
      <c r="L352" t="inlineStr">
        <is>
          <t>tareador.html</t>
        </is>
      </c>
    </row>
    <row r="353">
      <c r="A353" s="30" t="inlineStr">
        <is>
          <t>LOG-20260813-352</t>
        </is>
      </c>
      <c r="B353" s="32" t="n">
        <v>46247</v>
      </c>
      <c r="C353" t="inlineStr">
        <is>
          <t>Tareador (Bildin)</t>
        </is>
      </c>
      <c r="D353" s="30" t="inlineStr">
        <is>
          <t>WBS-200</t>
        </is>
      </c>
      <c r="E353" s="30" t="inlineStr">
        <is>
          <t>MO_OFICIAL</t>
        </is>
      </c>
      <c r="F353" t="inlineStr">
        <is>
          <t>OFICIAL</t>
        </is>
      </c>
      <c r="G353" t="n">
        <v>16</v>
      </c>
      <c r="H353" s="30" t="inlineStr">
        <is>
          <t>hh</t>
        </is>
      </c>
      <c r="I353">
        <f>IFERROR(VLOOKUP(E353, '05_MAESTRO_RECURSOS'!A:D, 4, FALSE), IFERROR(VLOOKUP(E353, '06_MAESTRO_PARTIDAS_EV'!B:F, 5, FALSE), 0))</f>
        <v/>
      </c>
      <c r="J353">
        <f>ROUND(G353 * I353, 2)</f>
        <v/>
      </c>
      <c r="K353" t="inlineStr">
        <is>
          <t>AC_MO</t>
        </is>
      </c>
      <c r="L353" t="inlineStr">
        <is>
          <t>tareador.html</t>
        </is>
      </c>
    </row>
    <row r="354">
      <c r="A354" s="30" t="inlineStr">
        <is>
          <t>LOG-20260813-353</t>
        </is>
      </c>
      <c r="B354" s="32" t="n">
        <v>46247</v>
      </c>
      <c r="C354" t="inlineStr">
        <is>
          <t>Tareador (Bildin)</t>
        </is>
      </c>
      <c r="D354" s="30" t="inlineStr">
        <is>
          <t>WBS-200</t>
        </is>
      </c>
      <c r="E354" s="30" t="inlineStr">
        <is>
          <t>MO_PEON</t>
        </is>
      </c>
      <c r="F354" t="inlineStr">
        <is>
          <t>PEON</t>
        </is>
      </c>
      <c r="G354" t="n">
        <v>64</v>
      </c>
      <c r="H354" s="30" t="inlineStr">
        <is>
          <t>hh</t>
        </is>
      </c>
      <c r="I354">
        <f>IFERROR(VLOOKUP(E354, '05_MAESTRO_RECURSOS'!A:D, 4, FALSE), IFERROR(VLOOKUP(E354, '06_MAESTRO_PARTIDAS_EV'!B:F, 5, FALSE), 0))</f>
        <v/>
      </c>
      <c r="J354">
        <f>ROUND(G354 * I354, 2)</f>
        <v/>
      </c>
      <c r="K354" t="inlineStr">
        <is>
          <t>AC_MO</t>
        </is>
      </c>
      <c r="L354" t="inlineStr">
        <is>
          <t>tareador.html</t>
        </is>
      </c>
    </row>
    <row r="355">
      <c r="A355" s="30" t="inlineStr">
        <is>
          <t>LOG-20260813-354</t>
        </is>
      </c>
      <c r="B355" s="32" t="n">
        <v>46247</v>
      </c>
      <c r="C355" t="inlineStr">
        <is>
          <t>Almacenero</t>
        </is>
      </c>
      <c r="D355" s="30" t="inlineStr">
        <is>
          <t>WBS-200</t>
        </is>
      </c>
      <c r="E355" s="30" t="inlineStr">
        <is>
          <t>MAT_ARENA_CAMAS</t>
        </is>
      </c>
      <c r="F355" t="inlineStr">
        <is>
          <t>ARENA FINA SELECCIONADA PARA CAMA</t>
        </is>
      </c>
      <c r="G355" t="n">
        <v>10</v>
      </c>
      <c r="H355" s="30" t="inlineStr">
        <is>
          <t>m3</t>
        </is>
      </c>
      <c r="I355">
        <f>IFERROR(VLOOKUP(E355, '05_MAESTRO_RECURSOS'!A:D, 4, FALSE), IFERROR(VLOOKUP(E355, '06_MAESTRO_PARTIDAS_EV'!B:F, 5, FALSE), 0))</f>
        <v/>
      </c>
      <c r="J355">
        <f>ROUND(G355 * I355, 2)</f>
        <v/>
      </c>
      <c r="K355" t="inlineStr">
        <is>
          <t>AC_MAT</t>
        </is>
      </c>
      <c r="L355" t="inlineStr">
        <is>
          <t>almacenero.html</t>
        </is>
      </c>
    </row>
    <row r="356">
      <c r="A356" s="30" t="inlineStr">
        <is>
          <t>LOG-20260813-355</t>
        </is>
      </c>
      <c r="B356" s="32" t="n">
        <v>46247</v>
      </c>
      <c r="C356" t="inlineStr">
        <is>
          <t>Almacenero</t>
        </is>
      </c>
      <c r="D356" s="30" t="inlineStr">
        <is>
          <t>WBS-200</t>
        </is>
      </c>
      <c r="E356" s="30" t="inlineStr">
        <is>
          <t>MAT_TUB_PVC_200</t>
        </is>
      </c>
      <c r="F356" t="inlineStr">
        <is>
          <t>TUBERIA PVC UF DN 200MM S-20 ALCANTARILLADO</t>
        </is>
      </c>
      <c r="G356" t="n">
        <v>120</v>
      </c>
      <c r="H356" s="30" t="inlineStr">
        <is>
          <t>m</t>
        </is>
      </c>
      <c r="I356">
        <f>IFERROR(VLOOKUP(E356, '05_MAESTRO_RECURSOS'!A:D, 4, FALSE), IFERROR(VLOOKUP(E356, '06_MAESTRO_PARTIDAS_EV'!B:F, 5, FALSE), 0))</f>
        <v/>
      </c>
      <c r="J356">
        <f>ROUND(G356 * I356, 2)</f>
        <v/>
      </c>
      <c r="K356" t="inlineStr">
        <is>
          <t>AC_MAT</t>
        </is>
      </c>
      <c r="L356" t="inlineStr">
        <is>
          <t>almacenero.html</t>
        </is>
      </c>
    </row>
    <row r="357">
      <c r="A357" s="30" t="inlineStr">
        <is>
          <t>LOG-20260813-356</t>
        </is>
      </c>
      <c r="B357" s="32" t="n">
        <v>46247</v>
      </c>
      <c r="C357" t="inlineStr">
        <is>
          <t>Almacenero</t>
        </is>
      </c>
      <c r="D357" s="30" t="inlineStr">
        <is>
          <t>WBS-200</t>
        </is>
      </c>
      <c r="E357" s="30" t="inlineStr">
        <is>
          <t>MAT_LUBRICANTE</t>
        </is>
      </c>
      <c r="F357" t="inlineStr">
        <is>
          <t>LUBRICANTE PARA TUBERIA</t>
        </is>
      </c>
      <c r="G357" t="n">
        <v>2</v>
      </c>
      <c r="H357" s="30" t="inlineStr">
        <is>
          <t>kg</t>
        </is>
      </c>
      <c r="I357">
        <f>IFERROR(VLOOKUP(E357, '05_MAESTRO_RECURSOS'!A:D, 4, FALSE), IFERROR(VLOOKUP(E357, '06_MAESTRO_PARTIDAS_EV'!B:F, 5, FALSE), 0))</f>
        <v/>
      </c>
      <c r="J357">
        <f>ROUND(G357 * I357, 2)</f>
        <v/>
      </c>
      <c r="K357" t="inlineStr">
        <is>
          <t>AC_MAT</t>
        </is>
      </c>
      <c r="L357" t="inlineStr">
        <is>
          <t>almacenero.html</t>
        </is>
      </c>
    </row>
    <row r="358">
      <c r="A358" s="30" t="inlineStr">
        <is>
          <t>LOG-20260813-357</t>
        </is>
      </c>
      <c r="B358" s="32" t="n">
        <v>46247</v>
      </c>
      <c r="C358" t="inlineStr">
        <is>
          <t>Almacenero</t>
        </is>
      </c>
      <c r="D358" s="30" t="inlineStr">
        <is>
          <t>WBS-200</t>
        </is>
      </c>
      <c r="E358" s="30" t="inlineStr">
        <is>
          <t>MAT_BUZON_PREF</t>
        </is>
      </c>
      <c r="F358" t="inlineStr">
        <is>
          <t>BUZON PREFABRICADO CONCRETO</t>
        </is>
      </c>
      <c r="G358" t="n">
        <v>1</v>
      </c>
      <c r="H358" s="30" t="inlineStr">
        <is>
          <t>und</t>
        </is>
      </c>
      <c r="I358">
        <f>IFERROR(VLOOKUP(E358, '05_MAESTRO_RECURSOS'!A:D, 4, FALSE), IFERROR(VLOOKUP(E358, '06_MAESTRO_PARTIDAS_EV'!B:F, 5, FALSE), 0))</f>
        <v/>
      </c>
      <c r="J358">
        <f>ROUND(G358 * I358, 2)</f>
        <v/>
      </c>
      <c r="K358" t="inlineStr">
        <is>
          <t>AC_MAT</t>
        </is>
      </c>
      <c r="L358" t="inlineStr">
        <is>
          <t>almacenero.html</t>
        </is>
      </c>
    </row>
    <row r="359">
      <c r="A359" s="30" t="inlineStr">
        <is>
          <t>LOG-20260813-358</t>
        </is>
      </c>
      <c r="B359" s="32" t="n">
        <v>46247</v>
      </c>
      <c r="C359" t="inlineStr">
        <is>
          <t>Administradora</t>
        </is>
      </c>
      <c r="D359" s="30" t="inlineStr">
        <is>
          <t>WBS-200</t>
        </is>
      </c>
      <c r="E359" s="30" t="inlineStr">
        <is>
          <t>EQ_CAMION_GRUAN</t>
        </is>
      </c>
      <c r="F359" t="inlineStr">
        <is>
          <t>CAMION GRUA 5 TN MONTAJE BUZONES</t>
        </is>
      </c>
      <c r="G359" t="n">
        <v>4</v>
      </c>
      <c r="H359" s="30" t="inlineStr">
        <is>
          <t>hm</t>
        </is>
      </c>
      <c r="I359">
        <f>IFERROR(VLOOKUP(E359, '05_MAESTRO_RECURSOS'!A:D, 4, FALSE), IFERROR(VLOOKUP(E359, '06_MAESTRO_PARTIDAS_EV'!B:F, 5, FALSE), 0))</f>
        <v/>
      </c>
      <c r="J359">
        <f>ROUND(G359 * I359, 2)</f>
        <v/>
      </c>
      <c r="K359" t="inlineStr">
        <is>
          <t>AC_EQP</t>
        </is>
      </c>
      <c r="L359" t="inlineStr">
        <is>
          <t>administradora.html</t>
        </is>
      </c>
    </row>
    <row r="360">
      <c r="A360" s="30" t="inlineStr">
        <is>
          <t>LOG-20260813-359</t>
        </is>
      </c>
      <c r="B360" s="32" t="n">
        <v>46247</v>
      </c>
      <c r="C360" t="inlineStr">
        <is>
          <t>Administradora</t>
        </is>
      </c>
      <c r="D360" s="30" t="inlineStr">
        <is>
          <t>WBS-200</t>
        </is>
      </c>
      <c r="E360" s="30" t="inlineStr">
        <is>
          <t>SUB_MONTAJE_BUZON</t>
        </is>
      </c>
      <c r="F360" t="inlineStr">
        <is>
          <t>SUBCONTRATO MONTAJE BUZONES</t>
        </is>
      </c>
      <c r="G360" t="n">
        <v>1</v>
      </c>
      <c r="H360" s="30" t="inlineStr">
        <is>
          <t>und</t>
        </is>
      </c>
      <c r="I360">
        <f>IFERROR(VLOOKUP(E360, '05_MAESTRO_RECURSOS'!A:D, 4, FALSE), IFERROR(VLOOKUP(E360, '06_MAESTRO_PARTIDAS_EV'!B:F, 5, FALSE), 0))</f>
        <v/>
      </c>
      <c r="J360">
        <f>ROUND(G360 * I360, 2)</f>
        <v/>
      </c>
      <c r="K360" t="inlineStr">
        <is>
          <t>AC_SUB</t>
        </is>
      </c>
      <c r="L360" t="inlineStr">
        <is>
          <t>administradora.html</t>
        </is>
      </c>
    </row>
    <row r="361">
      <c r="A361" s="30" t="inlineStr">
        <is>
          <t>LOG-20260813-360</t>
        </is>
      </c>
      <c r="B361" s="32" t="n">
        <v>46247</v>
      </c>
      <c r="C361" t="inlineStr">
        <is>
          <t>Ing. de Campo</t>
        </is>
      </c>
      <c r="D361" s="30" t="inlineStr">
        <is>
          <t>WBS-200</t>
        </is>
      </c>
      <c r="E361" s="30" t="inlineStr">
        <is>
          <t>01.02.06</t>
        </is>
      </c>
      <c r="F361" t="inlineStr">
        <is>
          <t>CONSTRUCCION DE BUZONES PREFABRICADOS H=1.5 A 2.5M</t>
        </is>
      </c>
      <c r="G361" t="n">
        <v>1</v>
      </c>
      <c r="H361" s="30" t="inlineStr">
        <is>
          <t>UND</t>
        </is>
      </c>
      <c r="I361">
        <f>IFERROR(VLOOKUP(E361, '05_MAESTRO_RECURSOS'!A:D, 4, FALSE), IFERROR(VLOOKUP(E361, '06_MAESTRO_PARTIDAS_EV'!B:F, 5, FALSE), 0))</f>
        <v/>
      </c>
      <c r="J361">
        <f>ROUND(G361 * I361, 2)</f>
        <v/>
      </c>
      <c r="K361" t="inlineStr">
        <is>
          <t>EV_PRODUCCION</t>
        </is>
      </c>
      <c r="L361" t="inlineStr">
        <is>
          <t>ing_campo.html</t>
        </is>
      </c>
    </row>
    <row r="362">
      <c r="A362" s="30" t="inlineStr">
        <is>
          <t>LOG-20260813-361</t>
        </is>
      </c>
      <c r="B362" s="32" t="n">
        <v>46247</v>
      </c>
      <c r="C362" t="inlineStr">
        <is>
          <t>Almacenero</t>
        </is>
      </c>
      <c r="D362" s="30" t="inlineStr">
        <is>
          <t>WBS-200</t>
        </is>
      </c>
      <c r="E362" s="30" t="inlineStr">
        <is>
          <t>MAT_CAJA_REGISTRO</t>
        </is>
      </c>
      <c r="F362" t="inlineStr">
        <is>
          <t>CAJA REGISTRO CONCRETO 12X24</t>
        </is>
      </c>
      <c r="G362" t="n">
        <v>3</v>
      </c>
      <c r="H362" s="30" t="inlineStr">
        <is>
          <t>und</t>
        </is>
      </c>
      <c r="I362">
        <f>IFERROR(VLOOKUP(E362, '05_MAESTRO_RECURSOS'!A:D, 4, FALSE), IFERROR(VLOOKUP(E362, '06_MAESTRO_PARTIDAS_EV'!B:F, 5, FALSE), 0))</f>
        <v/>
      </c>
      <c r="J362">
        <f>ROUND(G362 * I362, 2)</f>
        <v/>
      </c>
      <c r="K362" t="inlineStr">
        <is>
          <t>AC_MAT</t>
        </is>
      </c>
      <c r="L362" t="inlineStr">
        <is>
          <t>almacenero.html</t>
        </is>
      </c>
    </row>
    <row r="363">
      <c r="A363" s="30" t="inlineStr">
        <is>
          <t>LOG-20260813-362</t>
        </is>
      </c>
      <c r="B363" s="32" t="n">
        <v>46247</v>
      </c>
      <c r="C363" t="inlineStr">
        <is>
          <t>Almacenero</t>
        </is>
      </c>
      <c r="D363" s="30" t="inlineStr">
        <is>
          <t>WBS-200</t>
        </is>
      </c>
      <c r="E363" s="30" t="inlineStr">
        <is>
          <t>MAT_TUB_PVC_160_CONEX</t>
        </is>
      </c>
      <c r="F363" t="inlineStr">
        <is>
          <t>TUBERIA PVC SAL 160MM ACOMETIDA</t>
        </is>
      </c>
      <c r="G363" t="n">
        <v>18</v>
      </c>
      <c r="H363" s="30" t="inlineStr">
        <is>
          <t>m</t>
        </is>
      </c>
      <c r="I363">
        <f>IFERROR(VLOOKUP(E363, '05_MAESTRO_RECURSOS'!A:D, 4, FALSE), IFERROR(VLOOKUP(E363, '06_MAESTRO_PARTIDAS_EV'!B:F, 5, FALSE), 0))</f>
        <v/>
      </c>
      <c r="J363">
        <f>ROUND(G363 * I363, 2)</f>
        <v/>
      </c>
      <c r="K363" t="inlineStr">
        <is>
          <t>AC_MAT</t>
        </is>
      </c>
      <c r="L363" t="inlineStr">
        <is>
          <t>almacenero.html</t>
        </is>
      </c>
    </row>
    <row r="364">
      <c r="A364" s="30" t="inlineStr">
        <is>
          <t>LOG-20260813-363</t>
        </is>
      </c>
      <c r="B364" s="32" t="n">
        <v>46247</v>
      </c>
      <c r="C364" t="inlineStr">
        <is>
          <t>Administradora</t>
        </is>
      </c>
      <c r="D364" s="30" t="inlineStr">
        <is>
          <t>WBS-200</t>
        </is>
      </c>
      <c r="E364" s="30" t="inlineStr">
        <is>
          <t>SUB_ENSAYOS_COMPAC</t>
        </is>
      </c>
      <c r="F364" t="inlineStr">
        <is>
          <t>SUBCONTRATO DENSIDADES PROCTOR</t>
        </is>
      </c>
      <c r="G364" t="n">
        <v>2</v>
      </c>
      <c r="H364" s="30" t="inlineStr">
        <is>
          <t>und</t>
        </is>
      </c>
      <c r="I364">
        <f>IFERROR(VLOOKUP(E364, '05_MAESTRO_RECURSOS'!A:D, 4, FALSE), IFERROR(VLOOKUP(E364, '06_MAESTRO_PARTIDAS_EV'!B:F, 5, FALSE), 0))</f>
        <v/>
      </c>
      <c r="J364">
        <f>ROUND(G364 * I364, 2)</f>
        <v/>
      </c>
      <c r="K364" t="inlineStr">
        <is>
          <t>AC_SUB</t>
        </is>
      </c>
      <c r="L364" t="inlineStr">
        <is>
          <t>administradora.html</t>
        </is>
      </c>
    </row>
    <row r="365">
      <c r="A365" s="30" t="inlineStr">
        <is>
          <t>LOG-20260813-364</t>
        </is>
      </c>
      <c r="B365" s="32" t="n">
        <v>46247</v>
      </c>
      <c r="C365" t="inlineStr">
        <is>
          <t>Ing. de Campo</t>
        </is>
      </c>
      <c r="D365" s="30" t="inlineStr">
        <is>
          <t>WBS-200</t>
        </is>
      </c>
      <c r="E365" s="30" t="inlineStr">
        <is>
          <t>01.02.07</t>
        </is>
      </c>
      <c r="F365" t="inlineStr">
        <is>
          <t>CONEXIONES DOMICILIARIAS ALCANTARILLADO DN 160MM</t>
        </is>
      </c>
      <c r="G365" t="n">
        <v>3</v>
      </c>
      <c r="H365" s="30" t="inlineStr">
        <is>
          <t>UND</t>
        </is>
      </c>
      <c r="I365">
        <f>IFERROR(VLOOKUP(E365, '05_MAESTRO_RECURSOS'!A:D, 4, FALSE), IFERROR(VLOOKUP(E365, '06_MAESTRO_PARTIDAS_EV'!B:F, 5, FALSE), 0))</f>
        <v/>
      </c>
      <c r="J365">
        <f>ROUND(G365 * I365, 2)</f>
        <v/>
      </c>
      <c r="K365" t="inlineStr">
        <is>
          <t>EV_PRODUCCION</t>
        </is>
      </c>
      <c r="L365" t="inlineStr">
        <is>
          <t>ing_campo.html</t>
        </is>
      </c>
    </row>
    <row r="366">
      <c r="A366" s="30" t="inlineStr">
        <is>
          <t>LOG-20260813-365</t>
        </is>
      </c>
      <c r="B366" s="32" t="n">
        <v>46247</v>
      </c>
      <c r="C366" t="inlineStr">
        <is>
          <t>Administradora</t>
        </is>
      </c>
      <c r="D366" s="30" t="inlineStr">
        <is>
          <t>WBS-200</t>
        </is>
      </c>
      <c r="E366" s="30" t="inlineStr">
        <is>
          <t>EQ_EXCAVADORA</t>
        </is>
      </c>
      <c r="F366" t="inlineStr">
        <is>
          <t>EXCAVADORA ORUGAS 140 HP</t>
        </is>
      </c>
      <c r="G366" t="n">
        <v>8</v>
      </c>
      <c r="H366" s="30" t="inlineStr">
        <is>
          <t>hm</t>
        </is>
      </c>
      <c r="I366">
        <f>IFERROR(VLOOKUP(E366, '05_MAESTRO_RECURSOS'!A:D, 4, FALSE), IFERROR(VLOOKUP(E366, '06_MAESTRO_PARTIDAS_EV'!B:F, 5, FALSE), 0))</f>
        <v/>
      </c>
      <c r="J366">
        <f>ROUND(G366 * I366, 2)</f>
        <v/>
      </c>
      <c r="K366" t="inlineStr">
        <is>
          <t>AC_EQP</t>
        </is>
      </c>
      <c r="L366" t="inlineStr">
        <is>
          <t>administradora.html</t>
        </is>
      </c>
    </row>
    <row r="367">
      <c r="A367" s="30" t="inlineStr">
        <is>
          <t>LOG-20260813-366</t>
        </is>
      </c>
      <c r="B367" s="32" t="n">
        <v>46247</v>
      </c>
      <c r="C367" t="inlineStr">
        <is>
          <t>Administradora</t>
        </is>
      </c>
      <c r="D367" s="30" t="inlineStr">
        <is>
          <t>WBS-200</t>
        </is>
      </c>
      <c r="E367" s="30" t="inlineStr">
        <is>
          <t>EQ_PLANCHA</t>
        </is>
      </c>
      <c r="F367" t="inlineStr">
        <is>
          <t>PLANCHA COMPACTADORA 7 HP</t>
        </is>
      </c>
      <c r="G367" t="n">
        <v>8</v>
      </c>
      <c r="H367" s="30" t="inlineStr">
        <is>
          <t>hm</t>
        </is>
      </c>
      <c r="I367">
        <f>IFERROR(VLOOKUP(E367, '05_MAESTRO_RECURSOS'!A:D, 4, FALSE), IFERROR(VLOOKUP(E367, '06_MAESTRO_PARTIDAS_EV'!B:F, 5, FALSE), 0))</f>
        <v/>
      </c>
      <c r="J367">
        <f>ROUND(G367 * I367, 2)</f>
        <v/>
      </c>
      <c r="K367" t="inlineStr">
        <is>
          <t>AC_EQP</t>
        </is>
      </c>
      <c r="L367" t="inlineStr">
        <is>
          <t>administradora.html</t>
        </is>
      </c>
    </row>
    <row r="368">
      <c r="A368" s="30" t="inlineStr">
        <is>
          <t>LOG-20260813-367</t>
        </is>
      </c>
      <c r="B368" s="32" t="n">
        <v>46247</v>
      </c>
      <c r="C368" t="inlineStr">
        <is>
          <t>Administradora</t>
        </is>
      </c>
      <c r="D368" s="30" t="inlineStr">
        <is>
          <t>WBS-200</t>
        </is>
      </c>
      <c r="E368" s="30" t="inlineStr">
        <is>
          <t>EQ_RODILLO_CAMINANTE</t>
        </is>
      </c>
      <c r="F368" t="inlineStr">
        <is>
          <t>RODILLO VIBRATORIO 1.5 TN</t>
        </is>
      </c>
      <c r="G368" t="n">
        <v>8</v>
      </c>
      <c r="H368" s="30" t="inlineStr">
        <is>
          <t>hm</t>
        </is>
      </c>
      <c r="I368">
        <f>IFERROR(VLOOKUP(E368, '05_MAESTRO_RECURSOS'!A:D, 4, FALSE), IFERROR(VLOOKUP(E368, '06_MAESTRO_PARTIDAS_EV'!B:F, 5, FALSE), 0))</f>
        <v/>
      </c>
      <c r="J368">
        <f>ROUND(G368 * I368, 2)</f>
        <v/>
      </c>
      <c r="K368" t="inlineStr">
        <is>
          <t>AC_EQP</t>
        </is>
      </c>
      <c r="L368" t="inlineStr">
        <is>
          <t>administradora.html</t>
        </is>
      </c>
    </row>
    <row r="369">
      <c r="A369" s="30" t="inlineStr">
        <is>
          <t>LOG-20260813-368</t>
        </is>
      </c>
      <c r="B369" s="32" t="n">
        <v>46247</v>
      </c>
      <c r="C369" t="inlineStr">
        <is>
          <t>Ing. de Campo</t>
        </is>
      </c>
      <c r="D369" s="30" t="inlineStr">
        <is>
          <t>WBS-200</t>
        </is>
      </c>
      <c r="E369" s="30" t="inlineStr">
        <is>
          <t>01.02.02</t>
        </is>
      </c>
      <c r="F369" t="inlineStr">
        <is>
          <t>EXCAVACION DE ZANJA C/MAQUINA EN T. SEMIROCOSO</t>
        </is>
      </c>
      <c r="G369" t="n">
        <v>150</v>
      </c>
      <c r="H369" s="30" t="inlineStr">
        <is>
          <t>M3</t>
        </is>
      </c>
      <c r="I369">
        <f>IFERROR(VLOOKUP(E369, '05_MAESTRO_RECURSOS'!A:D, 4, FALSE), IFERROR(VLOOKUP(E369, '06_MAESTRO_PARTIDAS_EV'!B:F, 5, FALSE), 0))</f>
        <v/>
      </c>
      <c r="J369">
        <f>ROUND(G369 * I369, 2)</f>
        <v/>
      </c>
      <c r="K369" t="inlineStr">
        <is>
          <t>EV_PRODUCCION</t>
        </is>
      </c>
      <c r="L369" t="inlineStr">
        <is>
          <t>ing_campo.html</t>
        </is>
      </c>
    </row>
    <row r="370">
      <c r="A370" s="30" t="inlineStr">
        <is>
          <t>LOG-20260813-369</t>
        </is>
      </c>
      <c r="B370" s="32" t="n">
        <v>46247</v>
      </c>
      <c r="C370" t="inlineStr">
        <is>
          <t>Ing. de Campo</t>
        </is>
      </c>
      <c r="D370" s="30" t="inlineStr">
        <is>
          <t>WBS-200</t>
        </is>
      </c>
      <c r="E370" s="30" t="inlineStr">
        <is>
          <t>01.02.03</t>
        </is>
      </c>
      <c r="F370" t="inlineStr">
        <is>
          <t>CAMA DE APOYO H=0.10 M CON ARENA SELECCIONADA</t>
        </is>
      </c>
      <c r="G370" t="n">
        <v>120</v>
      </c>
      <c r="H370" s="30" t="inlineStr">
        <is>
          <t>M</t>
        </is>
      </c>
      <c r="I370">
        <f>IFERROR(VLOOKUP(E370, '05_MAESTRO_RECURSOS'!A:D, 4, FALSE), IFERROR(VLOOKUP(E370, '06_MAESTRO_PARTIDAS_EV'!B:F, 5, FALSE), 0))</f>
        <v/>
      </c>
      <c r="J370">
        <f>ROUND(G370 * I370, 2)</f>
        <v/>
      </c>
      <c r="K370" t="inlineStr">
        <is>
          <t>EV_PRODUCCION</t>
        </is>
      </c>
      <c r="L370" t="inlineStr">
        <is>
          <t>ing_campo.html</t>
        </is>
      </c>
    </row>
    <row r="371">
      <c r="A371" s="30" t="inlineStr">
        <is>
          <t>LOG-20260813-370</t>
        </is>
      </c>
      <c r="B371" s="32" t="n">
        <v>46247</v>
      </c>
      <c r="C371" t="inlineStr">
        <is>
          <t>Ing. de Campo</t>
        </is>
      </c>
      <c r="D371" s="30" t="inlineStr">
        <is>
          <t>WBS-200</t>
        </is>
      </c>
      <c r="E371" s="30" t="inlineStr">
        <is>
          <t>01.02.04</t>
        </is>
      </c>
      <c r="F371" t="inlineStr">
        <is>
          <t>SUMINISTRO E INSTALACION DE TUBERIA PVC DN 200MM S-20</t>
        </is>
      </c>
      <c r="G371" t="n">
        <v>120</v>
      </c>
      <c r="H371" s="30" t="inlineStr">
        <is>
          <t>M</t>
        </is>
      </c>
      <c r="I371">
        <f>IFERROR(VLOOKUP(E371, '05_MAESTRO_RECURSOS'!A:D, 4, FALSE), IFERROR(VLOOKUP(E371, '06_MAESTRO_PARTIDAS_EV'!B:F, 5, FALSE), 0))</f>
        <v/>
      </c>
      <c r="J371">
        <f>ROUND(G371 * I371, 2)</f>
        <v/>
      </c>
      <c r="K371" t="inlineStr">
        <is>
          <t>EV_PRODUCCION</t>
        </is>
      </c>
      <c r="L371" t="inlineStr">
        <is>
          <t>ing_campo.html</t>
        </is>
      </c>
    </row>
    <row r="372">
      <c r="A372" s="30" t="inlineStr">
        <is>
          <t>LOG-20260813-371</t>
        </is>
      </c>
      <c r="B372" s="32" t="n">
        <v>46247</v>
      </c>
      <c r="C372" t="inlineStr">
        <is>
          <t>Ing. de Campo</t>
        </is>
      </c>
      <c r="D372" s="30" t="inlineStr">
        <is>
          <t>WBS-200</t>
        </is>
      </c>
      <c r="E372" s="30" t="inlineStr">
        <is>
          <t>01.02.05</t>
        </is>
      </c>
      <c r="F372" t="inlineStr">
        <is>
          <t>RELLENO COMPACTADO DE ZANJA C/MATERIAL PRESTAMO</t>
        </is>
      </c>
      <c r="G372" t="n">
        <v>120</v>
      </c>
      <c r="H372" s="30" t="inlineStr">
        <is>
          <t>M</t>
        </is>
      </c>
      <c r="I372">
        <f>IFERROR(VLOOKUP(E372, '05_MAESTRO_RECURSOS'!A:D, 4, FALSE), IFERROR(VLOOKUP(E372, '06_MAESTRO_PARTIDAS_EV'!B:F, 5, FALSE), 0))</f>
        <v/>
      </c>
      <c r="J372">
        <f>ROUND(G372 * I372, 2)</f>
        <v/>
      </c>
      <c r="K372" t="inlineStr">
        <is>
          <t>EV_PRODUCCION</t>
        </is>
      </c>
      <c r="L372" t="inlineStr">
        <is>
          <t>ing_campo.html</t>
        </is>
      </c>
    </row>
    <row r="373">
      <c r="A373" s="30" t="inlineStr">
        <is>
          <t>LOG-20260813-372</t>
        </is>
      </c>
      <c r="B373" s="32" t="n">
        <v>46247</v>
      </c>
      <c r="C373" t="inlineStr">
        <is>
          <t>Tareador (Bildin)</t>
        </is>
      </c>
      <c r="D373" s="30" t="inlineStr">
        <is>
          <t>WBS-300</t>
        </is>
      </c>
      <c r="E373" s="30" t="inlineStr">
        <is>
          <t>MO_CAPATAZ</t>
        </is>
      </c>
      <c r="F373" t="inlineStr">
        <is>
          <t>CAPATAZ</t>
        </is>
      </c>
      <c r="G373" t="n">
        <v>4</v>
      </c>
      <c r="H373" s="30" t="inlineStr">
        <is>
          <t>hh</t>
        </is>
      </c>
      <c r="I373">
        <f>IFERROR(VLOOKUP(E373, '05_MAESTRO_RECURSOS'!A:D, 4, FALSE), IFERROR(VLOOKUP(E373, '06_MAESTRO_PARTIDAS_EV'!B:F, 5, FALSE), 0))</f>
        <v/>
      </c>
      <c r="J373">
        <f>ROUND(G373 * I373, 2)</f>
        <v/>
      </c>
      <c r="K373" t="inlineStr">
        <is>
          <t>AC_MO</t>
        </is>
      </c>
      <c r="L373" t="inlineStr">
        <is>
          <t>tareador.html</t>
        </is>
      </c>
    </row>
    <row r="374">
      <c r="A374" s="30" t="inlineStr">
        <is>
          <t>LOG-20260813-373</t>
        </is>
      </c>
      <c r="B374" s="32" t="n">
        <v>46247</v>
      </c>
      <c r="C374" t="inlineStr">
        <is>
          <t>Tareador (Bildin)</t>
        </is>
      </c>
      <c r="D374" s="30" t="inlineStr">
        <is>
          <t>WBS-300</t>
        </is>
      </c>
      <c r="E374" s="30" t="inlineStr">
        <is>
          <t>MO_OPERARIO</t>
        </is>
      </c>
      <c r="F374" t="inlineStr">
        <is>
          <t>OPERARIO</t>
        </is>
      </c>
      <c r="G374" t="n">
        <v>16</v>
      </c>
      <c r="H374" s="30" t="inlineStr">
        <is>
          <t>hh</t>
        </is>
      </c>
      <c r="I374">
        <f>IFERROR(VLOOKUP(E374, '05_MAESTRO_RECURSOS'!A:D, 4, FALSE), IFERROR(VLOOKUP(E374, '06_MAESTRO_PARTIDAS_EV'!B:F, 5, FALSE), 0))</f>
        <v/>
      </c>
      <c r="J374">
        <f>ROUND(G374 * I374, 2)</f>
        <v/>
      </c>
      <c r="K374" t="inlineStr">
        <is>
          <t>AC_MO</t>
        </is>
      </c>
      <c r="L374" t="inlineStr">
        <is>
          <t>tareador.html</t>
        </is>
      </c>
    </row>
    <row r="375">
      <c r="A375" s="30" t="inlineStr">
        <is>
          <t>LOG-20260813-374</t>
        </is>
      </c>
      <c r="B375" s="32" t="n">
        <v>46247</v>
      </c>
      <c r="C375" t="inlineStr">
        <is>
          <t>Tareador (Bildin)</t>
        </is>
      </c>
      <c r="D375" s="30" t="inlineStr">
        <is>
          <t>WBS-300</t>
        </is>
      </c>
      <c r="E375" s="30" t="inlineStr">
        <is>
          <t>MO_PEON</t>
        </is>
      </c>
      <c r="F375" t="inlineStr">
        <is>
          <t>PEON</t>
        </is>
      </c>
      <c r="G375" t="n">
        <v>32</v>
      </c>
      <c r="H375" s="30" t="inlineStr">
        <is>
          <t>hh</t>
        </is>
      </c>
      <c r="I375">
        <f>IFERROR(VLOOKUP(E375, '05_MAESTRO_RECURSOS'!A:D, 4, FALSE), IFERROR(VLOOKUP(E375, '06_MAESTRO_PARTIDAS_EV'!B:F, 5, FALSE), 0))</f>
        <v/>
      </c>
      <c r="J375">
        <f>ROUND(G375 * I375, 2)</f>
        <v/>
      </c>
      <c r="K375" t="inlineStr">
        <is>
          <t>AC_MO</t>
        </is>
      </c>
      <c r="L375" t="inlineStr">
        <is>
          <t>tareador.html</t>
        </is>
      </c>
    </row>
    <row r="376">
      <c r="A376" s="30" t="inlineStr">
        <is>
          <t>LOG-20260813-375</t>
        </is>
      </c>
      <c r="B376" s="32" t="n">
        <v>46247</v>
      </c>
      <c r="C376" t="inlineStr">
        <is>
          <t>Almacenero</t>
        </is>
      </c>
      <c r="D376" s="30" t="inlineStr">
        <is>
          <t>WBS-300</t>
        </is>
      </c>
      <c r="E376" s="30" t="inlineStr">
        <is>
          <t>MAT_TUB_PVC_110_AGUA</t>
        </is>
      </c>
      <c r="F376" t="inlineStr">
        <is>
          <t>TUBERIA PVC C-10 DN 110MM AGUA</t>
        </is>
      </c>
      <c r="G376" t="n">
        <v>150</v>
      </c>
      <c r="H376" s="30" t="inlineStr">
        <is>
          <t>m</t>
        </is>
      </c>
      <c r="I376">
        <f>IFERROR(VLOOKUP(E376, '05_MAESTRO_RECURSOS'!A:D, 4, FALSE), IFERROR(VLOOKUP(E376, '06_MAESTRO_PARTIDAS_EV'!B:F, 5, FALSE), 0))</f>
        <v/>
      </c>
      <c r="J376">
        <f>ROUND(G376 * I376, 2)</f>
        <v/>
      </c>
      <c r="K376" t="inlineStr">
        <is>
          <t>AC_MAT</t>
        </is>
      </c>
      <c r="L376" t="inlineStr">
        <is>
          <t>almacenero.html</t>
        </is>
      </c>
    </row>
    <row r="377">
      <c r="A377" s="30" t="inlineStr">
        <is>
          <t>LOG-20260813-376</t>
        </is>
      </c>
      <c r="B377" s="32" t="n">
        <v>46247</v>
      </c>
      <c r="C377" t="inlineStr">
        <is>
          <t>Almacenero</t>
        </is>
      </c>
      <c r="D377" s="30" t="inlineStr">
        <is>
          <t>WBS-300</t>
        </is>
      </c>
      <c r="E377" s="30" t="inlineStr">
        <is>
          <t>MAT_ACCESORIOS_AGUA</t>
        </is>
      </c>
      <c r="F377" t="inlineStr">
        <is>
          <t>ACCESORIOS PVC AGUA 110MM</t>
        </is>
      </c>
      <c r="G377" t="n">
        <v>1</v>
      </c>
      <c r="H377" s="30" t="inlineStr">
        <is>
          <t>glb</t>
        </is>
      </c>
      <c r="I377">
        <f>IFERROR(VLOOKUP(E377, '05_MAESTRO_RECURSOS'!A:D, 4, FALSE), IFERROR(VLOOKUP(E377, '06_MAESTRO_PARTIDAS_EV'!B:F, 5, FALSE), 0))</f>
        <v/>
      </c>
      <c r="J377">
        <f>ROUND(G377 * I377, 2)</f>
        <v/>
      </c>
      <c r="K377" t="inlineStr">
        <is>
          <t>AC_MAT</t>
        </is>
      </c>
      <c r="L377" t="inlineStr">
        <is>
          <t>almacenero.html</t>
        </is>
      </c>
    </row>
    <row r="378">
      <c r="A378" s="30" t="inlineStr">
        <is>
          <t>LOG-20260813-377</t>
        </is>
      </c>
      <c r="B378" s="32" t="n">
        <v>46247</v>
      </c>
      <c r="C378" t="inlineStr">
        <is>
          <t>Almacenero</t>
        </is>
      </c>
      <c r="D378" s="30" t="inlineStr">
        <is>
          <t>WBS-300</t>
        </is>
      </c>
      <c r="E378" s="30" t="inlineStr">
        <is>
          <t>MAT_CAJA_AGUA</t>
        </is>
      </c>
      <c r="F378" t="inlineStr">
        <is>
          <t>CAJA TERMOFORMADA AGUA + MEDIDOR</t>
        </is>
      </c>
      <c r="G378" t="n">
        <v>5</v>
      </c>
      <c r="H378" s="30" t="inlineStr">
        <is>
          <t>und</t>
        </is>
      </c>
      <c r="I378">
        <f>IFERROR(VLOOKUP(E378, '05_MAESTRO_RECURSOS'!A:D, 4, FALSE), IFERROR(VLOOKUP(E378, '06_MAESTRO_PARTIDAS_EV'!B:F, 5, FALSE), 0))</f>
        <v/>
      </c>
      <c r="J378">
        <f>ROUND(G378 * I378, 2)</f>
        <v/>
      </c>
      <c r="K378" t="inlineStr">
        <is>
          <t>AC_MAT</t>
        </is>
      </c>
      <c r="L378" t="inlineStr">
        <is>
          <t>almacenero.html</t>
        </is>
      </c>
    </row>
    <row r="379">
      <c r="A379" s="30" t="inlineStr">
        <is>
          <t>LOG-20260813-378</t>
        </is>
      </c>
      <c r="B379" s="32" t="n">
        <v>46247</v>
      </c>
      <c r="C379" t="inlineStr">
        <is>
          <t>Almacenero</t>
        </is>
      </c>
      <c r="D379" s="30" t="inlineStr">
        <is>
          <t>WBS-300</t>
        </is>
      </c>
      <c r="E379" s="30" t="inlineStr">
        <is>
          <t>MAT_TUB_HDPE_1_2</t>
        </is>
      </c>
      <c r="F379" t="inlineStr">
        <is>
          <t>TUBERIA HDPE 1/2 ACOMETIDA AGUA</t>
        </is>
      </c>
      <c r="G379" t="n">
        <v>30</v>
      </c>
      <c r="H379" s="30" t="inlineStr">
        <is>
          <t>m</t>
        </is>
      </c>
      <c r="I379">
        <f>IFERROR(VLOOKUP(E379, '05_MAESTRO_RECURSOS'!A:D, 4, FALSE), IFERROR(VLOOKUP(E379, '06_MAESTRO_PARTIDAS_EV'!B:F, 5, FALSE), 0))</f>
        <v/>
      </c>
      <c r="J379">
        <f>ROUND(G379 * I379, 2)</f>
        <v/>
      </c>
      <c r="K379" t="inlineStr">
        <is>
          <t>AC_MAT</t>
        </is>
      </c>
      <c r="L379" t="inlineStr">
        <is>
          <t>almacenero.html</t>
        </is>
      </c>
    </row>
    <row r="380">
      <c r="A380" s="30" t="inlineStr">
        <is>
          <t>LOG-20260813-379</t>
        </is>
      </c>
      <c r="B380" s="32" t="n">
        <v>46247</v>
      </c>
      <c r="C380" t="inlineStr">
        <is>
          <t>Ing. de Campo</t>
        </is>
      </c>
      <c r="D380" s="30" t="inlineStr">
        <is>
          <t>WBS-300</t>
        </is>
      </c>
      <c r="E380" s="30" t="inlineStr">
        <is>
          <t>01.03.02</t>
        </is>
      </c>
      <c r="F380" t="inlineStr">
        <is>
          <t>CONEXIONES DOMICILIARIAS AGUA POTABLE</t>
        </is>
      </c>
      <c r="G380" t="n">
        <v>5</v>
      </c>
      <c r="H380" s="30" t="inlineStr">
        <is>
          <t>UND</t>
        </is>
      </c>
      <c r="I380">
        <f>IFERROR(VLOOKUP(E380, '05_MAESTRO_RECURSOS'!A:D, 4, FALSE), IFERROR(VLOOKUP(E380, '06_MAESTRO_PARTIDAS_EV'!B:F, 5, FALSE), 0))</f>
        <v/>
      </c>
      <c r="J380">
        <f>ROUND(G380 * I380, 2)</f>
        <v/>
      </c>
      <c r="K380" t="inlineStr">
        <is>
          <t>EV_PRODUCCION</t>
        </is>
      </c>
      <c r="L380" t="inlineStr">
        <is>
          <t>ing_campo.html</t>
        </is>
      </c>
    </row>
    <row r="381">
      <c r="A381" s="30" t="inlineStr">
        <is>
          <t>LOG-20260813-380</t>
        </is>
      </c>
      <c r="B381" s="32" t="n">
        <v>46247</v>
      </c>
      <c r="C381" t="inlineStr">
        <is>
          <t>Administradora</t>
        </is>
      </c>
      <c r="D381" s="30" t="inlineStr">
        <is>
          <t>WBS-300</t>
        </is>
      </c>
      <c r="E381" s="30" t="inlineStr">
        <is>
          <t>EQ_RETROEXCAVADORA</t>
        </is>
      </c>
      <c r="F381" t="inlineStr">
        <is>
          <t>RETROEXCAVADORA LLANTAS 62 HP</t>
        </is>
      </c>
      <c r="G381" t="n">
        <v>8</v>
      </c>
      <c r="H381" s="30" t="inlineStr">
        <is>
          <t>hm</t>
        </is>
      </c>
      <c r="I381">
        <f>IFERROR(VLOOKUP(E381, '05_MAESTRO_RECURSOS'!A:D, 4, FALSE), IFERROR(VLOOKUP(E381, '06_MAESTRO_PARTIDAS_EV'!B:F, 5, FALSE), 0))</f>
        <v/>
      </c>
      <c r="J381">
        <f>ROUND(G381 * I381, 2)</f>
        <v/>
      </c>
      <c r="K381" t="inlineStr">
        <is>
          <t>AC_EQP</t>
        </is>
      </c>
      <c r="L381" t="inlineStr">
        <is>
          <t>administradora.html</t>
        </is>
      </c>
    </row>
    <row r="382">
      <c r="A382" s="30" t="inlineStr">
        <is>
          <t>LOG-20260813-381</t>
        </is>
      </c>
      <c r="B382" s="32" t="n">
        <v>46247</v>
      </c>
      <c r="C382" t="inlineStr">
        <is>
          <t>Administradora</t>
        </is>
      </c>
      <c r="D382" s="30" t="inlineStr">
        <is>
          <t>WBS-300</t>
        </is>
      </c>
      <c r="E382" s="30" t="inlineStr">
        <is>
          <t>EQ_PLANCHA</t>
        </is>
      </c>
      <c r="F382" t="inlineStr">
        <is>
          <t>PLANCHA COMPACTADORA 7 HP</t>
        </is>
      </c>
      <c r="G382" t="n">
        <v>8</v>
      </c>
      <c r="H382" s="30" t="inlineStr">
        <is>
          <t>hm</t>
        </is>
      </c>
      <c r="I382">
        <f>IFERROR(VLOOKUP(E382, '05_MAESTRO_RECURSOS'!A:D, 4, FALSE), IFERROR(VLOOKUP(E382, '06_MAESTRO_PARTIDAS_EV'!B:F, 5, FALSE), 0))</f>
        <v/>
      </c>
      <c r="J382">
        <f>ROUND(G382 * I382, 2)</f>
        <v/>
      </c>
      <c r="K382" t="inlineStr">
        <is>
          <t>AC_EQP</t>
        </is>
      </c>
      <c r="L382" t="inlineStr">
        <is>
          <t>administradora.html</t>
        </is>
      </c>
    </row>
    <row r="383">
      <c r="A383" s="30" t="inlineStr">
        <is>
          <t>LOG-20260813-382</t>
        </is>
      </c>
      <c r="B383" s="32" t="n">
        <v>46247</v>
      </c>
      <c r="C383" t="inlineStr">
        <is>
          <t>Administradora</t>
        </is>
      </c>
      <c r="D383" s="30" t="inlineStr">
        <is>
          <t>WBS-300</t>
        </is>
      </c>
      <c r="E383" s="30" t="inlineStr">
        <is>
          <t>EQ_RODILLO_CAMINANTE</t>
        </is>
      </c>
      <c r="F383" t="inlineStr">
        <is>
          <t>RODILLO VIBRATORIO 1.5 TN</t>
        </is>
      </c>
      <c r="G383" t="n">
        <v>8</v>
      </c>
      <c r="H383" s="30" t="inlineStr">
        <is>
          <t>hm</t>
        </is>
      </c>
      <c r="I383">
        <f>IFERROR(VLOOKUP(E383, '05_MAESTRO_RECURSOS'!A:D, 4, FALSE), IFERROR(VLOOKUP(E383, '06_MAESTRO_PARTIDAS_EV'!B:F, 5, FALSE), 0))</f>
        <v/>
      </c>
      <c r="J383">
        <f>ROUND(G383 * I383, 2)</f>
        <v/>
      </c>
      <c r="K383" t="inlineStr">
        <is>
          <t>AC_EQP</t>
        </is>
      </c>
      <c r="L383" t="inlineStr">
        <is>
          <t>administradora.html</t>
        </is>
      </c>
    </row>
    <row r="384">
      <c r="A384" s="30" t="inlineStr">
        <is>
          <t>LOG-20260813-383</t>
        </is>
      </c>
      <c r="B384" s="32" t="n">
        <v>46247</v>
      </c>
      <c r="C384" t="inlineStr">
        <is>
          <t>Ing. de Campo</t>
        </is>
      </c>
      <c r="D384" s="30" t="inlineStr">
        <is>
          <t>WBS-300</t>
        </is>
      </c>
      <c r="E384" s="30" t="inlineStr">
        <is>
          <t>01.03.01</t>
        </is>
      </c>
      <c r="F384" t="inlineStr">
        <is>
          <t>INSTALACION TUBERIA PVC C-10 DN 110MM AGUA POTABLE</t>
        </is>
      </c>
      <c r="G384" t="n">
        <v>150</v>
      </c>
      <c r="H384" s="30" t="inlineStr">
        <is>
          <t>M</t>
        </is>
      </c>
      <c r="I384">
        <f>IFERROR(VLOOKUP(E384, '05_MAESTRO_RECURSOS'!A:D, 4, FALSE), IFERROR(VLOOKUP(E384, '06_MAESTRO_PARTIDAS_EV'!B:F, 5, FALSE), 0))</f>
        <v/>
      </c>
      <c r="J384">
        <f>ROUND(G384 * I384, 2)</f>
        <v/>
      </c>
      <c r="K384" t="inlineStr">
        <is>
          <t>EV_PRODUCCION</t>
        </is>
      </c>
      <c r="L384" t="inlineStr">
        <is>
          <t>ing_campo.html</t>
        </is>
      </c>
    </row>
    <row r="385">
      <c r="A385" s="30" t="inlineStr">
        <is>
          <t>LOG-20260813-384</t>
        </is>
      </c>
      <c r="B385" s="32" t="n">
        <v>46247</v>
      </c>
      <c r="C385" t="inlineStr">
        <is>
          <t>Tareador (Bildin)</t>
        </is>
      </c>
      <c r="D385" s="30" t="inlineStr">
        <is>
          <t>WBS-400</t>
        </is>
      </c>
      <c r="E385" s="30" t="inlineStr">
        <is>
          <t>MO_OPERARIO</t>
        </is>
      </c>
      <c r="F385" t="inlineStr">
        <is>
          <t>OPERARIO</t>
        </is>
      </c>
      <c r="G385" t="n">
        <v>8</v>
      </c>
      <c r="H385" s="30" t="inlineStr">
        <is>
          <t>hh</t>
        </is>
      </c>
      <c r="I385">
        <f>IFERROR(VLOOKUP(E385, '05_MAESTRO_RECURSOS'!A:D, 4, FALSE), IFERROR(VLOOKUP(E385, '06_MAESTRO_PARTIDAS_EV'!B:F, 5, FALSE), 0))</f>
        <v/>
      </c>
      <c r="J385">
        <f>ROUND(G385 * I385, 2)</f>
        <v/>
      </c>
      <c r="K385" t="inlineStr">
        <is>
          <t>AC_MO</t>
        </is>
      </c>
      <c r="L385" t="inlineStr">
        <is>
          <t>tareador.html</t>
        </is>
      </c>
    </row>
    <row r="386">
      <c r="A386" s="30" t="inlineStr">
        <is>
          <t>LOG-20260813-385</t>
        </is>
      </c>
      <c r="B386" s="32" t="n">
        <v>46247</v>
      </c>
      <c r="C386" t="inlineStr">
        <is>
          <t>Tareador (Bildin)</t>
        </is>
      </c>
      <c r="D386" s="30" t="inlineStr">
        <is>
          <t>WBS-400</t>
        </is>
      </c>
      <c r="E386" s="30" t="inlineStr">
        <is>
          <t>MO_OFICIAL</t>
        </is>
      </c>
      <c r="F386" t="inlineStr">
        <is>
          <t>OFICIAL</t>
        </is>
      </c>
      <c r="G386" t="n">
        <v>8</v>
      </c>
      <c r="H386" s="30" t="inlineStr">
        <is>
          <t>hh</t>
        </is>
      </c>
      <c r="I386">
        <f>IFERROR(VLOOKUP(E386, '05_MAESTRO_RECURSOS'!A:D, 4, FALSE), IFERROR(VLOOKUP(E386, '06_MAESTRO_PARTIDAS_EV'!B:F, 5, FALSE), 0))</f>
        <v/>
      </c>
      <c r="J386">
        <f>ROUND(G386 * I386, 2)</f>
        <v/>
      </c>
      <c r="K386" t="inlineStr">
        <is>
          <t>AC_MO</t>
        </is>
      </c>
      <c r="L386" t="inlineStr">
        <is>
          <t>tareador.html</t>
        </is>
      </c>
    </row>
    <row r="387">
      <c r="A387" s="30" t="inlineStr">
        <is>
          <t>LOG-20260813-386</t>
        </is>
      </c>
      <c r="B387" s="32" t="n">
        <v>46247</v>
      </c>
      <c r="C387" t="inlineStr">
        <is>
          <t>Tareador (Bildin)</t>
        </is>
      </c>
      <c r="D387" s="30" t="inlineStr">
        <is>
          <t>WBS-400</t>
        </is>
      </c>
      <c r="E387" s="30" t="inlineStr">
        <is>
          <t>MO_PEON</t>
        </is>
      </c>
      <c r="F387" t="inlineStr">
        <is>
          <t>PEON</t>
        </is>
      </c>
      <c r="G387" t="n">
        <v>16</v>
      </c>
      <c r="H387" s="30" t="inlineStr">
        <is>
          <t>hh</t>
        </is>
      </c>
      <c r="I387">
        <f>IFERROR(VLOOKUP(E387, '05_MAESTRO_RECURSOS'!A:D, 4, FALSE), IFERROR(VLOOKUP(E387, '06_MAESTRO_PARTIDAS_EV'!B:F, 5, FALSE), 0))</f>
        <v/>
      </c>
      <c r="J387">
        <f>ROUND(G387 * I387, 2)</f>
        <v/>
      </c>
      <c r="K387" t="inlineStr">
        <is>
          <t>AC_MO</t>
        </is>
      </c>
      <c r="L387" t="inlineStr">
        <is>
          <t>tareador.html</t>
        </is>
      </c>
    </row>
    <row r="388">
      <c r="A388" s="30" t="inlineStr">
        <is>
          <t>LOG-20260813-387</t>
        </is>
      </c>
      <c r="B388" s="32" t="n">
        <v>46247</v>
      </c>
      <c r="C388" t="inlineStr">
        <is>
          <t>Almacenero</t>
        </is>
      </c>
      <c r="D388" s="30" t="inlineStr">
        <is>
          <t>WBS-400</t>
        </is>
      </c>
      <c r="E388" s="30" t="inlineStr">
        <is>
          <t>MAT_HIPOCLORITO</t>
        </is>
      </c>
      <c r="F388" t="inlineStr">
        <is>
          <t>HIPOCLORITO DE CALCIO 70%</t>
        </is>
      </c>
      <c r="G388" t="n">
        <v>5</v>
      </c>
      <c r="H388" s="30" t="inlineStr">
        <is>
          <t>kg</t>
        </is>
      </c>
      <c r="I388">
        <f>IFERROR(VLOOKUP(E388, '05_MAESTRO_RECURSOS'!A:D, 4, FALSE), IFERROR(VLOOKUP(E388, '06_MAESTRO_PARTIDAS_EV'!B:F, 5, FALSE), 0))</f>
        <v/>
      </c>
      <c r="J388">
        <f>ROUND(G388 * I388, 2)</f>
        <v/>
      </c>
      <c r="K388" t="inlineStr">
        <is>
          <t>AC_MAT</t>
        </is>
      </c>
      <c r="L388" t="inlineStr">
        <is>
          <t>almacenero.html</t>
        </is>
      </c>
    </row>
    <row r="389">
      <c r="A389" s="30" t="inlineStr">
        <is>
          <t>LOG-20260813-388</t>
        </is>
      </c>
      <c r="B389" s="32" t="n">
        <v>46247</v>
      </c>
      <c r="C389" t="inlineStr">
        <is>
          <t>Almacenero</t>
        </is>
      </c>
      <c r="D389" s="30" t="inlineStr">
        <is>
          <t>WBS-400</t>
        </is>
      </c>
      <c r="E389" s="30" t="inlineStr">
        <is>
          <t>MAT_AGUA</t>
        </is>
      </c>
      <c r="F389" t="inlineStr">
        <is>
          <t>AGUA PARA COMPACTACION/PRUEBAS</t>
        </is>
      </c>
      <c r="G389" t="n">
        <v>20</v>
      </c>
      <c r="H389" s="30" t="inlineStr">
        <is>
          <t>m3</t>
        </is>
      </c>
      <c r="I389">
        <f>IFERROR(VLOOKUP(E389, '05_MAESTRO_RECURSOS'!A:D, 4, FALSE), IFERROR(VLOOKUP(E389, '06_MAESTRO_PARTIDAS_EV'!B:F, 5, FALSE), 0))</f>
        <v/>
      </c>
      <c r="J389">
        <f>ROUND(G389 * I389, 2)</f>
        <v/>
      </c>
      <c r="K389" t="inlineStr">
        <is>
          <t>AC_MAT</t>
        </is>
      </c>
      <c r="L389" t="inlineStr">
        <is>
          <t>almacenero.html</t>
        </is>
      </c>
    </row>
    <row r="390">
      <c r="A390" s="30" t="inlineStr">
        <is>
          <t>LOG-20260813-389</t>
        </is>
      </c>
      <c r="B390" s="32" t="n">
        <v>46247</v>
      </c>
      <c r="C390" t="inlineStr">
        <is>
          <t>Administradora</t>
        </is>
      </c>
      <c r="D390" s="30" t="inlineStr">
        <is>
          <t>WBS-400</t>
        </is>
      </c>
      <c r="E390" s="30" t="inlineStr">
        <is>
          <t>EQ_BOMBA_PRUEBA</t>
        </is>
      </c>
      <c r="F390" t="inlineStr">
        <is>
          <t>BOMBA HIDROSTATICA PRUEBA PRESION</t>
        </is>
      </c>
      <c r="G390" t="n">
        <v>8</v>
      </c>
      <c r="H390" s="30" t="inlineStr">
        <is>
          <t>hm</t>
        </is>
      </c>
      <c r="I390">
        <f>IFERROR(VLOOKUP(E390, '05_MAESTRO_RECURSOS'!A:D, 4, FALSE), IFERROR(VLOOKUP(E390, '06_MAESTRO_PARTIDAS_EV'!B:F, 5, FALSE), 0))</f>
        <v/>
      </c>
      <c r="J390">
        <f>ROUND(G390 * I390, 2)</f>
        <v/>
      </c>
      <c r="K390" t="inlineStr">
        <is>
          <t>AC_EQP</t>
        </is>
      </c>
      <c r="L390" t="inlineStr">
        <is>
          <t>administradora.html</t>
        </is>
      </c>
    </row>
    <row r="391">
      <c r="A391" s="30" t="inlineStr">
        <is>
          <t>LOG-20260813-390</t>
        </is>
      </c>
      <c r="B391" s="32" t="n">
        <v>46247</v>
      </c>
      <c r="C391" t="inlineStr">
        <is>
          <t>Administradora</t>
        </is>
      </c>
      <c r="D391" s="30" t="inlineStr">
        <is>
          <t>WBS-400</t>
        </is>
      </c>
      <c r="E391" s="30" t="inlineStr">
        <is>
          <t>EQ_CAMION_CISTERNA</t>
        </is>
      </c>
      <c r="F391" t="inlineStr">
        <is>
          <t>CAMION CISTERNA AGUA 2000 GLN</t>
        </is>
      </c>
      <c r="G391" t="n">
        <v>8</v>
      </c>
      <c r="H391" s="30" t="inlineStr">
        <is>
          <t>hm</t>
        </is>
      </c>
      <c r="I391">
        <f>IFERROR(VLOOKUP(E391, '05_MAESTRO_RECURSOS'!A:D, 4, FALSE), IFERROR(VLOOKUP(E391, '06_MAESTRO_PARTIDAS_EV'!B:F, 5, FALSE), 0))</f>
        <v/>
      </c>
      <c r="J391">
        <f>ROUND(G391 * I391, 2)</f>
        <v/>
      </c>
      <c r="K391" t="inlineStr">
        <is>
          <t>AC_EQP</t>
        </is>
      </c>
      <c r="L391" t="inlineStr">
        <is>
          <t>administradora.html</t>
        </is>
      </c>
    </row>
    <row r="392">
      <c r="A392" s="30" t="inlineStr">
        <is>
          <t>LOG-20260813-391</t>
        </is>
      </c>
      <c r="B392" s="32" t="n">
        <v>46247</v>
      </c>
      <c r="C392" t="inlineStr">
        <is>
          <t>Ing. de Campo</t>
        </is>
      </c>
      <c r="D392" s="30" t="inlineStr">
        <is>
          <t>WBS-400</t>
        </is>
      </c>
      <c r="E392" s="30" t="inlineStr">
        <is>
          <t>01.04.01</t>
        </is>
      </c>
      <c r="F392" t="inlineStr">
        <is>
          <t>PRUEBA HIDRAULICA Y DESINFECCION DE RED DE AGUA</t>
        </is>
      </c>
      <c r="G392" t="n">
        <v>0.16</v>
      </c>
      <c r="H392" s="30" t="inlineStr">
        <is>
          <t>GLB</t>
        </is>
      </c>
      <c r="I392">
        <f>IFERROR(VLOOKUP(E392, '05_MAESTRO_RECURSOS'!A:D, 4, FALSE), IFERROR(VLOOKUP(E392, '06_MAESTRO_PARTIDAS_EV'!B:F, 5, FALSE), 0))</f>
        <v/>
      </c>
      <c r="J392">
        <f>ROUND(G392 * I392, 2)</f>
        <v/>
      </c>
      <c r="K392" t="inlineStr">
        <is>
          <t>EV_PRODUCCION</t>
        </is>
      </c>
      <c r="L392" t="inlineStr">
        <is>
          <t>ing_campo.html</t>
        </is>
      </c>
    </row>
    <row r="393">
      <c r="A393" s="30" t="inlineStr">
        <is>
          <t>LOG-20260814-392</t>
        </is>
      </c>
      <c r="B393" s="32" t="n">
        <v>46248</v>
      </c>
      <c r="C393" t="inlineStr">
        <is>
          <t>Tareador (Bildin)</t>
        </is>
      </c>
      <c r="D393" s="30" t="inlineStr">
        <is>
          <t>WBS-200</t>
        </is>
      </c>
      <c r="E393" s="30" t="inlineStr">
        <is>
          <t>MO_CAPATAZ</t>
        </is>
      </c>
      <c r="F393" t="inlineStr">
        <is>
          <t>CAPATAZ</t>
        </is>
      </c>
      <c r="G393" t="n">
        <v>8</v>
      </c>
      <c r="H393" s="30" t="inlineStr">
        <is>
          <t>hh</t>
        </is>
      </c>
      <c r="I393">
        <f>IFERROR(VLOOKUP(E393, '05_MAESTRO_RECURSOS'!A:D, 4, FALSE), IFERROR(VLOOKUP(E393, '06_MAESTRO_PARTIDAS_EV'!B:F, 5, FALSE), 0))</f>
        <v/>
      </c>
      <c r="J393">
        <f>ROUND(G393 * I393, 2)</f>
        <v/>
      </c>
      <c r="K393" t="inlineStr">
        <is>
          <t>AC_MO</t>
        </is>
      </c>
      <c r="L393" t="inlineStr">
        <is>
          <t>tareador.html</t>
        </is>
      </c>
    </row>
    <row r="394">
      <c r="A394" s="30" t="inlineStr">
        <is>
          <t>LOG-20260814-393</t>
        </is>
      </c>
      <c r="B394" s="32" t="n">
        <v>46248</v>
      </c>
      <c r="C394" t="inlineStr">
        <is>
          <t>Tareador (Bildin)</t>
        </is>
      </c>
      <c r="D394" s="30" t="inlineStr">
        <is>
          <t>WBS-200</t>
        </is>
      </c>
      <c r="E394" s="30" t="inlineStr">
        <is>
          <t>MO_OPERARIO</t>
        </is>
      </c>
      <c r="F394" t="inlineStr">
        <is>
          <t>OPERARIO</t>
        </is>
      </c>
      <c r="G394" t="n">
        <v>24</v>
      </c>
      <c r="H394" s="30" t="inlineStr">
        <is>
          <t>hh</t>
        </is>
      </c>
      <c r="I394">
        <f>IFERROR(VLOOKUP(E394, '05_MAESTRO_RECURSOS'!A:D, 4, FALSE), IFERROR(VLOOKUP(E394, '06_MAESTRO_PARTIDAS_EV'!B:F, 5, FALSE), 0))</f>
        <v/>
      </c>
      <c r="J394">
        <f>ROUND(G394 * I394, 2)</f>
        <v/>
      </c>
      <c r="K394" t="inlineStr">
        <is>
          <t>AC_MO</t>
        </is>
      </c>
      <c r="L394" t="inlineStr">
        <is>
          <t>tareador.html</t>
        </is>
      </c>
    </row>
    <row r="395">
      <c r="A395" s="30" t="inlineStr">
        <is>
          <t>LOG-20260814-394</t>
        </is>
      </c>
      <c r="B395" s="32" t="n">
        <v>46248</v>
      </c>
      <c r="C395" t="inlineStr">
        <is>
          <t>Tareador (Bildin)</t>
        </is>
      </c>
      <c r="D395" s="30" t="inlineStr">
        <is>
          <t>WBS-200</t>
        </is>
      </c>
      <c r="E395" s="30" t="inlineStr">
        <is>
          <t>MO_OFICIAL</t>
        </is>
      </c>
      <c r="F395" t="inlineStr">
        <is>
          <t>OFICIAL</t>
        </is>
      </c>
      <c r="G395" t="n">
        <v>16</v>
      </c>
      <c r="H395" s="30" t="inlineStr">
        <is>
          <t>hh</t>
        </is>
      </c>
      <c r="I395">
        <f>IFERROR(VLOOKUP(E395, '05_MAESTRO_RECURSOS'!A:D, 4, FALSE), IFERROR(VLOOKUP(E395, '06_MAESTRO_PARTIDAS_EV'!B:F, 5, FALSE), 0))</f>
        <v/>
      </c>
      <c r="J395">
        <f>ROUND(G395 * I395, 2)</f>
        <v/>
      </c>
      <c r="K395" t="inlineStr">
        <is>
          <t>AC_MO</t>
        </is>
      </c>
      <c r="L395" t="inlineStr">
        <is>
          <t>tareador.html</t>
        </is>
      </c>
    </row>
    <row r="396">
      <c r="A396" s="30" t="inlineStr">
        <is>
          <t>LOG-20260814-395</t>
        </is>
      </c>
      <c r="B396" s="32" t="n">
        <v>46248</v>
      </c>
      <c r="C396" t="inlineStr">
        <is>
          <t>Tareador (Bildin)</t>
        </is>
      </c>
      <c r="D396" s="30" t="inlineStr">
        <is>
          <t>WBS-200</t>
        </is>
      </c>
      <c r="E396" s="30" t="inlineStr">
        <is>
          <t>MO_PEON</t>
        </is>
      </c>
      <c r="F396" t="inlineStr">
        <is>
          <t>PEON</t>
        </is>
      </c>
      <c r="G396" t="n">
        <v>64</v>
      </c>
      <c r="H396" s="30" t="inlineStr">
        <is>
          <t>hh</t>
        </is>
      </c>
      <c r="I396">
        <f>IFERROR(VLOOKUP(E396, '05_MAESTRO_RECURSOS'!A:D, 4, FALSE), IFERROR(VLOOKUP(E396, '06_MAESTRO_PARTIDAS_EV'!B:F, 5, FALSE), 0))</f>
        <v/>
      </c>
      <c r="J396">
        <f>ROUND(G396 * I396, 2)</f>
        <v/>
      </c>
      <c r="K396" t="inlineStr">
        <is>
          <t>AC_MO</t>
        </is>
      </c>
      <c r="L396" t="inlineStr">
        <is>
          <t>tareador.html</t>
        </is>
      </c>
    </row>
    <row r="397">
      <c r="A397" s="30" t="inlineStr">
        <is>
          <t>LOG-20260814-396</t>
        </is>
      </c>
      <c r="B397" s="32" t="n">
        <v>46248</v>
      </c>
      <c r="C397" t="inlineStr">
        <is>
          <t>Almacenero</t>
        </is>
      </c>
      <c r="D397" s="30" t="inlineStr">
        <is>
          <t>WBS-200</t>
        </is>
      </c>
      <c r="E397" s="30" t="inlineStr">
        <is>
          <t>MAT_ARENA_CAMAS</t>
        </is>
      </c>
      <c r="F397" t="inlineStr">
        <is>
          <t>ARENA FINA SELECCIONADA PARA CAMA</t>
        </is>
      </c>
      <c r="G397" t="n">
        <v>10</v>
      </c>
      <c r="H397" s="30" t="inlineStr">
        <is>
          <t>m3</t>
        </is>
      </c>
      <c r="I397">
        <f>IFERROR(VLOOKUP(E397, '05_MAESTRO_RECURSOS'!A:D, 4, FALSE), IFERROR(VLOOKUP(E397, '06_MAESTRO_PARTIDAS_EV'!B:F, 5, FALSE), 0))</f>
        <v/>
      </c>
      <c r="J397">
        <f>ROUND(G397 * I397, 2)</f>
        <v/>
      </c>
      <c r="K397" t="inlineStr">
        <is>
          <t>AC_MAT</t>
        </is>
      </c>
      <c r="L397" t="inlineStr">
        <is>
          <t>almacenero.html</t>
        </is>
      </c>
    </row>
    <row r="398">
      <c r="A398" s="30" t="inlineStr">
        <is>
          <t>LOG-20260814-397</t>
        </is>
      </c>
      <c r="B398" s="32" t="n">
        <v>46248</v>
      </c>
      <c r="C398" t="inlineStr">
        <is>
          <t>Almacenero</t>
        </is>
      </c>
      <c r="D398" s="30" t="inlineStr">
        <is>
          <t>WBS-200</t>
        </is>
      </c>
      <c r="E398" s="30" t="inlineStr">
        <is>
          <t>MAT_TUB_PVC_200</t>
        </is>
      </c>
      <c r="F398" t="inlineStr">
        <is>
          <t>TUBERIA PVC UF DN 200MM S-20 ALCANTARILLADO</t>
        </is>
      </c>
      <c r="G398" t="n">
        <v>120</v>
      </c>
      <c r="H398" s="30" t="inlineStr">
        <is>
          <t>m</t>
        </is>
      </c>
      <c r="I398">
        <f>IFERROR(VLOOKUP(E398, '05_MAESTRO_RECURSOS'!A:D, 4, FALSE), IFERROR(VLOOKUP(E398, '06_MAESTRO_PARTIDAS_EV'!B:F, 5, FALSE), 0))</f>
        <v/>
      </c>
      <c r="J398">
        <f>ROUND(G398 * I398, 2)</f>
        <v/>
      </c>
      <c r="K398" t="inlineStr">
        <is>
          <t>AC_MAT</t>
        </is>
      </c>
      <c r="L398" t="inlineStr">
        <is>
          <t>almacenero.html</t>
        </is>
      </c>
    </row>
    <row r="399">
      <c r="A399" s="30" t="inlineStr">
        <is>
          <t>LOG-20260814-398</t>
        </is>
      </c>
      <c r="B399" s="32" t="n">
        <v>46248</v>
      </c>
      <c r="C399" t="inlineStr">
        <is>
          <t>Almacenero</t>
        </is>
      </c>
      <c r="D399" s="30" t="inlineStr">
        <is>
          <t>WBS-200</t>
        </is>
      </c>
      <c r="E399" s="30" t="inlineStr">
        <is>
          <t>MAT_LUBRICANTE</t>
        </is>
      </c>
      <c r="F399" t="inlineStr">
        <is>
          <t>LUBRICANTE PARA TUBERIA</t>
        </is>
      </c>
      <c r="G399" t="n">
        <v>2</v>
      </c>
      <c r="H399" s="30" t="inlineStr">
        <is>
          <t>kg</t>
        </is>
      </c>
      <c r="I399">
        <f>IFERROR(VLOOKUP(E399, '05_MAESTRO_RECURSOS'!A:D, 4, FALSE), IFERROR(VLOOKUP(E399, '06_MAESTRO_PARTIDAS_EV'!B:F, 5, FALSE), 0))</f>
        <v/>
      </c>
      <c r="J399">
        <f>ROUND(G399 * I399, 2)</f>
        <v/>
      </c>
      <c r="K399" t="inlineStr">
        <is>
          <t>AC_MAT</t>
        </is>
      </c>
      <c r="L399" t="inlineStr">
        <is>
          <t>almacenero.html</t>
        </is>
      </c>
    </row>
    <row r="400">
      <c r="A400" s="30" t="inlineStr">
        <is>
          <t>LOG-20260814-399</t>
        </is>
      </c>
      <c r="B400" s="32" t="n">
        <v>46248</v>
      </c>
      <c r="C400" t="inlineStr">
        <is>
          <t>Almacenero</t>
        </is>
      </c>
      <c r="D400" s="30" t="inlineStr">
        <is>
          <t>WBS-200</t>
        </is>
      </c>
      <c r="E400" s="30" t="inlineStr">
        <is>
          <t>MAT_CAJA_REGISTRO</t>
        </is>
      </c>
      <c r="F400" t="inlineStr">
        <is>
          <t>CAJA REGISTRO CONCRETO 12X24</t>
        </is>
      </c>
      <c r="G400" t="n">
        <v>3</v>
      </c>
      <c r="H400" s="30" t="inlineStr">
        <is>
          <t>und</t>
        </is>
      </c>
      <c r="I400">
        <f>IFERROR(VLOOKUP(E400, '05_MAESTRO_RECURSOS'!A:D, 4, FALSE), IFERROR(VLOOKUP(E400, '06_MAESTRO_PARTIDAS_EV'!B:F, 5, FALSE), 0))</f>
        <v/>
      </c>
      <c r="J400">
        <f>ROUND(G400 * I400, 2)</f>
        <v/>
      </c>
      <c r="K400" t="inlineStr">
        <is>
          <t>AC_MAT</t>
        </is>
      </c>
      <c r="L400" t="inlineStr">
        <is>
          <t>almacenero.html</t>
        </is>
      </c>
    </row>
    <row r="401">
      <c r="A401" s="30" t="inlineStr">
        <is>
          <t>LOG-20260814-400</t>
        </is>
      </c>
      <c r="B401" s="32" t="n">
        <v>46248</v>
      </c>
      <c r="C401" t="inlineStr">
        <is>
          <t>Almacenero</t>
        </is>
      </c>
      <c r="D401" s="30" t="inlineStr">
        <is>
          <t>WBS-200</t>
        </is>
      </c>
      <c r="E401" s="30" t="inlineStr">
        <is>
          <t>MAT_TUB_PVC_160_CONEX</t>
        </is>
      </c>
      <c r="F401" t="inlineStr">
        <is>
          <t>TUBERIA PVC SAL 160MM ACOMETIDA</t>
        </is>
      </c>
      <c r="G401" t="n">
        <v>18</v>
      </c>
      <c r="H401" s="30" t="inlineStr">
        <is>
          <t>m</t>
        </is>
      </c>
      <c r="I401">
        <f>IFERROR(VLOOKUP(E401, '05_MAESTRO_RECURSOS'!A:D, 4, FALSE), IFERROR(VLOOKUP(E401, '06_MAESTRO_PARTIDAS_EV'!B:F, 5, FALSE), 0))</f>
        <v/>
      </c>
      <c r="J401">
        <f>ROUND(G401 * I401, 2)</f>
        <v/>
      </c>
      <c r="K401" t="inlineStr">
        <is>
          <t>AC_MAT</t>
        </is>
      </c>
      <c r="L401" t="inlineStr">
        <is>
          <t>almacenero.html</t>
        </is>
      </c>
    </row>
    <row r="402">
      <c r="A402" s="30" t="inlineStr">
        <is>
          <t>LOG-20260814-401</t>
        </is>
      </c>
      <c r="B402" s="32" t="n">
        <v>46248</v>
      </c>
      <c r="C402" t="inlineStr">
        <is>
          <t>Administradora</t>
        </is>
      </c>
      <c r="D402" s="30" t="inlineStr">
        <is>
          <t>WBS-200</t>
        </is>
      </c>
      <c r="E402" s="30" t="inlineStr">
        <is>
          <t>SUB_ENSAYOS_COMPAC</t>
        </is>
      </c>
      <c r="F402" t="inlineStr">
        <is>
          <t>SUBCONTRATO DENSIDADES PROCTOR</t>
        </is>
      </c>
      <c r="G402" t="n">
        <v>2</v>
      </c>
      <c r="H402" s="30" t="inlineStr">
        <is>
          <t>und</t>
        </is>
      </c>
      <c r="I402">
        <f>IFERROR(VLOOKUP(E402, '05_MAESTRO_RECURSOS'!A:D, 4, FALSE), IFERROR(VLOOKUP(E402, '06_MAESTRO_PARTIDAS_EV'!B:F, 5, FALSE), 0))</f>
        <v/>
      </c>
      <c r="J402">
        <f>ROUND(G402 * I402, 2)</f>
        <v/>
      </c>
      <c r="K402" t="inlineStr">
        <is>
          <t>AC_SUB</t>
        </is>
      </c>
      <c r="L402" t="inlineStr">
        <is>
          <t>administradora.html</t>
        </is>
      </c>
    </row>
    <row r="403">
      <c r="A403" s="30" t="inlineStr">
        <is>
          <t>LOG-20260814-402</t>
        </is>
      </c>
      <c r="B403" s="32" t="n">
        <v>46248</v>
      </c>
      <c r="C403" t="inlineStr">
        <is>
          <t>Ing. de Campo</t>
        </is>
      </c>
      <c r="D403" s="30" t="inlineStr">
        <is>
          <t>WBS-200</t>
        </is>
      </c>
      <c r="E403" s="30" t="inlineStr">
        <is>
          <t>01.02.07</t>
        </is>
      </c>
      <c r="F403" t="inlineStr">
        <is>
          <t>CONEXIONES DOMICILIARIAS ALCANTARILLADO DN 160MM</t>
        </is>
      </c>
      <c r="G403" t="n">
        <v>3</v>
      </c>
      <c r="H403" s="30" t="inlineStr">
        <is>
          <t>UND</t>
        </is>
      </c>
      <c r="I403">
        <f>IFERROR(VLOOKUP(E403, '05_MAESTRO_RECURSOS'!A:D, 4, FALSE), IFERROR(VLOOKUP(E403, '06_MAESTRO_PARTIDAS_EV'!B:F, 5, FALSE), 0))</f>
        <v/>
      </c>
      <c r="J403">
        <f>ROUND(G403 * I403, 2)</f>
        <v/>
      </c>
      <c r="K403" t="inlineStr">
        <is>
          <t>EV_PRODUCCION</t>
        </is>
      </c>
      <c r="L403" t="inlineStr">
        <is>
          <t>ing_campo.html</t>
        </is>
      </c>
    </row>
    <row r="404">
      <c r="A404" s="30" t="inlineStr">
        <is>
          <t>LOG-20260814-403</t>
        </is>
      </c>
      <c r="B404" s="32" t="n">
        <v>46248</v>
      </c>
      <c r="C404" t="inlineStr">
        <is>
          <t>Administradora</t>
        </is>
      </c>
      <c r="D404" s="30" t="inlineStr">
        <is>
          <t>WBS-200</t>
        </is>
      </c>
      <c r="E404" s="30" t="inlineStr">
        <is>
          <t>EQ_EXCAVADORA</t>
        </is>
      </c>
      <c r="F404" t="inlineStr">
        <is>
          <t>EXCAVADORA ORUGAS 140 HP</t>
        </is>
      </c>
      <c r="G404" t="n">
        <v>8</v>
      </c>
      <c r="H404" s="30" t="inlineStr">
        <is>
          <t>hm</t>
        </is>
      </c>
      <c r="I404">
        <f>IFERROR(VLOOKUP(E404, '05_MAESTRO_RECURSOS'!A:D, 4, FALSE), IFERROR(VLOOKUP(E404, '06_MAESTRO_PARTIDAS_EV'!B:F, 5, FALSE), 0))</f>
        <v/>
      </c>
      <c r="J404">
        <f>ROUND(G404 * I404, 2)</f>
        <v/>
      </c>
      <c r="K404" t="inlineStr">
        <is>
          <t>AC_EQP</t>
        </is>
      </c>
      <c r="L404" t="inlineStr">
        <is>
          <t>administradora.html</t>
        </is>
      </c>
    </row>
    <row r="405">
      <c r="A405" s="30" t="inlineStr">
        <is>
          <t>LOG-20260814-404</t>
        </is>
      </c>
      <c r="B405" s="32" t="n">
        <v>46248</v>
      </c>
      <c r="C405" t="inlineStr">
        <is>
          <t>Administradora</t>
        </is>
      </c>
      <c r="D405" s="30" t="inlineStr">
        <is>
          <t>WBS-200</t>
        </is>
      </c>
      <c r="E405" s="30" t="inlineStr">
        <is>
          <t>EQ_PLANCHA</t>
        </is>
      </c>
      <c r="F405" t="inlineStr">
        <is>
          <t>PLANCHA COMPACTADORA 7 HP</t>
        </is>
      </c>
      <c r="G405" t="n">
        <v>8</v>
      </c>
      <c r="H405" s="30" t="inlineStr">
        <is>
          <t>hm</t>
        </is>
      </c>
      <c r="I405">
        <f>IFERROR(VLOOKUP(E405, '05_MAESTRO_RECURSOS'!A:D, 4, FALSE), IFERROR(VLOOKUP(E405, '06_MAESTRO_PARTIDAS_EV'!B:F, 5, FALSE), 0))</f>
        <v/>
      </c>
      <c r="J405">
        <f>ROUND(G405 * I405, 2)</f>
        <v/>
      </c>
      <c r="K405" t="inlineStr">
        <is>
          <t>AC_EQP</t>
        </is>
      </c>
      <c r="L405" t="inlineStr">
        <is>
          <t>administradora.html</t>
        </is>
      </c>
    </row>
    <row r="406">
      <c r="A406" s="30" t="inlineStr">
        <is>
          <t>LOG-20260814-405</t>
        </is>
      </c>
      <c r="B406" s="32" t="n">
        <v>46248</v>
      </c>
      <c r="C406" t="inlineStr">
        <is>
          <t>Administradora</t>
        </is>
      </c>
      <c r="D406" s="30" t="inlineStr">
        <is>
          <t>WBS-200</t>
        </is>
      </c>
      <c r="E406" s="30" t="inlineStr">
        <is>
          <t>EQ_RODILLO_CAMINANTE</t>
        </is>
      </c>
      <c r="F406" t="inlineStr">
        <is>
          <t>RODILLO VIBRATORIO 1.5 TN</t>
        </is>
      </c>
      <c r="G406" t="n">
        <v>8</v>
      </c>
      <c r="H406" s="30" t="inlineStr">
        <is>
          <t>hm</t>
        </is>
      </c>
      <c r="I406">
        <f>IFERROR(VLOOKUP(E406, '05_MAESTRO_RECURSOS'!A:D, 4, FALSE), IFERROR(VLOOKUP(E406, '06_MAESTRO_PARTIDAS_EV'!B:F, 5, FALSE), 0))</f>
        <v/>
      </c>
      <c r="J406">
        <f>ROUND(G406 * I406, 2)</f>
        <v/>
      </c>
      <c r="K406" t="inlineStr">
        <is>
          <t>AC_EQP</t>
        </is>
      </c>
      <c r="L406" t="inlineStr">
        <is>
          <t>administradora.html</t>
        </is>
      </c>
    </row>
    <row r="407">
      <c r="A407" s="30" t="inlineStr">
        <is>
          <t>LOG-20260814-406</t>
        </is>
      </c>
      <c r="B407" s="32" t="n">
        <v>46248</v>
      </c>
      <c r="C407" t="inlineStr">
        <is>
          <t>Ing. de Campo</t>
        </is>
      </c>
      <c r="D407" s="30" t="inlineStr">
        <is>
          <t>WBS-200</t>
        </is>
      </c>
      <c r="E407" s="30" t="inlineStr">
        <is>
          <t>01.02.02</t>
        </is>
      </c>
      <c r="F407" t="inlineStr">
        <is>
          <t>EXCAVACION DE ZANJA C/MAQUINA EN T. SEMIROCOSO</t>
        </is>
      </c>
      <c r="G407" t="n">
        <v>150</v>
      </c>
      <c r="H407" s="30" t="inlineStr">
        <is>
          <t>M3</t>
        </is>
      </c>
      <c r="I407">
        <f>IFERROR(VLOOKUP(E407, '05_MAESTRO_RECURSOS'!A:D, 4, FALSE), IFERROR(VLOOKUP(E407, '06_MAESTRO_PARTIDAS_EV'!B:F, 5, FALSE), 0))</f>
        <v/>
      </c>
      <c r="J407">
        <f>ROUND(G407 * I407, 2)</f>
        <v/>
      </c>
      <c r="K407" t="inlineStr">
        <is>
          <t>EV_PRODUCCION</t>
        </is>
      </c>
      <c r="L407" t="inlineStr">
        <is>
          <t>ing_campo.html</t>
        </is>
      </c>
    </row>
    <row r="408">
      <c r="A408" s="30" t="inlineStr">
        <is>
          <t>LOG-20260814-407</t>
        </is>
      </c>
      <c r="B408" s="32" t="n">
        <v>46248</v>
      </c>
      <c r="C408" t="inlineStr">
        <is>
          <t>Ing. de Campo</t>
        </is>
      </c>
      <c r="D408" s="30" t="inlineStr">
        <is>
          <t>WBS-200</t>
        </is>
      </c>
      <c r="E408" s="30" t="inlineStr">
        <is>
          <t>01.02.03</t>
        </is>
      </c>
      <c r="F408" t="inlineStr">
        <is>
          <t>CAMA DE APOYO H=0.10 M CON ARENA SELECCIONADA</t>
        </is>
      </c>
      <c r="G408" t="n">
        <v>120</v>
      </c>
      <c r="H408" s="30" t="inlineStr">
        <is>
          <t>M</t>
        </is>
      </c>
      <c r="I408">
        <f>IFERROR(VLOOKUP(E408, '05_MAESTRO_RECURSOS'!A:D, 4, FALSE), IFERROR(VLOOKUP(E408, '06_MAESTRO_PARTIDAS_EV'!B:F, 5, FALSE), 0))</f>
        <v/>
      </c>
      <c r="J408">
        <f>ROUND(G408 * I408, 2)</f>
        <v/>
      </c>
      <c r="K408" t="inlineStr">
        <is>
          <t>EV_PRODUCCION</t>
        </is>
      </c>
      <c r="L408" t="inlineStr">
        <is>
          <t>ing_campo.html</t>
        </is>
      </c>
    </row>
    <row r="409">
      <c r="A409" s="30" t="inlineStr">
        <is>
          <t>LOG-20260814-408</t>
        </is>
      </c>
      <c r="B409" s="32" t="n">
        <v>46248</v>
      </c>
      <c r="C409" t="inlineStr">
        <is>
          <t>Ing. de Campo</t>
        </is>
      </c>
      <c r="D409" s="30" t="inlineStr">
        <is>
          <t>WBS-200</t>
        </is>
      </c>
      <c r="E409" s="30" t="inlineStr">
        <is>
          <t>01.02.04</t>
        </is>
      </c>
      <c r="F409" t="inlineStr">
        <is>
          <t>SUMINISTRO E INSTALACION DE TUBERIA PVC DN 200MM S-20</t>
        </is>
      </c>
      <c r="G409" t="n">
        <v>120</v>
      </c>
      <c r="H409" s="30" t="inlineStr">
        <is>
          <t>M</t>
        </is>
      </c>
      <c r="I409">
        <f>IFERROR(VLOOKUP(E409, '05_MAESTRO_RECURSOS'!A:D, 4, FALSE), IFERROR(VLOOKUP(E409, '06_MAESTRO_PARTIDAS_EV'!B:F, 5, FALSE), 0))</f>
        <v/>
      </c>
      <c r="J409">
        <f>ROUND(G409 * I409, 2)</f>
        <v/>
      </c>
      <c r="K409" t="inlineStr">
        <is>
          <t>EV_PRODUCCION</t>
        </is>
      </c>
      <c r="L409" t="inlineStr">
        <is>
          <t>ing_campo.html</t>
        </is>
      </c>
    </row>
    <row r="410">
      <c r="A410" s="30" t="inlineStr">
        <is>
          <t>LOG-20260814-409</t>
        </is>
      </c>
      <c r="B410" s="32" t="n">
        <v>46248</v>
      </c>
      <c r="C410" t="inlineStr">
        <is>
          <t>Ing. de Campo</t>
        </is>
      </c>
      <c r="D410" s="30" t="inlineStr">
        <is>
          <t>WBS-200</t>
        </is>
      </c>
      <c r="E410" s="30" t="inlineStr">
        <is>
          <t>01.02.05</t>
        </is>
      </c>
      <c r="F410" t="inlineStr">
        <is>
          <t>RELLENO COMPACTADO DE ZANJA C/MATERIAL PRESTAMO</t>
        </is>
      </c>
      <c r="G410" t="n">
        <v>120</v>
      </c>
      <c r="H410" s="30" t="inlineStr">
        <is>
          <t>M</t>
        </is>
      </c>
      <c r="I410">
        <f>IFERROR(VLOOKUP(E410, '05_MAESTRO_RECURSOS'!A:D, 4, FALSE), IFERROR(VLOOKUP(E410, '06_MAESTRO_PARTIDAS_EV'!B:F, 5, FALSE), 0))</f>
        <v/>
      </c>
      <c r="J410">
        <f>ROUND(G410 * I410, 2)</f>
        <v/>
      </c>
      <c r="K410" t="inlineStr">
        <is>
          <t>EV_PRODUCCION</t>
        </is>
      </c>
      <c r="L410" t="inlineStr">
        <is>
          <t>ing_campo.html</t>
        </is>
      </c>
    </row>
    <row r="411">
      <c r="A411" s="30" t="inlineStr">
        <is>
          <t>LOG-20260814-410</t>
        </is>
      </c>
      <c r="B411" s="32" t="n">
        <v>46248</v>
      </c>
      <c r="C411" t="inlineStr">
        <is>
          <t>Tareador (Bildin)</t>
        </is>
      </c>
      <c r="D411" s="30" t="inlineStr">
        <is>
          <t>WBS-300</t>
        </is>
      </c>
      <c r="E411" s="30" t="inlineStr">
        <is>
          <t>MO_CAPATAZ</t>
        </is>
      </c>
      <c r="F411" t="inlineStr">
        <is>
          <t>CAPATAZ</t>
        </is>
      </c>
      <c r="G411" t="n">
        <v>4</v>
      </c>
      <c r="H411" s="30" t="inlineStr">
        <is>
          <t>hh</t>
        </is>
      </c>
      <c r="I411">
        <f>IFERROR(VLOOKUP(E411, '05_MAESTRO_RECURSOS'!A:D, 4, FALSE), IFERROR(VLOOKUP(E411, '06_MAESTRO_PARTIDAS_EV'!B:F, 5, FALSE), 0))</f>
        <v/>
      </c>
      <c r="J411">
        <f>ROUND(G411 * I411, 2)</f>
        <v/>
      </c>
      <c r="K411" t="inlineStr">
        <is>
          <t>AC_MO</t>
        </is>
      </c>
      <c r="L411" t="inlineStr">
        <is>
          <t>tareador.html</t>
        </is>
      </c>
    </row>
    <row r="412">
      <c r="A412" s="30" t="inlineStr">
        <is>
          <t>LOG-20260814-411</t>
        </is>
      </c>
      <c r="B412" s="32" t="n">
        <v>46248</v>
      </c>
      <c r="C412" t="inlineStr">
        <is>
          <t>Tareador (Bildin)</t>
        </is>
      </c>
      <c r="D412" s="30" t="inlineStr">
        <is>
          <t>WBS-300</t>
        </is>
      </c>
      <c r="E412" s="30" t="inlineStr">
        <is>
          <t>MO_OPERARIO</t>
        </is>
      </c>
      <c r="F412" t="inlineStr">
        <is>
          <t>OPERARIO</t>
        </is>
      </c>
      <c r="G412" t="n">
        <v>16</v>
      </c>
      <c r="H412" s="30" t="inlineStr">
        <is>
          <t>hh</t>
        </is>
      </c>
      <c r="I412">
        <f>IFERROR(VLOOKUP(E412, '05_MAESTRO_RECURSOS'!A:D, 4, FALSE), IFERROR(VLOOKUP(E412, '06_MAESTRO_PARTIDAS_EV'!B:F, 5, FALSE), 0))</f>
        <v/>
      </c>
      <c r="J412">
        <f>ROUND(G412 * I412, 2)</f>
        <v/>
      </c>
      <c r="K412" t="inlineStr">
        <is>
          <t>AC_MO</t>
        </is>
      </c>
      <c r="L412" t="inlineStr">
        <is>
          <t>tareador.html</t>
        </is>
      </c>
    </row>
    <row r="413">
      <c r="A413" s="30" t="inlineStr">
        <is>
          <t>LOG-20260814-412</t>
        </is>
      </c>
      <c r="B413" s="32" t="n">
        <v>46248</v>
      </c>
      <c r="C413" t="inlineStr">
        <is>
          <t>Tareador (Bildin)</t>
        </is>
      </c>
      <c r="D413" s="30" t="inlineStr">
        <is>
          <t>WBS-300</t>
        </is>
      </c>
      <c r="E413" s="30" t="inlineStr">
        <is>
          <t>MO_PEON</t>
        </is>
      </c>
      <c r="F413" t="inlineStr">
        <is>
          <t>PEON</t>
        </is>
      </c>
      <c r="G413" t="n">
        <v>32</v>
      </c>
      <c r="H413" s="30" t="inlineStr">
        <is>
          <t>hh</t>
        </is>
      </c>
      <c r="I413">
        <f>IFERROR(VLOOKUP(E413, '05_MAESTRO_RECURSOS'!A:D, 4, FALSE), IFERROR(VLOOKUP(E413, '06_MAESTRO_PARTIDAS_EV'!B:F, 5, FALSE), 0))</f>
        <v/>
      </c>
      <c r="J413">
        <f>ROUND(G413 * I413, 2)</f>
        <v/>
      </c>
      <c r="K413" t="inlineStr">
        <is>
          <t>AC_MO</t>
        </is>
      </c>
      <c r="L413" t="inlineStr">
        <is>
          <t>tareador.html</t>
        </is>
      </c>
    </row>
    <row r="414">
      <c r="A414" s="30" t="inlineStr">
        <is>
          <t>LOG-20260814-413</t>
        </is>
      </c>
      <c r="B414" s="32" t="n">
        <v>46248</v>
      </c>
      <c r="C414" t="inlineStr">
        <is>
          <t>Almacenero</t>
        </is>
      </c>
      <c r="D414" s="30" t="inlineStr">
        <is>
          <t>WBS-300</t>
        </is>
      </c>
      <c r="E414" s="30" t="inlineStr">
        <is>
          <t>MAT_TUB_PVC_110_AGUA</t>
        </is>
      </c>
      <c r="F414" t="inlineStr">
        <is>
          <t>TUBERIA PVC C-10 DN 110MM AGUA</t>
        </is>
      </c>
      <c r="G414" t="n">
        <v>150</v>
      </c>
      <c r="H414" s="30" t="inlineStr">
        <is>
          <t>m</t>
        </is>
      </c>
      <c r="I414">
        <f>IFERROR(VLOOKUP(E414, '05_MAESTRO_RECURSOS'!A:D, 4, FALSE), IFERROR(VLOOKUP(E414, '06_MAESTRO_PARTIDAS_EV'!B:F, 5, FALSE), 0))</f>
        <v/>
      </c>
      <c r="J414">
        <f>ROUND(G414 * I414, 2)</f>
        <v/>
      </c>
      <c r="K414" t="inlineStr">
        <is>
          <t>AC_MAT</t>
        </is>
      </c>
      <c r="L414" t="inlineStr">
        <is>
          <t>almacenero.html</t>
        </is>
      </c>
    </row>
    <row r="415">
      <c r="A415" s="30" t="inlineStr">
        <is>
          <t>LOG-20260814-414</t>
        </is>
      </c>
      <c r="B415" s="32" t="n">
        <v>46248</v>
      </c>
      <c r="C415" t="inlineStr">
        <is>
          <t>Almacenero</t>
        </is>
      </c>
      <c r="D415" s="30" t="inlineStr">
        <is>
          <t>WBS-300</t>
        </is>
      </c>
      <c r="E415" s="30" t="inlineStr">
        <is>
          <t>MAT_ACCESORIOS_AGUA</t>
        </is>
      </c>
      <c r="F415" t="inlineStr">
        <is>
          <t>ACCESORIOS PVC AGUA 110MM</t>
        </is>
      </c>
      <c r="G415" t="n">
        <v>1</v>
      </c>
      <c r="H415" s="30" t="inlineStr">
        <is>
          <t>glb</t>
        </is>
      </c>
      <c r="I415">
        <f>IFERROR(VLOOKUP(E415, '05_MAESTRO_RECURSOS'!A:D, 4, FALSE), IFERROR(VLOOKUP(E415, '06_MAESTRO_PARTIDAS_EV'!B:F, 5, FALSE), 0))</f>
        <v/>
      </c>
      <c r="J415">
        <f>ROUND(G415 * I415, 2)</f>
        <v/>
      </c>
      <c r="K415" t="inlineStr">
        <is>
          <t>AC_MAT</t>
        </is>
      </c>
      <c r="L415" t="inlineStr">
        <is>
          <t>almacenero.html</t>
        </is>
      </c>
    </row>
    <row r="416">
      <c r="A416" s="30" t="inlineStr">
        <is>
          <t>LOG-20260814-415</t>
        </is>
      </c>
      <c r="B416" s="32" t="n">
        <v>46248</v>
      </c>
      <c r="C416" t="inlineStr">
        <is>
          <t>Almacenero</t>
        </is>
      </c>
      <c r="D416" s="30" t="inlineStr">
        <is>
          <t>WBS-300</t>
        </is>
      </c>
      <c r="E416" s="30" t="inlineStr">
        <is>
          <t>MAT_CAJA_AGUA</t>
        </is>
      </c>
      <c r="F416" t="inlineStr">
        <is>
          <t>CAJA TERMOFORMADA AGUA + MEDIDOR</t>
        </is>
      </c>
      <c r="G416" t="n">
        <v>5</v>
      </c>
      <c r="H416" s="30" t="inlineStr">
        <is>
          <t>und</t>
        </is>
      </c>
      <c r="I416">
        <f>IFERROR(VLOOKUP(E416, '05_MAESTRO_RECURSOS'!A:D, 4, FALSE), IFERROR(VLOOKUP(E416, '06_MAESTRO_PARTIDAS_EV'!B:F, 5, FALSE), 0))</f>
        <v/>
      </c>
      <c r="J416">
        <f>ROUND(G416 * I416, 2)</f>
        <v/>
      </c>
      <c r="K416" t="inlineStr">
        <is>
          <t>AC_MAT</t>
        </is>
      </c>
      <c r="L416" t="inlineStr">
        <is>
          <t>almacenero.html</t>
        </is>
      </c>
    </row>
    <row r="417">
      <c r="A417" s="30" t="inlineStr">
        <is>
          <t>LOG-20260814-416</t>
        </is>
      </c>
      <c r="B417" s="32" t="n">
        <v>46248</v>
      </c>
      <c r="C417" t="inlineStr">
        <is>
          <t>Almacenero</t>
        </is>
      </c>
      <c r="D417" s="30" t="inlineStr">
        <is>
          <t>WBS-300</t>
        </is>
      </c>
      <c r="E417" s="30" t="inlineStr">
        <is>
          <t>MAT_TUB_HDPE_1_2</t>
        </is>
      </c>
      <c r="F417" t="inlineStr">
        <is>
          <t>TUBERIA HDPE 1/2 ACOMETIDA AGUA</t>
        </is>
      </c>
      <c r="G417" t="n">
        <v>30</v>
      </c>
      <c r="H417" s="30" t="inlineStr">
        <is>
          <t>m</t>
        </is>
      </c>
      <c r="I417">
        <f>IFERROR(VLOOKUP(E417, '05_MAESTRO_RECURSOS'!A:D, 4, FALSE), IFERROR(VLOOKUP(E417, '06_MAESTRO_PARTIDAS_EV'!B:F, 5, FALSE), 0))</f>
        <v/>
      </c>
      <c r="J417">
        <f>ROUND(G417 * I417, 2)</f>
        <v/>
      </c>
      <c r="K417" t="inlineStr">
        <is>
          <t>AC_MAT</t>
        </is>
      </c>
      <c r="L417" t="inlineStr">
        <is>
          <t>almacenero.html</t>
        </is>
      </c>
    </row>
    <row r="418">
      <c r="A418" s="30" t="inlineStr">
        <is>
          <t>LOG-20260814-417</t>
        </is>
      </c>
      <c r="B418" s="32" t="n">
        <v>46248</v>
      </c>
      <c r="C418" t="inlineStr">
        <is>
          <t>Ing. de Campo</t>
        </is>
      </c>
      <c r="D418" s="30" t="inlineStr">
        <is>
          <t>WBS-300</t>
        </is>
      </c>
      <c r="E418" s="30" t="inlineStr">
        <is>
          <t>01.03.02</t>
        </is>
      </c>
      <c r="F418" t="inlineStr">
        <is>
          <t>CONEXIONES DOMICILIARIAS AGUA POTABLE</t>
        </is>
      </c>
      <c r="G418" t="n">
        <v>5</v>
      </c>
      <c r="H418" s="30" t="inlineStr">
        <is>
          <t>UND</t>
        </is>
      </c>
      <c r="I418">
        <f>IFERROR(VLOOKUP(E418, '05_MAESTRO_RECURSOS'!A:D, 4, FALSE), IFERROR(VLOOKUP(E418, '06_MAESTRO_PARTIDAS_EV'!B:F, 5, FALSE), 0))</f>
        <v/>
      </c>
      <c r="J418">
        <f>ROUND(G418 * I418, 2)</f>
        <v/>
      </c>
      <c r="K418" t="inlineStr">
        <is>
          <t>EV_PRODUCCION</t>
        </is>
      </c>
      <c r="L418" t="inlineStr">
        <is>
          <t>ing_campo.html</t>
        </is>
      </c>
    </row>
    <row r="419">
      <c r="A419" s="30" t="inlineStr">
        <is>
          <t>LOG-20260814-418</t>
        </is>
      </c>
      <c r="B419" s="32" t="n">
        <v>46248</v>
      </c>
      <c r="C419" t="inlineStr">
        <is>
          <t>Administradora</t>
        </is>
      </c>
      <c r="D419" s="30" t="inlineStr">
        <is>
          <t>WBS-300</t>
        </is>
      </c>
      <c r="E419" s="30" t="inlineStr">
        <is>
          <t>EQ_RETROEXCAVADORA</t>
        </is>
      </c>
      <c r="F419" t="inlineStr">
        <is>
          <t>RETROEXCAVADORA LLANTAS 62 HP</t>
        </is>
      </c>
      <c r="G419" t="n">
        <v>8</v>
      </c>
      <c r="H419" s="30" t="inlineStr">
        <is>
          <t>hm</t>
        </is>
      </c>
      <c r="I419">
        <f>IFERROR(VLOOKUP(E419, '05_MAESTRO_RECURSOS'!A:D, 4, FALSE), IFERROR(VLOOKUP(E419, '06_MAESTRO_PARTIDAS_EV'!B:F, 5, FALSE), 0))</f>
        <v/>
      </c>
      <c r="J419">
        <f>ROUND(G419 * I419, 2)</f>
        <v/>
      </c>
      <c r="K419" t="inlineStr">
        <is>
          <t>AC_EQP</t>
        </is>
      </c>
      <c r="L419" t="inlineStr">
        <is>
          <t>administradora.html</t>
        </is>
      </c>
    </row>
    <row r="420">
      <c r="A420" s="30" t="inlineStr">
        <is>
          <t>LOG-20260814-419</t>
        </is>
      </c>
      <c r="B420" s="32" t="n">
        <v>46248</v>
      </c>
      <c r="C420" t="inlineStr">
        <is>
          <t>Administradora</t>
        </is>
      </c>
      <c r="D420" s="30" t="inlineStr">
        <is>
          <t>WBS-300</t>
        </is>
      </c>
      <c r="E420" s="30" t="inlineStr">
        <is>
          <t>EQ_PLANCHA</t>
        </is>
      </c>
      <c r="F420" t="inlineStr">
        <is>
          <t>PLANCHA COMPACTADORA 7 HP</t>
        </is>
      </c>
      <c r="G420" t="n">
        <v>8</v>
      </c>
      <c r="H420" s="30" t="inlineStr">
        <is>
          <t>hm</t>
        </is>
      </c>
      <c r="I420">
        <f>IFERROR(VLOOKUP(E420, '05_MAESTRO_RECURSOS'!A:D, 4, FALSE), IFERROR(VLOOKUP(E420, '06_MAESTRO_PARTIDAS_EV'!B:F, 5, FALSE), 0))</f>
        <v/>
      </c>
      <c r="J420">
        <f>ROUND(G420 * I420, 2)</f>
        <v/>
      </c>
      <c r="K420" t="inlineStr">
        <is>
          <t>AC_EQP</t>
        </is>
      </c>
      <c r="L420" t="inlineStr">
        <is>
          <t>administradora.html</t>
        </is>
      </c>
    </row>
    <row r="421">
      <c r="A421" s="30" t="inlineStr">
        <is>
          <t>LOG-20260814-420</t>
        </is>
      </c>
      <c r="B421" s="32" t="n">
        <v>46248</v>
      </c>
      <c r="C421" t="inlineStr">
        <is>
          <t>Administradora</t>
        </is>
      </c>
      <c r="D421" s="30" t="inlineStr">
        <is>
          <t>WBS-300</t>
        </is>
      </c>
      <c r="E421" s="30" t="inlineStr">
        <is>
          <t>EQ_RODILLO_CAMINANTE</t>
        </is>
      </c>
      <c r="F421" t="inlineStr">
        <is>
          <t>RODILLO VIBRATORIO 1.5 TN</t>
        </is>
      </c>
      <c r="G421" t="n">
        <v>8</v>
      </c>
      <c r="H421" s="30" t="inlineStr">
        <is>
          <t>hm</t>
        </is>
      </c>
      <c r="I421">
        <f>IFERROR(VLOOKUP(E421, '05_MAESTRO_RECURSOS'!A:D, 4, FALSE), IFERROR(VLOOKUP(E421, '06_MAESTRO_PARTIDAS_EV'!B:F, 5, FALSE), 0))</f>
        <v/>
      </c>
      <c r="J421">
        <f>ROUND(G421 * I421, 2)</f>
        <v/>
      </c>
      <c r="K421" t="inlineStr">
        <is>
          <t>AC_EQP</t>
        </is>
      </c>
      <c r="L421" t="inlineStr">
        <is>
          <t>administradora.html</t>
        </is>
      </c>
    </row>
    <row r="422">
      <c r="A422" s="30" t="inlineStr">
        <is>
          <t>LOG-20260814-421</t>
        </is>
      </c>
      <c r="B422" s="32" t="n">
        <v>46248</v>
      </c>
      <c r="C422" t="inlineStr">
        <is>
          <t>Ing. de Campo</t>
        </is>
      </c>
      <c r="D422" s="30" t="inlineStr">
        <is>
          <t>WBS-300</t>
        </is>
      </c>
      <c r="E422" s="30" t="inlineStr">
        <is>
          <t>01.03.01</t>
        </is>
      </c>
      <c r="F422" t="inlineStr">
        <is>
          <t>INSTALACION TUBERIA PVC C-10 DN 110MM AGUA POTABLE</t>
        </is>
      </c>
      <c r="G422" t="n">
        <v>150</v>
      </c>
      <c r="H422" s="30" t="inlineStr">
        <is>
          <t>M</t>
        </is>
      </c>
      <c r="I422">
        <f>IFERROR(VLOOKUP(E422, '05_MAESTRO_RECURSOS'!A:D, 4, FALSE), IFERROR(VLOOKUP(E422, '06_MAESTRO_PARTIDAS_EV'!B:F, 5, FALSE), 0))</f>
        <v/>
      </c>
      <c r="J422">
        <f>ROUND(G422 * I422, 2)</f>
        <v/>
      </c>
      <c r="K422" t="inlineStr">
        <is>
          <t>EV_PRODUCCION</t>
        </is>
      </c>
      <c r="L422" t="inlineStr">
        <is>
          <t>ing_campo.html</t>
        </is>
      </c>
    </row>
    <row r="423">
      <c r="A423" s="30" t="inlineStr">
        <is>
          <t>LOG-20260814-422</t>
        </is>
      </c>
      <c r="B423" s="32" t="n">
        <v>46248</v>
      </c>
      <c r="C423" t="inlineStr">
        <is>
          <t>Tareador (Bildin)</t>
        </is>
      </c>
      <c r="D423" s="30" t="inlineStr">
        <is>
          <t>WBS-400</t>
        </is>
      </c>
      <c r="E423" s="30" t="inlineStr">
        <is>
          <t>MO_OPERARIO</t>
        </is>
      </c>
      <c r="F423" t="inlineStr">
        <is>
          <t>OPERARIO</t>
        </is>
      </c>
      <c r="G423" t="n">
        <v>8</v>
      </c>
      <c r="H423" s="30" t="inlineStr">
        <is>
          <t>hh</t>
        </is>
      </c>
      <c r="I423">
        <f>IFERROR(VLOOKUP(E423, '05_MAESTRO_RECURSOS'!A:D, 4, FALSE), IFERROR(VLOOKUP(E423, '06_MAESTRO_PARTIDAS_EV'!B:F, 5, FALSE), 0))</f>
        <v/>
      </c>
      <c r="J423">
        <f>ROUND(G423 * I423, 2)</f>
        <v/>
      </c>
      <c r="K423" t="inlineStr">
        <is>
          <t>AC_MO</t>
        </is>
      </c>
      <c r="L423" t="inlineStr">
        <is>
          <t>tareador.html</t>
        </is>
      </c>
    </row>
    <row r="424">
      <c r="A424" s="30" t="inlineStr">
        <is>
          <t>LOG-20260814-423</t>
        </is>
      </c>
      <c r="B424" s="32" t="n">
        <v>46248</v>
      </c>
      <c r="C424" t="inlineStr">
        <is>
          <t>Tareador (Bildin)</t>
        </is>
      </c>
      <c r="D424" s="30" t="inlineStr">
        <is>
          <t>WBS-400</t>
        </is>
      </c>
      <c r="E424" s="30" t="inlineStr">
        <is>
          <t>MO_OFICIAL</t>
        </is>
      </c>
      <c r="F424" t="inlineStr">
        <is>
          <t>OFICIAL</t>
        </is>
      </c>
      <c r="G424" t="n">
        <v>8</v>
      </c>
      <c r="H424" s="30" t="inlineStr">
        <is>
          <t>hh</t>
        </is>
      </c>
      <c r="I424">
        <f>IFERROR(VLOOKUP(E424, '05_MAESTRO_RECURSOS'!A:D, 4, FALSE), IFERROR(VLOOKUP(E424, '06_MAESTRO_PARTIDAS_EV'!B:F, 5, FALSE), 0))</f>
        <v/>
      </c>
      <c r="J424">
        <f>ROUND(G424 * I424, 2)</f>
        <v/>
      </c>
      <c r="K424" t="inlineStr">
        <is>
          <t>AC_MO</t>
        </is>
      </c>
      <c r="L424" t="inlineStr">
        <is>
          <t>tareador.html</t>
        </is>
      </c>
    </row>
    <row r="425">
      <c r="A425" s="30" t="inlineStr">
        <is>
          <t>LOG-20260814-424</t>
        </is>
      </c>
      <c r="B425" s="32" t="n">
        <v>46248</v>
      </c>
      <c r="C425" t="inlineStr">
        <is>
          <t>Tareador (Bildin)</t>
        </is>
      </c>
      <c r="D425" s="30" t="inlineStr">
        <is>
          <t>WBS-400</t>
        </is>
      </c>
      <c r="E425" s="30" t="inlineStr">
        <is>
          <t>MO_PEON</t>
        </is>
      </c>
      <c r="F425" t="inlineStr">
        <is>
          <t>PEON</t>
        </is>
      </c>
      <c r="G425" t="n">
        <v>16</v>
      </c>
      <c r="H425" s="30" t="inlineStr">
        <is>
          <t>hh</t>
        </is>
      </c>
      <c r="I425">
        <f>IFERROR(VLOOKUP(E425, '05_MAESTRO_RECURSOS'!A:D, 4, FALSE), IFERROR(VLOOKUP(E425, '06_MAESTRO_PARTIDAS_EV'!B:F, 5, FALSE), 0))</f>
        <v/>
      </c>
      <c r="J425">
        <f>ROUND(G425 * I425, 2)</f>
        <v/>
      </c>
      <c r="K425" t="inlineStr">
        <is>
          <t>AC_MO</t>
        </is>
      </c>
      <c r="L425" t="inlineStr">
        <is>
          <t>tareador.html</t>
        </is>
      </c>
    </row>
    <row r="426">
      <c r="A426" s="30" t="inlineStr">
        <is>
          <t>LOG-20260814-425</t>
        </is>
      </c>
      <c r="B426" s="32" t="n">
        <v>46248</v>
      </c>
      <c r="C426" t="inlineStr">
        <is>
          <t>Almacenero</t>
        </is>
      </c>
      <c r="D426" s="30" t="inlineStr">
        <is>
          <t>WBS-400</t>
        </is>
      </c>
      <c r="E426" s="30" t="inlineStr">
        <is>
          <t>MAT_HIPOCLORITO</t>
        </is>
      </c>
      <c r="F426" t="inlineStr">
        <is>
          <t>HIPOCLORITO DE CALCIO 70%</t>
        </is>
      </c>
      <c r="G426" t="n">
        <v>5</v>
      </c>
      <c r="H426" s="30" t="inlineStr">
        <is>
          <t>kg</t>
        </is>
      </c>
      <c r="I426">
        <f>IFERROR(VLOOKUP(E426, '05_MAESTRO_RECURSOS'!A:D, 4, FALSE), IFERROR(VLOOKUP(E426, '06_MAESTRO_PARTIDAS_EV'!B:F, 5, FALSE), 0))</f>
        <v/>
      </c>
      <c r="J426">
        <f>ROUND(G426 * I426, 2)</f>
        <v/>
      </c>
      <c r="K426" t="inlineStr">
        <is>
          <t>AC_MAT</t>
        </is>
      </c>
      <c r="L426" t="inlineStr">
        <is>
          <t>almacenero.html</t>
        </is>
      </c>
    </row>
    <row r="427">
      <c r="A427" s="30" t="inlineStr">
        <is>
          <t>LOG-20260814-426</t>
        </is>
      </c>
      <c r="B427" s="32" t="n">
        <v>46248</v>
      </c>
      <c r="C427" t="inlineStr">
        <is>
          <t>Almacenero</t>
        </is>
      </c>
      <c r="D427" s="30" t="inlineStr">
        <is>
          <t>WBS-400</t>
        </is>
      </c>
      <c r="E427" s="30" t="inlineStr">
        <is>
          <t>MAT_AGUA</t>
        </is>
      </c>
      <c r="F427" t="inlineStr">
        <is>
          <t>AGUA PARA COMPACTACION/PRUEBAS</t>
        </is>
      </c>
      <c r="G427" t="n">
        <v>20</v>
      </c>
      <c r="H427" s="30" t="inlineStr">
        <is>
          <t>m3</t>
        </is>
      </c>
      <c r="I427">
        <f>IFERROR(VLOOKUP(E427, '05_MAESTRO_RECURSOS'!A:D, 4, FALSE), IFERROR(VLOOKUP(E427, '06_MAESTRO_PARTIDAS_EV'!B:F, 5, FALSE), 0))</f>
        <v/>
      </c>
      <c r="J427">
        <f>ROUND(G427 * I427, 2)</f>
        <v/>
      </c>
      <c r="K427" t="inlineStr">
        <is>
          <t>AC_MAT</t>
        </is>
      </c>
      <c r="L427" t="inlineStr">
        <is>
          <t>almacenero.html</t>
        </is>
      </c>
    </row>
    <row r="428">
      <c r="A428" s="30" t="inlineStr">
        <is>
          <t>LOG-20260814-427</t>
        </is>
      </c>
      <c r="B428" s="32" t="n">
        <v>46248</v>
      </c>
      <c r="C428" t="inlineStr">
        <is>
          <t>Administradora</t>
        </is>
      </c>
      <c r="D428" s="30" t="inlineStr">
        <is>
          <t>WBS-400</t>
        </is>
      </c>
      <c r="E428" s="30" t="inlineStr">
        <is>
          <t>EQ_BOMBA_PRUEBA</t>
        </is>
      </c>
      <c r="F428" t="inlineStr">
        <is>
          <t>BOMBA HIDROSTATICA PRUEBA PRESION</t>
        </is>
      </c>
      <c r="G428" t="n">
        <v>8</v>
      </c>
      <c r="H428" s="30" t="inlineStr">
        <is>
          <t>hm</t>
        </is>
      </c>
      <c r="I428">
        <f>IFERROR(VLOOKUP(E428, '05_MAESTRO_RECURSOS'!A:D, 4, FALSE), IFERROR(VLOOKUP(E428, '06_MAESTRO_PARTIDAS_EV'!B:F, 5, FALSE), 0))</f>
        <v/>
      </c>
      <c r="J428">
        <f>ROUND(G428 * I428, 2)</f>
        <v/>
      </c>
      <c r="K428" t="inlineStr">
        <is>
          <t>AC_EQP</t>
        </is>
      </c>
      <c r="L428" t="inlineStr">
        <is>
          <t>administradora.html</t>
        </is>
      </c>
    </row>
    <row r="429">
      <c r="A429" s="30" t="inlineStr">
        <is>
          <t>LOG-20260814-428</t>
        </is>
      </c>
      <c r="B429" s="32" t="n">
        <v>46248</v>
      </c>
      <c r="C429" t="inlineStr">
        <is>
          <t>Administradora</t>
        </is>
      </c>
      <c r="D429" s="30" t="inlineStr">
        <is>
          <t>WBS-400</t>
        </is>
      </c>
      <c r="E429" s="30" t="inlineStr">
        <is>
          <t>EQ_CAMION_CISTERNA</t>
        </is>
      </c>
      <c r="F429" t="inlineStr">
        <is>
          <t>CAMION CISTERNA AGUA 2000 GLN</t>
        </is>
      </c>
      <c r="G429" t="n">
        <v>8</v>
      </c>
      <c r="H429" s="30" t="inlineStr">
        <is>
          <t>hm</t>
        </is>
      </c>
      <c r="I429">
        <f>IFERROR(VLOOKUP(E429, '05_MAESTRO_RECURSOS'!A:D, 4, FALSE), IFERROR(VLOOKUP(E429, '06_MAESTRO_PARTIDAS_EV'!B:F, 5, FALSE), 0))</f>
        <v/>
      </c>
      <c r="J429">
        <f>ROUND(G429 * I429, 2)</f>
        <v/>
      </c>
      <c r="K429" t="inlineStr">
        <is>
          <t>AC_EQP</t>
        </is>
      </c>
      <c r="L429" t="inlineStr">
        <is>
          <t>administradora.html</t>
        </is>
      </c>
    </row>
    <row r="430">
      <c r="A430" s="30" t="inlineStr">
        <is>
          <t>LOG-20260814-429</t>
        </is>
      </c>
      <c r="B430" s="32" t="n">
        <v>46248</v>
      </c>
      <c r="C430" t="inlineStr">
        <is>
          <t>Ing. de Campo</t>
        </is>
      </c>
      <c r="D430" s="30" t="inlineStr">
        <is>
          <t>WBS-400</t>
        </is>
      </c>
      <c r="E430" s="30" t="inlineStr">
        <is>
          <t>01.04.01</t>
        </is>
      </c>
      <c r="F430" t="inlineStr">
        <is>
          <t>PRUEBA HIDRAULICA Y DESINFECCION DE RED DE AGUA</t>
        </is>
      </c>
      <c r="G430" t="n">
        <v>0.16</v>
      </c>
      <c r="H430" s="30" t="inlineStr">
        <is>
          <t>GLB</t>
        </is>
      </c>
      <c r="I430">
        <f>IFERROR(VLOOKUP(E430, '05_MAESTRO_RECURSOS'!A:D, 4, FALSE), IFERROR(VLOOKUP(E430, '06_MAESTRO_PARTIDAS_EV'!B:F, 5, FALSE), 0))</f>
        <v/>
      </c>
      <c r="J430">
        <f>ROUND(G430 * I430, 2)</f>
        <v/>
      </c>
      <c r="K430" t="inlineStr">
        <is>
          <t>EV_PRODUCCION</t>
        </is>
      </c>
      <c r="L430" t="inlineStr">
        <is>
          <t>ing_campo.html</t>
        </is>
      </c>
    </row>
    <row r="431">
      <c r="A431" s="30" t="inlineStr">
        <is>
          <t>LOG-20260815-430</t>
        </is>
      </c>
      <c r="B431" s="32" t="n">
        <v>46249</v>
      </c>
      <c r="C431" t="inlineStr">
        <is>
          <t>Tareador (Bildin)</t>
        </is>
      </c>
      <c r="D431" s="30" t="inlineStr">
        <is>
          <t>WBS-200</t>
        </is>
      </c>
      <c r="E431" s="30" t="inlineStr">
        <is>
          <t>MO_CAPATAZ</t>
        </is>
      </c>
      <c r="F431" t="inlineStr">
        <is>
          <t>CAPATAZ</t>
        </is>
      </c>
      <c r="G431" t="n">
        <v>8</v>
      </c>
      <c r="H431" s="30" t="inlineStr">
        <is>
          <t>hh</t>
        </is>
      </c>
      <c r="I431">
        <f>IFERROR(VLOOKUP(E431, '05_MAESTRO_RECURSOS'!A:D, 4, FALSE), IFERROR(VLOOKUP(E431, '06_MAESTRO_PARTIDAS_EV'!B:F, 5, FALSE), 0))</f>
        <v/>
      </c>
      <c r="J431">
        <f>ROUND(G431 * I431, 2)</f>
        <v/>
      </c>
      <c r="K431" t="inlineStr">
        <is>
          <t>AC_MO</t>
        </is>
      </c>
      <c r="L431" t="inlineStr">
        <is>
          <t>tareador.html</t>
        </is>
      </c>
    </row>
    <row r="432">
      <c r="A432" s="30" t="inlineStr">
        <is>
          <t>LOG-20260815-431</t>
        </is>
      </c>
      <c r="B432" s="32" t="n">
        <v>46249</v>
      </c>
      <c r="C432" t="inlineStr">
        <is>
          <t>Tareador (Bildin)</t>
        </is>
      </c>
      <c r="D432" s="30" t="inlineStr">
        <is>
          <t>WBS-200</t>
        </is>
      </c>
      <c r="E432" s="30" t="inlineStr">
        <is>
          <t>MO_OPERARIO</t>
        </is>
      </c>
      <c r="F432" t="inlineStr">
        <is>
          <t>OPERARIO</t>
        </is>
      </c>
      <c r="G432" t="n">
        <v>24</v>
      </c>
      <c r="H432" s="30" t="inlineStr">
        <is>
          <t>hh</t>
        </is>
      </c>
      <c r="I432">
        <f>IFERROR(VLOOKUP(E432, '05_MAESTRO_RECURSOS'!A:D, 4, FALSE), IFERROR(VLOOKUP(E432, '06_MAESTRO_PARTIDAS_EV'!B:F, 5, FALSE), 0))</f>
        <v/>
      </c>
      <c r="J432">
        <f>ROUND(G432 * I432, 2)</f>
        <v/>
      </c>
      <c r="K432" t="inlineStr">
        <is>
          <t>AC_MO</t>
        </is>
      </c>
      <c r="L432" t="inlineStr">
        <is>
          <t>tareador.html</t>
        </is>
      </c>
    </row>
    <row r="433">
      <c r="A433" s="30" t="inlineStr">
        <is>
          <t>LOG-20260815-432</t>
        </is>
      </c>
      <c r="B433" s="32" t="n">
        <v>46249</v>
      </c>
      <c r="C433" t="inlineStr">
        <is>
          <t>Tareador (Bildin)</t>
        </is>
      </c>
      <c r="D433" s="30" t="inlineStr">
        <is>
          <t>WBS-200</t>
        </is>
      </c>
      <c r="E433" s="30" t="inlineStr">
        <is>
          <t>MO_OFICIAL</t>
        </is>
      </c>
      <c r="F433" t="inlineStr">
        <is>
          <t>OFICIAL</t>
        </is>
      </c>
      <c r="G433" t="n">
        <v>16</v>
      </c>
      <c r="H433" s="30" t="inlineStr">
        <is>
          <t>hh</t>
        </is>
      </c>
      <c r="I433">
        <f>IFERROR(VLOOKUP(E433, '05_MAESTRO_RECURSOS'!A:D, 4, FALSE), IFERROR(VLOOKUP(E433, '06_MAESTRO_PARTIDAS_EV'!B:F, 5, FALSE), 0))</f>
        <v/>
      </c>
      <c r="J433">
        <f>ROUND(G433 * I433, 2)</f>
        <v/>
      </c>
      <c r="K433" t="inlineStr">
        <is>
          <t>AC_MO</t>
        </is>
      </c>
      <c r="L433" t="inlineStr">
        <is>
          <t>tareador.html</t>
        </is>
      </c>
    </row>
    <row r="434">
      <c r="A434" s="30" t="inlineStr">
        <is>
          <t>LOG-20260815-433</t>
        </is>
      </c>
      <c r="B434" s="32" t="n">
        <v>46249</v>
      </c>
      <c r="C434" t="inlineStr">
        <is>
          <t>Tareador (Bildin)</t>
        </is>
      </c>
      <c r="D434" s="30" t="inlineStr">
        <is>
          <t>WBS-200</t>
        </is>
      </c>
      <c r="E434" s="30" t="inlineStr">
        <is>
          <t>MO_PEON</t>
        </is>
      </c>
      <c r="F434" t="inlineStr">
        <is>
          <t>PEON</t>
        </is>
      </c>
      <c r="G434" t="n">
        <v>64</v>
      </c>
      <c r="H434" s="30" t="inlineStr">
        <is>
          <t>hh</t>
        </is>
      </c>
      <c r="I434">
        <f>IFERROR(VLOOKUP(E434, '05_MAESTRO_RECURSOS'!A:D, 4, FALSE), IFERROR(VLOOKUP(E434, '06_MAESTRO_PARTIDAS_EV'!B:F, 5, FALSE), 0))</f>
        <v/>
      </c>
      <c r="J434">
        <f>ROUND(G434 * I434, 2)</f>
        <v/>
      </c>
      <c r="K434" t="inlineStr">
        <is>
          <t>AC_MO</t>
        </is>
      </c>
      <c r="L434" t="inlineStr">
        <is>
          <t>tareador.html</t>
        </is>
      </c>
    </row>
    <row r="435">
      <c r="A435" s="30" t="inlineStr">
        <is>
          <t>LOG-20260815-434</t>
        </is>
      </c>
      <c r="B435" s="32" t="n">
        <v>46249</v>
      </c>
      <c r="C435" t="inlineStr">
        <is>
          <t>Almacenero</t>
        </is>
      </c>
      <c r="D435" s="30" t="inlineStr">
        <is>
          <t>WBS-200</t>
        </is>
      </c>
      <c r="E435" s="30" t="inlineStr">
        <is>
          <t>MAT_ARENA_CAMAS</t>
        </is>
      </c>
      <c r="F435" t="inlineStr">
        <is>
          <t>ARENA FINA SELECCIONADA PARA CAMA</t>
        </is>
      </c>
      <c r="G435" t="n">
        <v>10</v>
      </c>
      <c r="H435" s="30" t="inlineStr">
        <is>
          <t>m3</t>
        </is>
      </c>
      <c r="I435">
        <f>IFERROR(VLOOKUP(E435, '05_MAESTRO_RECURSOS'!A:D, 4, FALSE), IFERROR(VLOOKUP(E435, '06_MAESTRO_PARTIDAS_EV'!B:F, 5, FALSE), 0))</f>
        <v/>
      </c>
      <c r="J435">
        <f>ROUND(G435 * I435, 2)</f>
        <v/>
      </c>
      <c r="K435" t="inlineStr">
        <is>
          <t>AC_MAT</t>
        </is>
      </c>
      <c r="L435" t="inlineStr">
        <is>
          <t>almacenero.html</t>
        </is>
      </c>
    </row>
    <row r="436">
      <c r="A436" s="30" t="inlineStr">
        <is>
          <t>LOG-20260815-435</t>
        </is>
      </c>
      <c r="B436" s="32" t="n">
        <v>46249</v>
      </c>
      <c r="C436" t="inlineStr">
        <is>
          <t>Almacenero</t>
        </is>
      </c>
      <c r="D436" s="30" t="inlineStr">
        <is>
          <t>WBS-200</t>
        </is>
      </c>
      <c r="E436" s="30" t="inlineStr">
        <is>
          <t>MAT_TUB_PVC_200</t>
        </is>
      </c>
      <c r="F436" t="inlineStr">
        <is>
          <t>TUBERIA PVC UF DN 200MM S-20 ALCANTARILLADO</t>
        </is>
      </c>
      <c r="G436" t="n">
        <v>120</v>
      </c>
      <c r="H436" s="30" t="inlineStr">
        <is>
          <t>m</t>
        </is>
      </c>
      <c r="I436">
        <f>IFERROR(VLOOKUP(E436, '05_MAESTRO_RECURSOS'!A:D, 4, FALSE), IFERROR(VLOOKUP(E436, '06_MAESTRO_PARTIDAS_EV'!B:F, 5, FALSE), 0))</f>
        <v/>
      </c>
      <c r="J436">
        <f>ROUND(G436 * I436, 2)</f>
        <v/>
      </c>
      <c r="K436" t="inlineStr">
        <is>
          <t>AC_MAT</t>
        </is>
      </c>
      <c r="L436" t="inlineStr">
        <is>
          <t>almacenero.html</t>
        </is>
      </c>
    </row>
    <row r="437">
      <c r="A437" s="30" t="inlineStr">
        <is>
          <t>LOG-20260815-436</t>
        </is>
      </c>
      <c r="B437" s="32" t="n">
        <v>46249</v>
      </c>
      <c r="C437" t="inlineStr">
        <is>
          <t>Almacenero</t>
        </is>
      </c>
      <c r="D437" s="30" t="inlineStr">
        <is>
          <t>WBS-200</t>
        </is>
      </c>
      <c r="E437" s="30" t="inlineStr">
        <is>
          <t>MAT_LUBRICANTE</t>
        </is>
      </c>
      <c r="F437" t="inlineStr">
        <is>
          <t>LUBRICANTE PARA TUBERIA</t>
        </is>
      </c>
      <c r="G437" t="n">
        <v>2</v>
      </c>
      <c r="H437" s="30" t="inlineStr">
        <is>
          <t>kg</t>
        </is>
      </c>
      <c r="I437">
        <f>IFERROR(VLOOKUP(E437, '05_MAESTRO_RECURSOS'!A:D, 4, FALSE), IFERROR(VLOOKUP(E437, '06_MAESTRO_PARTIDAS_EV'!B:F, 5, FALSE), 0))</f>
        <v/>
      </c>
      <c r="J437">
        <f>ROUND(G437 * I437, 2)</f>
        <v/>
      </c>
      <c r="K437" t="inlineStr">
        <is>
          <t>AC_MAT</t>
        </is>
      </c>
      <c r="L437" t="inlineStr">
        <is>
          <t>almacenero.html</t>
        </is>
      </c>
    </row>
    <row r="438">
      <c r="A438" s="30" t="inlineStr">
        <is>
          <t>LOG-20260815-437</t>
        </is>
      </c>
      <c r="B438" s="32" t="n">
        <v>46249</v>
      </c>
      <c r="C438" t="inlineStr">
        <is>
          <t>Almacenero</t>
        </is>
      </c>
      <c r="D438" s="30" t="inlineStr">
        <is>
          <t>WBS-200</t>
        </is>
      </c>
      <c r="E438" s="30" t="inlineStr">
        <is>
          <t>MAT_BUZON_PREF</t>
        </is>
      </c>
      <c r="F438" t="inlineStr">
        <is>
          <t>BUZON PREFABRICADO CONCRETO</t>
        </is>
      </c>
      <c r="G438" t="n">
        <v>1</v>
      </c>
      <c r="H438" s="30" t="inlineStr">
        <is>
          <t>und</t>
        </is>
      </c>
      <c r="I438">
        <f>IFERROR(VLOOKUP(E438, '05_MAESTRO_RECURSOS'!A:D, 4, FALSE), IFERROR(VLOOKUP(E438, '06_MAESTRO_PARTIDAS_EV'!B:F, 5, FALSE), 0))</f>
        <v/>
      </c>
      <c r="J438">
        <f>ROUND(G438 * I438, 2)</f>
        <v/>
      </c>
      <c r="K438" t="inlineStr">
        <is>
          <t>AC_MAT</t>
        </is>
      </c>
      <c r="L438" t="inlineStr">
        <is>
          <t>almacenero.html</t>
        </is>
      </c>
    </row>
    <row r="439">
      <c r="A439" s="30" t="inlineStr">
        <is>
          <t>LOG-20260815-438</t>
        </is>
      </c>
      <c r="B439" s="32" t="n">
        <v>46249</v>
      </c>
      <c r="C439" t="inlineStr">
        <is>
          <t>Administradora</t>
        </is>
      </c>
      <c r="D439" s="30" t="inlineStr">
        <is>
          <t>WBS-200</t>
        </is>
      </c>
      <c r="E439" s="30" t="inlineStr">
        <is>
          <t>EQ_CAMION_GRUAN</t>
        </is>
      </c>
      <c r="F439" t="inlineStr">
        <is>
          <t>CAMION GRUA 5 TN MONTAJE BUZONES</t>
        </is>
      </c>
      <c r="G439" t="n">
        <v>4</v>
      </c>
      <c r="H439" s="30" t="inlineStr">
        <is>
          <t>hm</t>
        </is>
      </c>
      <c r="I439">
        <f>IFERROR(VLOOKUP(E439, '05_MAESTRO_RECURSOS'!A:D, 4, FALSE), IFERROR(VLOOKUP(E439, '06_MAESTRO_PARTIDAS_EV'!B:F, 5, FALSE), 0))</f>
        <v/>
      </c>
      <c r="J439">
        <f>ROUND(G439 * I439, 2)</f>
        <v/>
      </c>
      <c r="K439" t="inlineStr">
        <is>
          <t>AC_EQP</t>
        </is>
      </c>
      <c r="L439" t="inlineStr">
        <is>
          <t>administradora.html</t>
        </is>
      </c>
    </row>
    <row r="440">
      <c r="A440" s="30" t="inlineStr">
        <is>
          <t>LOG-20260815-439</t>
        </is>
      </c>
      <c r="B440" s="32" t="n">
        <v>46249</v>
      </c>
      <c r="C440" t="inlineStr">
        <is>
          <t>Administradora</t>
        </is>
      </c>
      <c r="D440" s="30" t="inlineStr">
        <is>
          <t>WBS-200</t>
        </is>
      </c>
      <c r="E440" s="30" t="inlineStr">
        <is>
          <t>SUB_MONTAJE_BUZON</t>
        </is>
      </c>
      <c r="F440" t="inlineStr">
        <is>
          <t>SUBCONTRATO MONTAJE BUZONES</t>
        </is>
      </c>
      <c r="G440" t="n">
        <v>1</v>
      </c>
      <c r="H440" s="30" t="inlineStr">
        <is>
          <t>und</t>
        </is>
      </c>
      <c r="I440">
        <f>IFERROR(VLOOKUP(E440, '05_MAESTRO_RECURSOS'!A:D, 4, FALSE), IFERROR(VLOOKUP(E440, '06_MAESTRO_PARTIDAS_EV'!B:F, 5, FALSE), 0))</f>
        <v/>
      </c>
      <c r="J440">
        <f>ROUND(G440 * I440, 2)</f>
        <v/>
      </c>
      <c r="K440" t="inlineStr">
        <is>
          <t>AC_SUB</t>
        </is>
      </c>
      <c r="L440" t="inlineStr">
        <is>
          <t>administradora.html</t>
        </is>
      </c>
    </row>
    <row r="441">
      <c r="A441" s="30" t="inlineStr">
        <is>
          <t>LOG-20260815-440</t>
        </is>
      </c>
      <c r="B441" s="32" t="n">
        <v>46249</v>
      </c>
      <c r="C441" t="inlineStr">
        <is>
          <t>Ing. de Campo</t>
        </is>
      </c>
      <c r="D441" s="30" t="inlineStr">
        <is>
          <t>WBS-200</t>
        </is>
      </c>
      <c r="E441" s="30" t="inlineStr">
        <is>
          <t>01.02.06</t>
        </is>
      </c>
      <c r="F441" t="inlineStr">
        <is>
          <t>CONSTRUCCION DE BUZONES PREFABRICADOS H=1.5 A 2.5M</t>
        </is>
      </c>
      <c r="G441" t="n">
        <v>1</v>
      </c>
      <c r="H441" s="30" t="inlineStr">
        <is>
          <t>UND</t>
        </is>
      </c>
      <c r="I441">
        <f>IFERROR(VLOOKUP(E441, '05_MAESTRO_RECURSOS'!A:D, 4, FALSE), IFERROR(VLOOKUP(E441, '06_MAESTRO_PARTIDAS_EV'!B:F, 5, FALSE), 0))</f>
        <v/>
      </c>
      <c r="J441">
        <f>ROUND(G441 * I441, 2)</f>
        <v/>
      </c>
      <c r="K441" t="inlineStr">
        <is>
          <t>EV_PRODUCCION</t>
        </is>
      </c>
      <c r="L441" t="inlineStr">
        <is>
          <t>ing_campo.html</t>
        </is>
      </c>
    </row>
    <row r="442">
      <c r="A442" s="30" t="inlineStr">
        <is>
          <t>LOG-20260815-441</t>
        </is>
      </c>
      <c r="B442" s="32" t="n">
        <v>46249</v>
      </c>
      <c r="C442" t="inlineStr">
        <is>
          <t>Almacenero</t>
        </is>
      </c>
      <c r="D442" s="30" t="inlineStr">
        <is>
          <t>WBS-200</t>
        </is>
      </c>
      <c r="E442" s="30" t="inlineStr">
        <is>
          <t>MAT_CAJA_REGISTRO</t>
        </is>
      </c>
      <c r="F442" t="inlineStr">
        <is>
          <t>CAJA REGISTRO CONCRETO 12X24</t>
        </is>
      </c>
      <c r="G442" t="n">
        <v>3</v>
      </c>
      <c r="H442" s="30" t="inlineStr">
        <is>
          <t>und</t>
        </is>
      </c>
      <c r="I442">
        <f>IFERROR(VLOOKUP(E442, '05_MAESTRO_RECURSOS'!A:D, 4, FALSE), IFERROR(VLOOKUP(E442, '06_MAESTRO_PARTIDAS_EV'!B:F, 5, FALSE), 0))</f>
        <v/>
      </c>
      <c r="J442">
        <f>ROUND(G442 * I442, 2)</f>
        <v/>
      </c>
      <c r="K442" t="inlineStr">
        <is>
          <t>AC_MAT</t>
        </is>
      </c>
      <c r="L442" t="inlineStr">
        <is>
          <t>almacenero.html</t>
        </is>
      </c>
    </row>
    <row r="443">
      <c r="A443" s="30" t="inlineStr">
        <is>
          <t>LOG-20260815-442</t>
        </is>
      </c>
      <c r="B443" s="32" t="n">
        <v>46249</v>
      </c>
      <c r="C443" t="inlineStr">
        <is>
          <t>Almacenero</t>
        </is>
      </c>
      <c r="D443" s="30" t="inlineStr">
        <is>
          <t>WBS-200</t>
        </is>
      </c>
      <c r="E443" s="30" t="inlineStr">
        <is>
          <t>MAT_TUB_PVC_160_CONEX</t>
        </is>
      </c>
      <c r="F443" t="inlineStr">
        <is>
          <t>TUBERIA PVC SAL 160MM ACOMETIDA</t>
        </is>
      </c>
      <c r="G443" t="n">
        <v>18</v>
      </c>
      <c r="H443" s="30" t="inlineStr">
        <is>
          <t>m</t>
        </is>
      </c>
      <c r="I443">
        <f>IFERROR(VLOOKUP(E443, '05_MAESTRO_RECURSOS'!A:D, 4, FALSE), IFERROR(VLOOKUP(E443, '06_MAESTRO_PARTIDAS_EV'!B:F, 5, FALSE), 0))</f>
        <v/>
      </c>
      <c r="J443">
        <f>ROUND(G443 * I443, 2)</f>
        <v/>
      </c>
      <c r="K443" t="inlineStr">
        <is>
          <t>AC_MAT</t>
        </is>
      </c>
      <c r="L443" t="inlineStr">
        <is>
          <t>almacenero.html</t>
        </is>
      </c>
    </row>
    <row r="444">
      <c r="A444" s="30" t="inlineStr">
        <is>
          <t>LOG-20260815-443</t>
        </is>
      </c>
      <c r="B444" s="32" t="n">
        <v>46249</v>
      </c>
      <c r="C444" t="inlineStr">
        <is>
          <t>Administradora</t>
        </is>
      </c>
      <c r="D444" s="30" t="inlineStr">
        <is>
          <t>WBS-200</t>
        </is>
      </c>
      <c r="E444" s="30" t="inlineStr">
        <is>
          <t>SUB_ENSAYOS_COMPAC</t>
        </is>
      </c>
      <c r="F444" t="inlineStr">
        <is>
          <t>SUBCONTRATO DENSIDADES PROCTOR</t>
        </is>
      </c>
      <c r="G444" t="n">
        <v>2</v>
      </c>
      <c r="H444" s="30" t="inlineStr">
        <is>
          <t>und</t>
        </is>
      </c>
      <c r="I444">
        <f>IFERROR(VLOOKUP(E444, '05_MAESTRO_RECURSOS'!A:D, 4, FALSE), IFERROR(VLOOKUP(E444, '06_MAESTRO_PARTIDAS_EV'!B:F, 5, FALSE), 0))</f>
        <v/>
      </c>
      <c r="J444">
        <f>ROUND(G444 * I444, 2)</f>
        <v/>
      </c>
      <c r="K444" t="inlineStr">
        <is>
          <t>AC_SUB</t>
        </is>
      </c>
      <c r="L444" t="inlineStr">
        <is>
          <t>administradora.html</t>
        </is>
      </c>
    </row>
    <row r="445">
      <c r="A445" s="30" t="inlineStr">
        <is>
          <t>LOG-20260815-444</t>
        </is>
      </c>
      <c r="B445" s="32" t="n">
        <v>46249</v>
      </c>
      <c r="C445" t="inlineStr">
        <is>
          <t>Ing. de Campo</t>
        </is>
      </c>
      <c r="D445" s="30" t="inlineStr">
        <is>
          <t>WBS-200</t>
        </is>
      </c>
      <c r="E445" s="30" t="inlineStr">
        <is>
          <t>01.02.07</t>
        </is>
      </c>
      <c r="F445" t="inlineStr">
        <is>
          <t>CONEXIONES DOMICILIARIAS ALCANTARILLADO DN 160MM</t>
        </is>
      </c>
      <c r="G445" t="n">
        <v>3</v>
      </c>
      <c r="H445" s="30" t="inlineStr">
        <is>
          <t>UND</t>
        </is>
      </c>
      <c r="I445">
        <f>IFERROR(VLOOKUP(E445, '05_MAESTRO_RECURSOS'!A:D, 4, FALSE), IFERROR(VLOOKUP(E445, '06_MAESTRO_PARTIDAS_EV'!B:F, 5, FALSE), 0))</f>
        <v/>
      </c>
      <c r="J445">
        <f>ROUND(G445 * I445, 2)</f>
        <v/>
      </c>
      <c r="K445" t="inlineStr">
        <is>
          <t>EV_PRODUCCION</t>
        </is>
      </c>
      <c r="L445" t="inlineStr">
        <is>
          <t>ing_campo.html</t>
        </is>
      </c>
    </row>
    <row r="446">
      <c r="A446" s="30" t="inlineStr">
        <is>
          <t>LOG-20260815-445</t>
        </is>
      </c>
      <c r="B446" s="32" t="n">
        <v>46249</v>
      </c>
      <c r="C446" t="inlineStr">
        <is>
          <t>Administradora</t>
        </is>
      </c>
      <c r="D446" s="30" t="inlineStr">
        <is>
          <t>WBS-200</t>
        </is>
      </c>
      <c r="E446" s="30" t="inlineStr">
        <is>
          <t>EQ_EXCAVADORA</t>
        </is>
      </c>
      <c r="F446" t="inlineStr">
        <is>
          <t>EXCAVADORA ORUGAS 140 HP</t>
        </is>
      </c>
      <c r="G446" t="n">
        <v>8</v>
      </c>
      <c r="H446" s="30" t="inlineStr">
        <is>
          <t>hm</t>
        </is>
      </c>
      <c r="I446">
        <f>IFERROR(VLOOKUP(E446, '05_MAESTRO_RECURSOS'!A:D, 4, FALSE), IFERROR(VLOOKUP(E446, '06_MAESTRO_PARTIDAS_EV'!B:F, 5, FALSE), 0))</f>
        <v/>
      </c>
      <c r="J446">
        <f>ROUND(G446 * I446, 2)</f>
        <v/>
      </c>
      <c r="K446" t="inlineStr">
        <is>
          <t>AC_EQP</t>
        </is>
      </c>
      <c r="L446" t="inlineStr">
        <is>
          <t>administradora.html</t>
        </is>
      </c>
    </row>
    <row r="447">
      <c r="A447" s="30" t="inlineStr">
        <is>
          <t>LOG-20260815-446</t>
        </is>
      </c>
      <c r="B447" s="32" t="n">
        <v>46249</v>
      </c>
      <c r="C447" t="inlineStr">
        <is>
          <t>Administradora</t>
        </is>
      </c>
      <c r="D447" s="30" t="inlineStr">
        <is>
          <t>WBS-200</t>
        </is>
      </c>
      <c r="E447" s="30" t="inlineStr">
        <is>
          <t>EQ_PLANCHA</t>
        </is>
      </c>
      <c r="F447" t="inlineStr">
        <is>
          <t>PLANCHA COMPACTADORA 7 HP</t>
        </is>
      </c>
      <c r="G447" t="n">
        <v>8</v>
      </c>
      <c r="H447" s="30" t="inlineStr">
        <is>
          <t>hm</t>
        </is>
      </c>
      <c r="I447">
        <f>IFERROR(VLOOKUP(E447, '05_MAESTRO_RECURSOS'!A:D, 4, FALSE), IFERROR(VLOOKUP(E447, '06_MAESTRO_PARTIDAS_EV'!B:F, 5, FALSE), 0))</f>
        <v/>
      </c>
      <c r="J447">
        <f>ROUND(G447 * I447, 2)</f>
        <v/>
      </c>
      <c r="K447" t="inlineStr">
        <is>
          <t>AC_EQP</t>
        </is>
      </c>
      <c r="L447" t="inlineStr">
        <is>
          <t>administradora.html</t>
        </is>
      </c>
    </row>
    <row r="448">
      <c r="A448" s="30" t="inlineStr">
        <is>
          <t>LOG-20260815-447</t>
        </is>
      </c>
      <c r="B448" s="32" t="n">
        <v>46249</v>
      </c>
      <c r="C448" t="inlineStr">
        <is>
          <t>Administradora</t>
        </is>
      </c>
      <c r="D448" s="30" t="inlineStr">
        <is>
          <t>WBS-200</t>
        </is>
      </c>
      <c r="E448" s="30" t="inlineStr">
        <is>
          <t>EQ_RODILLO_CAMINANTE</t>
        </is>
      </c>
      <c r="F448" t="inlineStr">
        <is>
          <t>RODILLO VIBRATORIO 1.5 TN</t>
        </is>
      </c>
      <c r="G448" t="n">
        <v>8</v>
      </c>
      <c r="H448" s="30" t="inlineStr">
        <is>
          <t>hm</t>
        </is>
      </c>
      <c r="I448">
        <f>IFERROR(VLOOKUP(E448, '05_MAESTRO_RECURSOS'!A:D, 4, FALSE), IFERROR(VLOOKUP(E448, '06_MAESTRO_PARTIDAS_EV'!B:F, 5, FALSE), 0))</f>
        <v/>
      </c>
      <c r="J448">
        <f>ROUND(G448 * I448, 2)</f>
        <v/>
      </c>
      <c r="K448" t="inlineStr">
        <is>
          <t>AC_EQP</t>
        </is>
      </c>
      <c r="L448" t="inlineStr">
        <is>
          <t>administradora.html</t>
        </is>
      </c>
    </row>
    <row r="449">
      <c r="A449" s="30" t="inlineStr">
        <is>
          <t>LOG-20260815-448</t>
        </is>
      </c>
      <c r="B449" s="32" t="n">
        <v>46249</v>
      </c>
      <c r="C449" t="inlineStr">
        <is>
          <t>Ing. de Campo</t>
        </is>
      </c>
      <c r="D449" s="30" t="inlineStr">
        <is>
          <t>WBS-200</t>
        </is>
      </c>
      <c r="E449" s="30" t="inlineStr">
        <is>
          <t>01.02.02</t>
        </is>
      </c>
      <c r="F449" t="inlineStr">
        <is>
          <t>EXCAVACION DE ZANJA C/MAQUINA EN T. SEMIROCOSO</t>
        </is>
      </c>
      <c r="G449" t="n">
        <v>150</v>
      </c>
      <c r="H449" s="30" t="inlineStr">
        <is>
          <t>M3</t>
        </is>
      </c>
      <c r="I449">
        <f>IFERROR(VLOOKUP(E449, '05_MAESTRO_RECURSOS'!A:D, 4, FALSE), IFERROR(VLOOKUP(E449, '06_MAESTRO_PARTIDAS_EV'!B:F, 5, FALSE), 0))</f>
        <v/>
      </c>
      <c r="J449">
        <f>ROUND(G449 * I449, 2)</f>
        <v/>
      </c>
      <c r="K449" t="inlineStr">
        <is>
          <t>EV_PRODUCCION</t>
        </is>
      </c>
      <c r="L449" t="inlineStr">
        <is>
          <t>ing_campo.html</t>
        </is>
      </c>
    </row>
    <row r="450">
      <c r="A450" s="30" t="inlineStr">
        <is>
          <t>LOG-20260815-449</t>
        </is>
      </c>
      <c r="B450" s="32" t="n">
        <v>46249</v>
      </c>
      <c r="C450" t="inlineStr">
        <is>
          <t>Ing. de Campo</t>
        </is>
      </c>
      <c r="D450" s="30" t="inlineStr">
        <is>
          <t>WBS-200</t>
        </is>
      </c>
      <c r="E450" s="30" t="inlineStr">
        <is>
          <t>01.02.03</t>
        </is>
      </c>
      <c r="F450" t="inlineStr">
        <is>
          <t>CAMA DE APOYO H=0.10 M CON ARENA SELECCIONADA</t>
        </is>
      </c>
      <c r="G450" t="n">
        <v>120</v>
      </c>
      <c r="H450" s="30" t="inlineStr">
        <is>
          <t>M</t>
        </is>
      </c>
      <c r="I450">
        <f>IFERROR(VLOOKUP(E450, '05_MAESTRO_RECURSOS'!A:D, 4, FALSE), IFERROR(VLOOKUP(E450, '06_MAESTRO_PARTIDAS_EV'!B:F, 5, FALSE), 0))</f>
        <v/>
      </c>
      <c r="J450">
        <f>ROUND(G450 * I450, 2)</f>
        <v/>
      </c>
      <c r="K450" t="inlineStr">
        <is>
          <t>EV_PRODUCCION</t>
        </is>
      </c>
      <c r="L450" t="inlineStr">
        <is>
          <t>ing_campo.html</t>
        </is>
      </c>
    </row>
    <row r="451">
      <c r="A451" s="30" t="inlineStr">
        <is>
          <t>LOG-20260815-450</t>
        </is>
      </c>
      <c r="B451" s="32" t="n">
        <v>46249</v>
      </c>
      <c r="C451" t="inlineStr">
        <is>
          <t>Ing. de Campo</t>
        </is>
      </c>
      <c r="D451" s="30" t="inlineStr">
        <is>
          <t>WBS-200</t>
        </is>
      </c>
      <c r="E451" s="30" t="inlineStr">
        <is>
          <t>01.02.04</t>
        </is>
      </c>
      <c r="F451" t="inlineStr">
        <is>
          <t>SUMINISTRO E INSTALACION DE TUBERIA PVC DN 200MM S-20</t>
        </is>
      </c>
      <c r="G451" t="n">
        <v>120</v>
      </c>
      <c r="H451" s="30" t="inlineStr">
        <is>
          <t>M</t>
        </is>
      </c>
      <c r="I451">
        <f>IFERROR(VLOOKUP(E451, '05_MAESTRO_RECURSOS'!A:D, 4, FALSE), IFERROR(VLOOKUP(E451, '06_MAESTRO_PARTIDAS_EV'!B:F, 5, FALSE), 0))</f>
        <v/>
      </c>
      <c r="J451">
        <f>ROUND(G451 * I451, 2)</f>
        <v/>
      </c>
      <c r="K451" t="inlineStr">
        <is>
          <t>EV_PRODUCCION</t>
        </is>
      </c>
      <c r="L451" t="inlineStr">
        <is>
          <t>ing_campo.html</t>
        </is>
      </c>
    </row>
    <row r="452">
      <c r="A452" s="30" t="inlineStr">
        <is>
          <t>LOG-20260815-451</t>
        </is>
      </c>
      <c r="B452" s="32" t="n">
        <v>46249</v>
      </c>
      <c r="C452" t="inlineStr">
        <is>
          <t>Ing. de Campo</t>
        </is>
      </c>
      <c r="D452" s="30" t="inlineStr">
        <is>
          <t>WBS-200</t>
        </is>
      </c>
      <c r="E452" s="30" t="inlineStr">
        <is>
          <t>01.02.05</t>
        </is>
      </c>
      <c r="F452" t="inlineStr">
        <is>
          <t>RELLENO COMPACTADO DE ZANJA C/MATERIAL PRESTAMO</t>
        </is>
      </c>
      <c r="G452" t="n">
        <v>120</v>
      </c>
      <c r="H452" s="30" t="inlineStr">
        <is>
          <t>M</t>
        </is>
      </c>
      <c r="I452">
        <f>IFERROR(VLOOKUP(E452, '05_MAESTRO_RECURSOS'!A:D, 4, FALSE), IFERROR(VLOOKUP(E452, '06_MAESTRO_PARTIDAS_EV'!B:F, 5, FALSE), 0))</f>
        <v/>
      </c>
      <c r="J452">
        <f>ROUND(G452 * I452, 2)</f>
        <v/>
      </c>
      <c r="K452" t="inlineStr">
        <is>
          <t>EV_PRODUCCION</t>
        </is>
      </c>
      <c r="L452" t="inlineStr">
        <is>
          <t>ing_campo.html</t>
        </is>
      </c>
    </row>
    <row r="453">
      <c r="A453" s="30" t="inlineStr">
        <is>
          <t>LOG-20260815-452</t>
        </is>
      </c>
      <c r="B453" s="32" t="n">
        <v>46249</v>
      </c>
      <c r="C453" t="inlineStr">
        <is>
          <t>Tareador (Bildin)</t>
        </is>
      </c>
      <c r="D453" s="30" t="inlineStr">
        <is>
          <t>WBS-300</t>
        </is>
      </c>
      <c r="E453" s="30" t="inlineStr">
        <is>
          <t>MO_CAPATAZ</t>
        </is>
      </c>
      <c r="F453" t="inlineStr">
        <is>
          <t>CAPATAZ</t>
        </is>
      </c>
      <c r="G453" t="n">
        <v>4</v>
      </c>
      <c r="H453" s="30" t="inlineStr">
        <is>
          <t>hh</t>
        </is>
      </c>
      <c r="I453">
        <f>IFERROR(VLOOKUP(E453, '05_MAESTRO_RECURSOS'!A:D, 4, FALSE), IFERROR(VLOOKUP(E453, '06_MAESTRO_PARTIDAS_EV'!B:F, 5, FALSE), 0))</f>
        <v/>
      </c>
      <c r="J453">
        <f>ROUND(G453 * I453, 2)</f>
        <v/>
      </c>
      <c r="K453" t="inlineStr">
        <is>
          <t>AC_MO</t>
        </is>
      </c>
      <c r="L453" t="inlineStr">
        <is>
          <t>tareador.html</t>
        </is>
      </c>
    </row>
    <row r="454">
      <c r="A454" s="30" t="inlineStr">
        <is>
          <t>LOG-20260815-453</t>
        </is>
      </c>
      <c r="B454" s="32" t="n">
        <v>46249</v>
      </c>
      <c r="C454" t="inlineStr">
        <is>
          <t>Tareador (Bildin)</t>
        </is>
      </c>
      <c r="D454" s="30" t="inlineStr">
        <is>
          <t>WBS-300</t>
        </is>
      </c>
      <c r="E454" s="30" t="inlineStr">
        <is>
          <t>MO_OPERARIO</t>
        </is>
      </c>
      <c r="F454" t="inlineStr">
        <is>
          <t>OPERARIO</t>
        </is>
      </c>
      <c r="G454" t="n">
        <v>16</v>
      </c>
      <c r="H454" s="30" t="inlineStr">
        <is>
          <t>hh</t>
        </is>
      </c>
      <c r="I454">
        <f>IFERROR(VLOOKUP(E454, '05_MAESTRO_RECURSOS'!A:D, 4, FALSE), IFERROR(VLOOKUP(E454, '06_MAESTRO_PARTIDAS_EV'!B:F, 5, FALSE), 0))</f>
        <v/>
      </c>
      <c r="J454">
        <f>ROUND(G454 * I454, 2)</f>
        <v/>
      </c>
      <c r="K454" t="inlineStr">
        <is>
          <t>AC_MO</t>
        </is>
      </c>
      <c r="L454" t="inlineStr">
        <is>
          <t>tareador.html</t>
        </is>
      </c>
    </row>
    <row r="455">
      <c r="A455" s="30" t="inlineStr">
        <is>
          <t>LOG-20260815-454</t>
        </is>
      </c>
      <c r="B455" s="32" t="n">
        <v>46249</v>
      </c>
      <c r="C455" t="inlineStr">
        <is>
          <t>Tareador (Bildin)</t>
        </is>
      </c>
      <c r="D455" s="30" t="inlineStr">
        <is>
          <t>WBS-300</t>
        </is>
      </c>
      <c r="E455" s="30" t="inlineStr">
        <is>
          <t>MO_PEON</t>
        </is>
      </c>
      <c r="F455" t="inlineStr">
        <is>
          <t>PEON</t>
        </is>
      </c>
      <c r="G455" t="n">
        <v>32</v>
      </c>
      <c r="H455" s="30" t="inlineStr">
        <is>
          <t>hh</t>
        </is>
      </c>
      <c r="I455">
        <f>IFERROR(VLOOKUP(E455, '05_MAESTRO_RECURSOS'!A:D, 4, FALSE), IFERROR(VLOOKUP(E455, '06_MAESTRO_PARTIDAS_EV'!B:F, 5, FALSE), 0))</f>
        <v/>
      </c>
      <c r="J455">
        <f>ROUND(G455 * I455, 2)</f>
        <v/>
      </c>
      <c r="K455" t="inlineStr">
        <is>
          <t>AC_MO</t>
        </is>
      </c>
      <c r="L455" t="inlineStr">
        <is>
          <t>tareador.html</t>
        </is>
      </c>
    </row>
    <row r="456">
      <c r="A456" s="30" t="inlineStr">
        <is>
          <t>LOG-20260815-455</t>
        </is>
      </c>
      <c r="B456" s="32" t="n">
        <v>46249</v>
      </c>
      <c r="C456" t="inlineStr">
        <is>
          <t>Almacenero</t>
        </is>
      </c>
      <c r="D456" s="30" t="inlineStr">
        <is>
          <t>WBS-300</t>
        </is>
      </c>
      <c r="E456" s="30" t="inlineStr">
        <is>
          <t>MAT_TUB_PVC_110_AGUA</t>
        </is>
      </c>
      <c r="F456" t="inlineStr">
        <is>
          <t>TUBERIA PVC C-10 DN 110MM AGUA</t>
        </is>
      </c>
      <c r="G456" t="n">
        <v>150</v>
      </c>
      <c r="H456" s="30" t="inlineStr">
        <is>
          <t>m</t>
        </is>
      </c>
      <c r="I456">
        <f>IFERROR(VLOOKUP(E456, '05_MAESTRO_RECURSOS'!A:D, 4, FALSE), IFERROR(VLOOKUP(E456, '06_MAESTRO_PARTIDAS_EV'!B:F, 5, FALSE), 0))</f>
        <v/>
      </c>
      <c r="J456">
        <f>ROUND(G456 * I456, 2)</f>
        <v/>
      </c>
      <c r="K456" t="inlineStr">
        <is>
          <t>AC_MAT</t>
        </is>
      </c>
      <c r="L456" t="inlineStr">
        <is>
          <t>almacenero.html</t>
        </is>
      </c>
    </row>
    <row r="457">
      <c r="A457" s="30" t="inlineStr">
        <is>
          <t>LOG-20260815-456</t>
        </is>
      </c>
      <c r="B457" s="32" t="n">
        <v>46249</v>
      </c>
      <c r="C457" t="inlineStr">
        <is>
          <t>Almacenero</t>
        </is>
      </c>
      <c r="D457" s="30" t="inlineStr">
        <is>
          <t>WBS-300</t>
        </is>
      </c>
      <c r="E457" s="30" t="inlineStr">
        <is>
          <t>MAT_ACCESORIOS_AGUA</t>
        </is>
      </c>
      <c r="F457" t="inlineStr">
        <is>
          <t>ACCESORIOS PVC AGUA 110MM</t>
        </is>
      </c>
      <c r="G457" t="n">
        <v>1</v>
      </c>
      <c r="H457" s="30" t="inlineStr">
        <is>
          <t>glb</t>
        </is>
      </c>
      <c r="I457">
        <f>IFERROR(VLOOKUP(E457, '05_MAESTRO_RECURSOS'!A:D, 4, FALSE), IFERROR(VLOOKUP(E457, '06_MAESTRO_PARTIDAS_EV'!B:F, 5, FALSE), 0))</f>
        <v/>
      </c>
      <c r="J457">
        <f>ROUND(G457 * I457, 2)</f>
        <v/>
      </c>
      <c r="K457" t="inlineStr">
        <is>
          <t>AC_MAT</t>
        </is>
      </c>
      <c r="L457" t="inlineStr">
        <is>
          <t>almacenero.html</t>
        </is>
      </c>
    </row>
    <row r="458">
      <c r="A458" s="30" t="inlineStr">
        <is>
          <t>LOG-20260815-457</t>
        </is>
      </c>
      <c r="B458" s="32" t="n">
        <v>46249</v>
      </c>
      <c r="C458" t="inlineStr">
        <is>
          <t>Almacenero</t>
        </is>
      </c>
      <c r="D458" s="30" t="inlineStr">
        <is>
          <t>WBS-300</t>
        </is>
      </c>
      <c r="E458" s="30" t="inlineStr">
        <is>
          <t>MAT_CAJA_AGUA</t>
        </is>
      </c>
      <c r="F458" t="inlineStr">
        <is>
          <t>CAJA TERMOFORMADA AGUA + MEDIDOR</t>
        </is>
      </c>
      <c r="G458" t="n">
        <v>5</v>
      </c>
      <c r="H458" s="30" t="inlineStr">
        <is>
          <t>und</t>
        </is>
      </c>
      <c r="I458">
        <f>IFERROR(VLOOKUP(E458, '05_MAESTRO_RECURSOS'!A:D, 4, FALSE), IFERROR(VLOOKUP(E458, '06_MAESTRO_PARTIDAS_EV'!B:F, 5, FALSE), 0))</f>
        <v/>
      </c>
      <c r="J458">
        <f>ROUND(G458 * I458, 2)</f>
        <v/>
      </c>
      <c r="K458" t="inlineStr">
        <is>
          <t>AC_MAT</t>
        </is>
      </c>
      <c r="L458" t="inlineStr">
        <is>
          <t>almacenero.html</t>
        </is>
      </c>
    </row>
    <row r="459">
      <c r="A459" s="30" t="inlineStr">
        <is>
          <t>LOG-20260815-458</t>
        </is>
      </c>
      <c r="B459" s="32" t="n">
        <v>46249</v>
      </c>
      <c r="C459" t="inlineStr">
        <is>
          <t>Almacenero</t>
        </is>
      </c>
      <c r="D459" s="30" t="inlineStr">
        <is>
          <t>WBS-300</t>
        </is>
      </c>
      <c r="E459" s="30" t="inlineStr">
        <is>
          <t>MAT_TUB_HDPE_1_2</t>
        </is>
      </c>
      <c r="F459" t="inlineStr">
        <is>
          <t>TUBERIA HDPE 1/2 ACOMETIDA AGUA</t>
        </is>
      </c>
      <c r="G459" t="n">
        <v>30</v>
      </c>
      <c r="H459" s="30" t="inlineStr">
        <is>
          <t>m</t>
        </is>
      </c>
      <c r="I459">
        <f>IFERROR(VLOOKUP(E459, '05_MAESTRO_RECURSOS'!A:D, 4, FALSE), IFERROR(VLOOKUP(E459, '06_MAESTRO_PARTIDAS_EV'!B:F, 5, FALSE), 0))</f>
        <v/>
      </c>
      <c r="J459">
        <f>ROUND(G459 * I459, 2)</f>
        <v/>
      </c>
      <c r="K459" t="inlineStr">
        <is>
          <t>AC_MAT</t>
        </is>
      </c>
      <c r="L459" t="inlineStr">
        <is>
          <t>almacenero.html</t>
        </is>
      </c>
    </row>
    <row r="460">
      <c r="A460" s="30" t="inlineStr">
        <is>
          <t>LOG-20260815-459</t>
        </is>
      </c>
      <c r="B460" s="32" t="n">
        <v>46249</v>
      </c>
      <c r="C460" t="inlineStr">
        <is>
          <t>Ing. de Campo</t>
        </is>
      </c>
      <c r="D460" s="30" t="inlineStr">
        <is>
          <t>WBS-300</t>
        </is>
      </c>
      <c r="E460" s="30" t="inlineStr">
        <is>
          <t>01.03.02</t>
        </is>
      </c>
      <c r="F460" t="inlineStr">
        <is>
          <t>CONEXIONES DOMICILIARIAS AGUA POTABLE</t>
        </is>
      </c>
      <c r="G460" t="n">
        <v>5</v>
      </c>
      <c r="H460" s="30" t="inlineStr">
        <is>
          <t>UND</t>
        </is>
      </c>
      <c r="I460">
        <f>IFERROR(VLOOKUP(E460, '05_MAESTRO_RECURSOS'!A:D, 4, FALSE), IFERROR(VLOOKUP(E460, '06_MAESTRO_PARTIDAS_EV'!B:F, 5, FALSE), 0))</f>
        <v/>
      </c>
      <c r="J460">
        <f>ROUND(G460 * I460, 2)</f>
        <v/>
      </c>
      <c r="K460" t="inlineStr">
        <is>
          <t>EV_PRODUCCION</t>
        </is>
      </c>
      <c r="L460" t="inlineStr">
        <is>
          <t>ing_campo.html</t>
        </is>
      </c>
    </row>
    <row r="461">
      <c r="A461" s="30" t="inlineStr">
        <is>
          <t>LOG-20260815-460</t>
        </is>
      </c>
      <c r="B461" s="32" t="n">
        <v>46249</v>
      </c>
      <c r="C461" t="inlineStr">
        <is>
          <t>Administradora</t>
        </is>
      </c>
      <c r="D461" s="30" t="inlineStr">
        <is>
          <t>WBS-300</t>
        </is>
      </c>
      <c r="E461" s="30" t="inlineStr">
        <is>
          <t>EQ_RETROEXCAVADORA</t>
        </is>
      </c>
      <c r="F461" t="inlineStr">
        <is>
          <t>RETROEXCAVADORA LLANTAS 62 HP</t>
        </is>
      </c>
      <c r="G461" t="n">
        <v>8</v>
      </c>
      <c r="H461" s="30" t="inlineStr">
        <is>
          <t>hm</t>
        </is>
      </c>
      <c r="I461">
        <f>IFERROR(VLOOKUP(E461, '05_MAESTRO_RECURSOS'!A:D, 4, FALSE), IFERROR(VLOOKUP(E461, '06_MAESTRO_PARTIDAS_EV'!B:F, 5, FALSE), 0))</f>
        <v/>
      </c>
      <c r="J461">
        <f>ROUND(G461 * I461, 2)</f>
        <v/>
      </c>
      <c r="K461" t="inlineStr">
        <is>
          <t>AC_EQP</t>
        </is>
      </c>
      <c r="L461" t="inlineStr">
        <is>
          <t>administradora.html</t>
        </is>
      </c>
    </row>
    <row r="462">
      <c r="A462" s="30" t="inlineStr">
        <is>
          <t>LOG-20260815-461</t>
        </is>
      </c>
      <c r="B462" s="32" t="n">
        <v>46249</v>
      </c>
      <c r="C462" t="inlineStr">
        <is>
          <t>Administradora</t>
        </is>
      </c>
      <c r="D462" s="30" t="inlineStr">
        <is>
          <t>WBS-300</t>
        </is>
      </c>
      <c r="E462" s="30" t="inlineStr">
        <is>
          <t>EQ_PLANCHA</t>
        </is>
      </c>
      <c r="F462" t="inlineStr">
        <is>
          <t>PLANCHA COMPACTADORA 7 HP</t>
        </is>
      </c>
      <c r="G462" t="n">
        <v>8</v>
      </c>
      <c r="H462" s="30" t="inlineStr">
        <is>
          <t>hm</t>
        </is>
      </c>
      <c r="I462">
        <f>IFERROR(VLOOKUP(E462, '05_MAESTRO_RECURSOS'!A:D, 4, FALSE), IFERROR(VLOOKUP(E462, '06_MAESTRO_PARTIDAS_EV'!B:F, 5, FALSE), 0))</f>
        <v/>
      </c>
      <c r="J462">
        <f>ROUND(G462 * I462, 2)</f>
        <v/>
      </c>
      <c r="K462" t="inlineStr">
        <is>
          <t>AC_EQP</t>
        </is>
      </c>
      <c r="L462" t="inlineStr">
        <is>
          <t>administradora.html</t>
        </is>
      </c>
    </row>
    <row r="463">
      <c r="A463" s="30" t="inlineStr">
        <is>
          <t>LOG-20260815-462</t>
        </is>
      </c>
      <c r="B463" s="32" t="n">
        <v>46249</v>
      </c>
      <c r="C463" t="inlineStr">
        <is>
          <t>Administradora</t>
        </is>
      </c>
      <c r="D463" s="30" t="inlineStr">
        <is>
          <t>WBS-300</t>
        </is>
      </c>
      <c r="E463" s="30" t="inlineStr">
        <is>
          <t>EQ_RODILLO_CAMINANTE</t>
        </is>
      </c>
      <c r="F463" t="inlineStr">
        <is>
          <t>RODILLO VIBRATORIO 1.5 TN</t>
        </is>
      </c>
      <c r="G463" t="n">
        <v>8</v>
      </c>
      <c r="H463" s="30" t="inlineStr">
        <is>
          <t>hm</t>
        </is>
      </c>
      <c r="I463">
        <f>IFERROR(VLOOKUP(E463, '05_MAESTRO_RECURSOS'!A:D, 4, FALSE), IFERROR(VLOOKUP(E463, '06_MAESTRO_PARTIDAS_EV'!B:F, 5, FALSE), 0))</f>
        <v/>
      </c>
      <c r="J463">
        <f>ROUND(G463 * I463, 2)</f>
        <v/>
      </c>
      <c r="K463" t="inlineStr">
        <is>
          <t>AC_EQP</t>
        </is>
      </c>
      <c r="L463" t="inlineStr">
        <is>
          <t>administradora.html</t>
        </is>
      </c>
    </row>
    <row r="464">
      <c r="A464" s="30" t="inlineStr">
        <is>
          <t>LOG-20260815-463</t>
        </is>
      </c>
      <c r="B464" s="32" t="n">
        <v>46249</v>
      </c>
      <c r="C464" t="inlineStr">
        <is>
          <t>Ing. de Campo</t>
        </is>
      </c>
      <c r="D464" s="30" t="inlineStr">
        <is>
          <t>WBS-300</t>
        </is>
      </c>
      <c r="E464" s="30" t="inlineStr">
        <is>
          <t>01.03.01</t>
        </is>
      </c>
      <c r="F464" t="inlineStr">
        <is>
          <t>INSTALACION TUBERIA PVC C-10 DN 110MM AGUA POTABLE</t>
        </is>
      </c>
      <c r="G464" t="n">
        <v>150</v>
      </c>
      <c r="H464" s="30" t="inlineStr">
        <is>
          <t>M</t>
        </is>
      </c>
      <c r="I464">
        <f>IFERROR(VLOOKUP(E464, '05_MAESTRO_RECURSOS'!A:D, 4, FALSE), IFERROR(VLOOKUP(E464, '06_MAESTRO_PARTIDAS_EV'!B:F, 5, FALSE), 0))</f>
        <v/>
      </c>
      <c r="J464">
        <f>ROUND(G464 * I464, 2)</f>
        <v/>
      </c>
      <c r="K464" t="inlineStr">
        <is>
          <t>EV_PRODUCCION</t>
        </is>
      </c>
      <c r="L464" t="inlineStr">
        <is>
          <t>ing_campo.html</t>
        </is>
      </c>
    </row>
    <row r="465">
      <c r="A465" s="30" t="inlineStr">
        <is>
          <t>LOG-20260815-464</t>
        </is>
      </c>
      <c r="B465" s="32" t="n">
        <v>46249</v>
      </c>
      <c r="C465" t="inlineStr">
        <is>
          <t>Tareador (Bildin)</t>
        </is>
      </c>
      <c r="D465" s="30" t="inlineStr">
        <is>
          <t>WBS-400</t>
        </is>
      </c>
      <c r="E465" s="30" t="inlineStr">
        <is>
          <t>MO_OPERARIO</t>
        </is>
      </c>
      <c r="F465" t="inlineStr">
        <is>
          <t>OPERARIO</t>
        </is>
      </c>
      <c r="G465" t="n">
        <v>8</v>
      </c>
      <c r="H465" s="30" t="inlineStr">
        <is>
          <t>hh</t>
        </is>
      </c>
      <c r="I465">
        <f>IFERROR(VLOOKUP(E465, '05_MAESTRO_RECURSOS'!A:D, 4, FALSE), IFERROR(VLOOKUP(E465, '06_MAESTRO_PARTIDAS_EV'!B:F, 5, FALSE), 0))</f>
        <v/>
      </c>
      <c r="J465">
        <f>ROUND(G465 * I465, 2)</f>
        <v/>
      </c>
      <c r="K465" t="inlineStr">
        <is>
          <t>AC_MO</t>
        </is>
      </c>
      <c r="L465" t="inlineStr">
        <is>
          <t>tareador.html</t>
        </is>
      </c>
    </row>
    <row r="466">
      <c r="A466" s="30" t="inlineStr">
        <is>
          <t>LOG-20260815-465</t>
        </is>
      </c>
      <c r="B466" s="32" t="n">
        <v>46249</v>
      </c>
      <c r="C466" t="inlineStr">
        <is>
          <t>Tareador (Bildin)</t>
        </is>
      </c>
      <c r="D466" s="30" t="inlineStr">
        <is>
          <t>WBS-400</t>
        </is>
      </c>
      <c r="E466" s="30" t="inlineStr">
        <is>
          <t>MO_OFICIAL</t>
        </is>
      </c>
      <c r="F466" t="inlineStr">
        <is>
          <t>OFICIAL</t>
        </is>
      </c>
      <c r="G466" t="n">
        <v>8</v>
      </c>
      <c r="H466" s="30" t="inlineStr">
        <is>
          <t>hh</t>
        </is>
      </c>
      <c r="I466">
        <f>IFERROR(VLOOKUP(E466, '05_MAESTRO_RECURSOS'!A:D, 4, FALSE), IFERROR(VLOOKUP(E466, '06_MAESTRO_PARTIDAS_EV'!B:F, 5, FALSE), 0))</f>
        <v/>
      </c>
      <c r="J466">
        <f>ROUND(G466 * I466, 2)</f>
        <v/>
      </c>
      <c r="K466" t="inlineStr">
        <is>
          <t>AC_MO</t>
        </is>
      </c>
      <c r="L466" t="inlineStr">
        <is>
          <t>tareador.html</t>
        </is>
      </c>
    </row>
    <row r="467">
      <c r="A467" s="30" t="inlineStr">
        <is>
          <t>LOG-20260815-466</t>
        </is>
      </c>
      <c r="B467" s="32" t="n">
        <v>46249</v>
      </c>
      <c r="C467" t="inlineStr">
        <is>
          <t>Tareador (Bildin)</t>
        </is>
      </c>
      <c r="D467" s="30" t="inlineStr">
        <is>
          <t>WBS-400</t>
        </is>
      </c>
      <c r="E467" s="30" t="inlineStr">
        <is>
          <t>MO_PEON</t>
        </is>
      </c>
      <c r="F467" t="inlineStr">
        <is>
          <t>PEON</t>
        </is>
      </c>
      <c r="G467" t="n">
        <v>16</v>
      </c>
      <c r="H467" s="30" t="inlineStr">
        <is>
          <t>hh</t>
        </is>
      </c>
      <c r="I467">
        <f>IFERROR(VLOOKUP(E467, '05_MAESTRO_RECURSOS'!A:D, 4, FALSE), IFERROR(VLOOKUP(E467, '06_MAESTRO_PARTIDAS_EV'!B:F, 5, FALSE), 0))</f>
        <v/>
      </c>
      <c r="J467">
        <f>ROUND(G467 * I467, 2)</f>
        <v/>
      </c>
      <c r="K467" t="inlineStr">
        <is>
          <t>AC_MO</t>
        </is>
      </c>
      <c r="L467" t="inlineStr">
        <is>
          <t>tareador.html</t>
        </is>
      </c>
    </row>
    <row r="468">
      <c r="A468" s="30" t="inlineStr">
        <is>
          <t>LOG-20260815-467</t>
        </is>
      </c>
      <c r="B468" s="32" t="n">
        <v>46249</v>
      </c>
      <c r="C468" t="inlineStr">
        <is>
          <t>Almacenero</t>
        </is>
      </c>
      <c r="D468" s="30" t="inlineStr">
        <is>
          <t>WBS-400</t>
        </is>
      </c>
      <c r="E468" s="30" t="inlineStr">
        <is>
          <t>MAT_HIPOCLORITO</t>
        </is>
      </c>
      <c r="F468" t="inlineStr">
        <is>
          <t>HIPOCLORITO DE CALCIO 70%</t>
        </is>
      </c>
      <c r="G468" t="n">
        <v>5</v>
      </c>
      <c r="H468" s="30" t="inlineStr">
        <is>
          <t>kg</t>
        </is>
      </c>
      <c r="I468">
        <f>IFERROR(VLOOKUP(E468, '05_MAESTRO_RECURSOS'!A:D, 4, FALSE), IFERROR(VLOOKUP(E468, '06_MAESTRO_PARTIDAS_EV'!B:F, 5, FALSE), 0))</f>
        <v/>
      </c>
      <c r="J468">
        <f>ROUND(G468 * I468, 2)</f>
        <v/>
      </c>
      <c r="K468" t="inlineStr">
        <is>
          <t>AC_MAT</t>
        </is>
      </c>
      <c r="L468" t="inlineStr">
        <is>
          <t>almacenero.html</t>
        </is>
      </c>
    </row>
    <row r="469">
      <c r="A469" s="30" t="inlineStr">
        <is>
          <t>LOG-20260815-468</t>
        </is>
      </c>
      <c r="B469" s="32" t="n">
        <v>46249</v>
      </c>
      <c r="C469" t="inlineStr">
        <is>
          <t>Almacenero</t>
        </is>
      </c>
      <c r="D469" s="30" t="inlineStr">
        <is>
          <t>WBS-400</t>
        </is>
      </c>
      <c r="E469" s="30" t="inlineStr">
        <is>
          <t>MAT_AGUA</t>
        </is>
      </c>
      <c r="F469" t="inlineStr">
        <is>
          <t>AGUA PARA COMPACTACION/PRUEBAS</t>
        </is>
      </c>
      <c r="G469" t="n">
        <v>20</v>
      </c>
      <c r="H469" s="30" t="inlineStr">
        <is>
          <t>m3</t>
        </is>
      </c>
      <c r="I469">
        <f>IFERROR(VLOOKUP(E469, '05_MAESTRO_RECURSOS'!A:D, 4, FALSE), IFERROR(VLOOKUP(E469, '06_MAESTRO_PARTIDAS_EV'!B:F, 5, FALSE), 0))</f>
        <v/>
      </c>
      <c r="J469">
        <f>ROUND(G469 * I469, 2)</f>
        <v/>
      </c>
      <c r="K469" t="inlineStr">
        <is>
          <t>AC_MAT</t>
        </is>
      </c>
      <c r="L469" t="inlineStr">
        <is>
          <t>almacenero.html</t>
        </is>
      </c>
    </row>
    <row r="470">
      <c r="A470" s="30" t="inlineStr">
        <is>
          <t>LOG-20260815-469</t>
        </is>
      </c>
      <c r="B470" s="32" t="n">
        <v>46249</v>
      </c>
      <c r="C470" t="inlineStr">
        <is>
          <t>Administradora</t>
        </is>
      </c>
      <c r="D470" s="30" t="inlineStr">
        <is>
          <t>WBS-400</t>
        </is>
      </c>
      <c r="E470" s="30" t="inlineStr">
        <is>
          <t>SUB_PRUEBA_LAB</t>
        </is>
      </c>
      <c r="F470" t="inlineStr">
        <is>
          <t>SUBCONTRATO ANALISIS DE AGUA</t>
        </is>
      </c>
      <c r="G470" t="n">
        <v>1</v>
      </c>
      <c r="H470" s="30" t="inlineStr">
        <is>
          <t>glb</t>
        </is>
      </c>
      <c r="I470">
        <f>IFERROR(VLOOKUP(E470, '05_MAESTRO_RECURSOS'!A:D, 4, FALSE), IFERROR(VLOOKUP(E470, '06_MAESTRO_PARTIDAS_EV'!B:F, 5, FALSE), 0))</f>
        <v/>
      </c>
      <c r="J470">
        <f>ROUND(G470 * I470, 2)</f>
        <v/>
      </c>
      <c r="K470" t="inlineStr">
        <is>
          <t>AC_SUB</t>
        </is>
      </c>
      <c r="L470" t="inlineStr">
        <is>
          <t>administradora.html</t>
        </is>
      </c>
    </row>
    <row r="471">
      <c r="A471" s="30" t="inlineStr">
        <is>
          <t>LOG-20260815-470</t>
        </is>
      </c>
      <c r="B471" s="32" t="n">
        <v>46249</v>
      </c>
      <c r="C471" t="inlineStr">
        <is>
          <t>Administradora</t>
        </is>
      </c>
      <c r="D471" s="30" t="inlineStr">
        <is>
          <t>WBS-400</t>
        </is>
      </c>
      <c r="E471" s="30" t="inlineStr">
        <is>
          <t>EQ_BOMBA_PRUEBA</t>
        </is>
      </c>
      <c r="F471" t="inlineStr">
        <is>
          <t>BOMBA HIDROSTATICA PRUEBA PRESION</t>
        </is>
      </c>
      <c r="G471" t="n">
        <v>8</v>
      </c>
      <c r="H471" s="30" t="inlineStr">
        <is>
          <t>hm</t>
        </is>
      </c>
      <c r="I471">
        <f>IFERROR(VLOOKUP(E471, '05_MAESTRO_RECURSOS'!A:D, 4, FALSE), IFERROR(VLOOKUP(E471, '06_MAESTRO_PARTIDAS_EV'!B:F, 5, FALSE), 0))</f>
        <v/>
      </c>
      <c r="J471">
        <f>ROUND(G471 * I471, 2)</f>
        <v/>
      </c>
      <c r="K471" t="inlineStr">
        <is>
          <t>AC_EQP</t>
        </is>
      </c>
      <c r="L471" t="inlineStr">
        <is>
          <t>administradora.html</t>
        </is>
      </c>
    </row>
    <row r="472">
      <c r="A472" s="30" t="inlineStr">
        <is>
          <t>LOG-20260815-471</t>
        </is>
      </c>
      <c r="B472" s="32" t="n">
        <v>46249</v>
      </c>
      <c r="C472" t="inlineStr">
        <is>
          <t>Administradora</t>
        </is>
      </c>
      <c r="D472" s="30" t="inlineStr">
        <is>
          <t>WBS-400</t>
        </is>
      </c>
      <c r="E472" s="30" t="inlineStr">
        <is>
          <t>EQ_CAMION_CISTERNA</t>
        </is>
      </c>
      <c r="F472" t="inlineStr">
        <is>
          <t>CAMION CISTERNA AGUA 2000 GLN</t>
        </is>
      </c>
      <c r="G472" t="n">
        <v>8</v>
      </c>
      <c r="H472" s="30" t="inlineStr">
        <is>
          <t>hm</t>
        </is>
      </c>
      <c r="I472">
        <f>IFERROR(VLOOKUP(E472, '05_MAESTRO_RECURSOS'!A:D, 4, FALSE), IFERROR(VLOOKUP(E472, '06_MAESTRO_PARTIDAS_EV'!B:F, 5, FALSE), 0))</f>
        <v/>
      </c>
      <c r="J472">
        <f>ROUND(G472 * I472, 2)</f>
        <v/>
      </c>
      <c r="K472" t="inlineStr">
        <is>
          <t>AC_EQP</t>
        </is>
      </c>
      <c r="L472" t="inlineStr">
        <is>
          <t>administradora.html</t>
        </is>
      </c>
    </row>
    <row r="473">
      <c r="A473" s="30" t="inlineStr">
        <is>
          <t>LOG-20260815-472</t>
        </is>
      </c>
      <c r="B473" s="32" t="n">
        <v>46249</v>
      </c>
      <c r="C473" t="inlineStr">
        <is>
          <t>Ing. de Campo</t>
        </is>
      </c>
      <c r="D473" s="30" t="inlineStr">
        <is>
          <t>WBS-400</t>
        </is>
      </c>
      <c r="E473" s="30" t="inlineStr">
        <is>
          <t>01.04.01</t>
        </is>
      </c>
      <c r="F473" t="inlineStr">
        <is>
          <t>PRUEBA HIDRAULICA Y DESINFECCION DE RED DE AGUA</t>
        </is>
      </c>
      <c r="G473" t="n">
        <v>0.16</v>
      </c>
      <c r="H473" s="30" t="inlineStr">
        <is>
          <t>GLB</t>
        </is>
      </c>
      <c r="I473">
        <f>IFERROR(VLOOKUP(E473, '05_MAESTRO_RECURSOS'!A:D, 4, FALSE), IFERROR(VLOOKUP(E473, '06_MAESTRO_PARTIDAS_EV'!B:F, 5, FALSE), 0))</f>
        <v/>
      </c>
      <c r="J473">
        <f>ROUND(G473 * I473, 2)</f>
        <v/>
      </c>
      <c r="K473" t="inlineStr">
        <is>
          <t>EV_PRODUCCION</t>
        </is>
      </c>
      <c r="L473" t="inlineStr">
        <is>
          <t>ing_campo.html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10" defaultColWidth="8.88671875" defaultRowHeight="14.4"/>
  <cols>
    <col width="14" customWidth="1" min="1" max="1"/>
    <col width="36" customWidth="1" min="2" max="2"/>
    <col width="8" customWidth="1" min="3" max="3"/>
    <col width="14" customWidth="1" min="4" max="5"/>
  </cols>
  <sheetData>
    <row r="1" ht="36" customHeight="1">
      <c r="A1" s="18" t="inlineStr">
        <is>
          <t>Código Recurso</t>
        </is>
      </c>
      <c r="B1" s="18" t="inlineStr">
        <is>
          <t>Descripción del Recurso / Insumo</t>
        </is>
      </c>
      <c r="C1" s="18" t="inlineStr">
        <is>
          <t>Unidad</t>
        </is>
      </c>
      <c r="D1" s="18" t="inlineStr">
        <is>
          <t>P.U. Meta Oficial (S/)</t>
        </is>
      </c>
      <c r="E1" s="18" t="inlineStr">
        <is>
          <t>Categoría EVM</t>
        </is>
      </c>
    </row>
    <row r="2" ht="19.95" customHeight="1">
      <c r="A2" s="2" t="inlineStr">
        <is>
          <t>MO_CAPATAZ</t>
        </is>
      </c>
      <c r="B2" s="3" t="inlineStr">
        <is>
          <t>CAPATAZ</t>
        </is>
      </c>
      <c r="C2" s="4" t="inlineStr">
        <is>
          <t>hh</t>
        </is>
      </c>
      <c r="D2" s="6" t="n">
        <v>32.5</v>
      </c>
      <c r="E2" s="4" t="inlineStr">
        <is>
          <t>AC_MO</t>
        </is>
      </c>
    </row>
    <row r="3" ht="19.95" customHeight="1">
      <c r="A3" s="2" t="inlineStr">
        <is>
          <t>MO_OPERARIO</t>
        </is>
      </c>
      <c r="B3" s="3" t="inlineStr">
        <is>
          <t>OPERARIO</t>
        </is>
      </c>
      <c r="C3" s="4" t="inlineStr">
        <is>
          <t>hh</t>
        </is>
      </c>
      <c r="D3" s="6" t="n">
        <v>26.8</v>
      </c>
      <c r="E3" s="4" t="inlineStr">
        <is>
          <t>AC_MO</t>
        </is>
      </c>
    </row>
    <row r="4" ht="19.95" customHeight="1">
      <c r="A4" s="2" t="inlineStr">
        <is>
          <t>MO_OFICIAL</t>
        </is>
      </c>
      <c r="B4" s="3" t="inlineStr">
        <is>
          <t>OFICIAL</t>
        </is>
      </c>
      <c r="C4" s="4" t="inlineStr">
        <is>
          <t>hh</t>
        </is>
      </c>
      <c r="D4" s="6" t="n">
        <v>22.4</v>
      </c>
      <c r="E4" s="4" t="inlineStr">
        <is>
          <t>AC_MO</t>
        </is>
      </c>
    </row>
    <row r="5" ht="19.95" customHeight="1">
      <c r="A5" s="2" t="inlineStr">
        <is>
          <t>MO_PEON</t>
        </is>
      </c>
      <c r="B5" s="3" t="inlineStr">
        <is>
          <t>PEON</t>
        </is>
      </c>
      <c r="C5" s="4" t="inlineStr">
        <is>
          <t>hh</t>
        </is>
      </c>
      <c r="D5" s="6" t="n">
        <v>20.1</v>
      </c>
      <c r="E5" s="4" t="inlineStr">
        <is>
          <t>AC_MO</t>
        </is>
      </c>
    </row>
    <row r="6" ht="19.95" customHeight="1">
      <c r="A6" s="2" t="inlineStr">
        <is>
          <t>MAT_ESTACA</t>
        </is>
      </c>
      <c r="B6" s="3" t="inlineStr">
        <is>
          <t>ESTACAS Y MADERA PARA TRAZO</t>
        </is>
      </c>
      <c r="C6" s="4" t="inlineStr">
        <is>
          <t>pza</t>
        </is>
      </c>
      <c r="D6" s="6" t="n">
        <v>4.5</v>
      </c>
      <c r="E6" s="4" t="inlineStr">
        <is>
          <t>AC_MAT</t>
        </is>
      </c>
    </row>
    <row r="7" ht="19.95" customHeight="1">
      <c r="A7" s="2" t="inlineStr">
        <is>
          <t>MAT_PINTURA</t>
        </is>
      </c>
      <c r="B7" s="3" t="inlineStr">
        <is>
          <t>PINTURA SPRAY MARCADOR DE ZANJA</t>
        </is>
      </c>
      <c r="C7" s="4" t="inlineStr">
        <is>
          <t>gla</t>
        </is>
      </c>
      <c r="D7" s="6" t="n">
        <v>18</v>
      </c>
      <c r="E7" s="4" t="inlineStr">
        <is>
          <t>AC_MAT</t>
        </is>
      </c>
    </row>
    <row r="8" ht="19.95" customHeight="1">
      <c r="A8" s="2" t="inlineStr">
        <is>
          <t>MAT_CORDEL</t>
        </is>
      </c>
      <c r="B8" s="3" t="inlineStr">
        <is>
          <t>CORDEL / NYLON</t>
        </is>
      </c>
      <c r="C8" s="4" t="inlineStr">
        <is>
          <t>m</t>
        </is>
      </c>
      <c r="D8" s="6" t="n">
        <v>0.8</v>
      </c>
      <c r="E8" s="4" t="inlineStr">
        <is>
          <t>AC_MAT</t>
        </is>
      </c>
    </row>
    <row r="9" ht="19.95" customHeight="1">
      <c r="A9" s="2" t="inlineStr">
        <is>
          <t>MAT_ARENA_CAMAS</t>
        </is>
      </c>
      <c r="B9" s="3" t="inlineStr">
        <is>
          <t>ARENA FINA SELECCIONADA PARA CAMA E=0.10M</t>
        </is>
      </c>
      <c r="C9" s="4" t="inlineStr">
        <is>
          <t>m3</t>
        </is>
      </c>
      <c r="D9" s="6" t="n">
        <v>45</v>
      </c>
      <c r="E9" s="4" t="inlineStr">
        <is>
          <t>AC_MAT</t>
        </is>
      </c>
    </row>
    <row r="10" ht="19.95" customHeight="1">
      <c r="A10" s="2" t="inlineStr">
        <is>
          <t>MAT_TUB_PVC_200</t>
        </is>
      </c>
      <c r="B10" s="3" t="inlineStr">
        <is>
          <t>TUBERIA PVC UF DN 200MM SERIE S-20 ALCANTARILLADO</t>
        </is>
      </c>
      <c r="C10" s="4" t="inlineStr">
        <is>
          <t>m</t>
        </is>
      </c>
      <c r="D10" s="6" t="n">
        <v>42</v>
      </c>
      <c r="E10" s="4" t="inlineStr">
        <is>
          <t>AC_MAT</t>
        </is>
      </c>
    </row>
    <row r="11" ht="19.95" customHeight="1">
      <c r="A11" s="2" t="inlineStr">
        <is>
          <t>MAT_LUBRICANTE</t>
        </is>
      </c>
      <c r="B11" s="3" t="inlineStr">
        <is>
          <t>LUBRICANTE PARA TUBERIA CON ESPIGA Y CAMPANA</t>
        </is>
      </c>
      <c r="C11" s="4" t="inlineStr">
        <is>
          <t>kg</t>
        </is>
      </c>
      <c r="D11" s="6" t="n">
        <v>24</v>
      </c>
      <c r="E11" s="4" t="inlineStr">
        <is>
          <t>AC_MAT</t>
        </is>
      </c>
    </row>
    <row r="12" ht="19.95" customHeight="1">
      <c r="A12" s="2" t="inlineStr">
        <is>
          <t>MAT_MATERIAL_PR</t>
        </is>
      </c>
      <c r="B12" s="3" t="inlineStr">
        <is>
          <t>MATERIAL DE PRÉSTAMO AFIRMADO PARA RELLENO COMPACTADO</t>
        </is>
      </c>
      <c r="C12" s="4" t="inlineStr">
        <is>
          <t>m3</t>
        </is>
      </c>
      <c r="D12" s="6" t="n">
        <v>38</v>
      </c>
      <c r="E12" s="4" t="inlineStr">
        <is>
          <t>AC_MAT</t>
        </is>
      </c>
    </row>
    <row r="13" ht="19.95" customHeight="1">
      <c r="A13" s="2" t="inlineStr">
        <is>
          <t>MAT_AGUA</t>
        </is>
      </c>
      <c r="B13" s="3" t="inlineStr">
        <is>
          <t>AGUA PARA COMPACTACIÓN Y PRUEBAS</t>
        </is>
      </c>
      <c r="C13" s="4" t="inlineStr">
        <is>
          <t>m3</t>
        </is>
      </c>
      <c r="D13" s="6" t="n">
        <v>12</v>
      </c>
      <c r="E13" s="4" t="inlineStr">
        <is>
          <t>AC_MAT</t>
        </is>
      </c>
    </row>
    <row r="14" ht="19.95" customHeight="1">
      <c r="A14" s="2" t="inlineStr">
        <is>
          <t>MAT_BUZON_PREF</t>
        </is>
      </c>
      <c r="B14" s="3" t="inlineStr">
        <is>
          <t>BUZON PREFABRICADO CONCRETO H=1.5-2.5M CON MARCO Y TAPA</t>
        </is>
      </c>
      <c r="C14" s="4" t="inlineStr">
        <is>
          <t>und</t>
        </is>
      </c>
      <c r="D14" s="6" t="n">
        <v>1050</v>
      </c>
      <c r="E14" s="4" t="inlineStr">
        <is>
          <t>AC_MAT</t>
        </is>
      </c>
    </row>
    <row r="15" ht="19.95" customHeight="1">
      <c r="A15" s="2" t="inlineStr">
        <is>
          <t>MAT_CAJA_REGISTRO</t>
        </is>
      </c>
      <c r="B15" s="3" t="inlineStr">
        <is>
          <t>CAJA DE REGISTRO PREFABRICADA DE CONCRETO 12X24 WITH TAPA</t>
        </is>
      </c>
      <c r="C15" s="4" t="inlineStr">
        <is>
          <t>und</t>
        </is>
      </c>
      <c r="D15" s="6" t="n">
        <v>145</v>
      </c>
      <c r="E15" s="4" t="inlineStr">
        <is>
          <t>AC_MAT</t>
        </is>
      </c>
    </row>
    <row r="16" ht="19.95" customHeight="1">
      <c r="A16" s="2" t="inlineStr">
        <is>
          <t>MAT_TUB_PVC_160_CONEX</t>
        </is>
      </c>
      <c r="B16" s="3" t="inlineStr">
        <is>
          <t>TUBERIA PVC SAL DN 160MM PARA ACOMETIDA ALCANTARILLADO</t>
        </is>
      </c>
      <c r="C16" s="4" t="inlineStr">
        <is>
          <t>m</t>
        </is>
      </c>
      <c r="D16" s="6" t="n">
        <v>22</v>
      </c>
      <c r="E16" s="4" t="inlineStr">
        <is>
          <t>AC_MAT</t>
        </is>
      </c>
    </row>
    <row r="17" ht="19.95" customHeight="1">
      <c r="A17" s="2" t="inlineStr">
        <is>
          <t>MAT_TUB_PVC_110_AGUA</t>
        </is>
      </c>
      <c r="B17" s="3" t="inlineStr">
        <is>
          <t>TUBERIA PVC C-10 DN 110MM AGUA POTABLE</t>
        </is>
      </c>
      <c r="C17" s="4" t="inlineStr">
        <is>
          <t>m</t>
        </is>
      </c>
      <c r="D17" s="6" t="n">
        <v>26.5</v>
      </c>
      <c r="E17" s="4" t="inlineStr">
        <is>
          <t>AC_MAT</t>
        </is>
      </c>
    </row>
    <row r="18" ht="19.95" customHeight="1">
      <c r="A18" s="2" t="inlineStr">
        <is>
          <t>MAT_ACCESORIOS_AGUA</t>
        </is>
      </c>
      <c r="B18" s="3" t="inlineStr">
        <is>
          <t>ACCESORIOS Y CODOS PVC AGUA 110MM (PROMEDIO/M)</t>
        </is>
      </c>
      <c r="C18" s="4" t="inlineStr">
        <is>
          <t>glb</t>
        </is>
      </c>
      <c r="D18" s="6" t="n">
        <v>5</v>
      </c>
      <c r="E18" s="4" t="inlineStr">
        <is>
          <t>AC_MAT</t>
        </is>
      </c>
    </row>
    <row r="19" ht="19.95" customHeight="1">
      <c r="A19" s="2" t="inlineStr">
        <is>
          <t>MAT_CAJA_AGUA</t>
        </is>
      </c>
      <c r="B19" s="3" t="inlineStr">
        <is>
          <t>CAJA TERMOFORMADA PARA MEDIDOR + ABRAZADERA + LLAVE DE PASO</t>
        </is>
      </c>
      <c r="C19" s="4" t="inlineStr">
        <is>
          <t>und</t>
        </is>
      </c>
      <c r="D19" s="6" t="n">
        <v>62</v>
      </c>
      <c r="E19" s="4" t="inlineStr">
        <is>
          <t>AC_MAT</t>
        </is>
      </c>
    </row>
    <row r="20" ht="19.95" customHeight="1">
      <c r="A20" s="2" t="inlineStr">
        <is>
          <t>MAT_TUB_HDPE_1_2</t>
        </is>
      </c>
      <c r="B20" s="3" t="inlineStr">
        <is>
          <t>TUBERIA HDPE 1/2 PARA ACOMETIDA AGUA</t>
        </is>
      </c>
      <c r="C20" s="4" t="inlineStr">
        <is>
          <t>m</t>
        </is>
      </c>
      <c r="D20" s="6" t="n">
        <v>3.8</v>
      </c>
      <c r="E20" s="4" t="inlineStr">
        <is>
          <t>AC_MAT</t>
        </is>
      </c>
    </row>
    <row r="21" ht="19.95" customHeight="1">
      <c r="A21" s="2" t="inlineStr">
        <is>
          <t>MAT_HIPOCLORITO</t>
        </is>
      </c>
      <c r="B21" s="3" t="inlineStr">
        <is>
          <t>HIPOCLORITO DE CALCIO 70% PARA DESINFECCION</t>
        </is>
      </c>
      <c r="C21" s="4" t="inlineStr">
        <is>
          <t>kg</t>
        </is>
      </c>
      <c r="D21" s="6" t="n">
        <v>35</v>
      </c>
      <c r="E21" s="4" t="inlineStr">
        <is>
          <t>AC_MAT</t>
        </is>
      </c>
    </row>
    <row r="22" ht="19.95" customHeight="1">
      <c r="A22" s="2" t="inlineStr">
        <is>
          <t>MAT_CARTEL</t>
        </is>
      </c>
      <c r="B22" s="3" t="inlineStr">
        <is>
          <t>CARTEL DE OBRA 3.60X2.40M</t>
        </is>
      </c>
      <c r="C22" s="4" t="inlineStr">
        <is>
          <t>und</t>
        </is>
      </c>
      <c r="D22" s="6" t="n">
        <v>1200</v>
      </c>
      <c r="E22" s="4" t="inlineStr">
        <is>
          <t>AC_MAT</t>
        </is>
      </c>
    </row>
    <row r="23" ht="19.95" customHeight="1">
      <c r="A23" s="2" t="inlineStr">
        <is>
          <t>MAT_CASETA</t>
        </is>
      </c>
      <c r="B23" s="3" t="inlineStr">
        <is>
          <t>CASETA DE ALMACEN Y OFICINA PROVISIONAL</t>
        </is>
      </c>
      <c r="C23" s="4" t="inlineStr">
        <is>
          <t>glb</t>
        </is>
      </c>
      <c r="D23" s="6" t="n">
        <v>2300</v>
      </c>
      <c r="E23" s="4" t="inlineStr">
        <is>
          <t>AC_MAT</t>
        </is>
      </c>
    </row>
    <row r="24" ht="19.95" customHeight="1">
      <c r="A24" s="2" t="inlineStr">
        <is>
          <t>EQ_EXCAVADORA</t>
        </is>
      </c>
      <c r="B24" s="3" t="inlineStr">
        <is>
          <t>EXCAVADORA SOBRE ORUGAS 140 HP</t>
        </is>
      </c>
      <c r="C24" s="4" t="inlineStr">
        <is>
          <t>hm</t>
        </is>
      </c>
      <c r="D24" s="6" t="n">
        <v>185</v>
      </c>
      <c r="E24" s="4" t="inlineStr">
        <is>
          <t>AC_EQP</t>
        </is>
      </c>
    </row>
    <row r="25" ht="19.95" customHeight="1">
      <c r="A25" s="2" t="inlineStr">
        <is>
          <t>EQ_RETROEXCAVADORA</t>
        </is>
      </c>
      <c r="B25" s="3" t="inlineStr">
        <is>
          <t>RETROEXCAVADORA SOBRE LLANTAS 62 HP</t>
        </is>
      </c>
      <c r="C25" s="4" t="inlineStr">
        <is>
          <t>hm</t>
        </is>
      </c>
      <c r="D25" s="6" t="n">
        <v>130</v>
      </c>
      <c r="E25" s="4" t="inlineStr">
        <is>
          <t>AC_EQP</t>
        </is>
      </c>
    </row>
    <row r="26" ht="19.95" customHeight="1">
      <c r="A26" s="2" t="inlineStr">
        <is>
          <t>EQ_PLANCHA</t>
        </is>
      </c>
      <c r="B26" s="3" t="inlineStr">
        <is>
          <t>PLANCHA COMPACTADORA 7 HP</t>
        </is>
      </c>
      <c r="C26" s="4" t="inlineStr">
        <is>
          <t>hm</t>
        </is>
      </c>
      <c r="D26" s="6" t="n">
        <v>25</v>
      </c>
      <c r="E26" s="4" t="inlineStr">
        <is>
          <t>AC_EQP</t>
        </is>
      </c>
    </row>
    <row r="27" ht="19.95" customHeight="1">
      <c r="A27" s="2" t="inlineStr">
        <is>
          <t>EQ_RODILLO_CAMINANTE</t>
        </is>
      </c>
      <c r="B27" s="3" t="inlineStr">
        <is>
          <t>RODILLO VIBRATORIO CAMINANTE 1.5 TN</t>
        </is>
      </c>
      <c r="C27" s="4" t="inlineStr">
        <is>
          <t>hm</t>
        </is>
      </c>
      <c r="D27" s="6" t="n">
        <v>45</v>
      </c>
      <c r="E27" s="4" t="inlineStr">
        <is>
          <t>AC_EQP</t>
        </is>
      </c>
    </row>
    <row r="28" ht="19.95" customHeight="1">
      <c r="A28" s="2" t="inlineStr">
        <is>
          <t>EQ_CAMION_CISTERNA</t>
        </is>
      </c>
      <c r="B28" s="3" t="inlineStr">
        <is>
          <t>CAMION CISTERNA 4X2 (AGUA) 2,000 GLN</t>
        </is>
      </c>
      <c r="C28" s="4" t="inlineStr">
        <is>
          <t>hm</t>
        </is>
      </c>
      <c r="D28" s="6" t="n">
        <v>140</v>
      </c>
      <c r="E28" s="4" t="inlineStr">
        <is>
          <t>AC_EQP</t>
        </is>
      </c>
    </row>
    <row r="29" ht="19.95" customHeight="1">
      <c r="A29" s="2" t="inlineStr">
        <is>
          <t>EQ_CAMION_GRUAN</t>
        </is>
      </c>
      <c r="B29" s="3" t="inlineStr">
        <is>
          <t>CAMION GRUA 5 TN PARA MONTAJE DE BUZONES</t>
        </is>
      </c>
      <c r="C29" s="4" t="inlineStr">
        <is>
          <t>hm</t>
        </is>
      </c>
      <c r="D29" s="6" t="n">
        <v>160</v>
      </c>
      <c r="E29" s="4" t="inlineStr">
        <is>
          <t>AC_EQP</t>
        </is>
      </c>
    </row>
    <row r="30" ht="19.95" customHeight="1">
      <c r="A30" s="2" t="inlineStr">
        <is>
          <t>EQ_ESTACION_TOTAL</t>
        </is>
      </c>
      <c r="B30" s="3" t="inlineStr">
        <is>
          <t>EQUIPO DE TOPOGRAFIA ESTACION TOTAL</t>
        </is>
      </c>
      <c r="C30" s="4" t="inlineStr">
        <is>
          <t>hm</t>
        </is>
      </c>
      <c r="D30" s="6" t="n">
        <v>18</v>
      </c>
      <c r="E30" s="4" t="inlineStr">
        <is>
          <t>AC_EQP</t>
        </is>
      </c>
    </row>
    <row r="31" ht="19.95" customHeight="1">
      <c r="A31" s="2" t="inlineStr">
        <is>
          <t>SUB_MOVILIZACION</t>
        </is>
      </c>
      <c r="B31" s="3" t="inlineStr">
        <is>
          <t>SUBCONTRATO DE MOVILIZACION Y DESMOVILIZACION DE MAQUINARIA</t>
        </is>
      </c>
      <c r="C31" s="4" t="inlineStr">
        <is>
          <t>glb</t>
        </is>
      </c>
      <c r="D31" s="6" t="n">
        <v>4000</v>
      </c>
      <c r="E31" s="4" t="inlineStr">
        <is>
          <t>AC_SUB</t>
        </is>
      </c>
    </row>
    <row r="32" ht="19.95" customHeight="1">
      <c r="A32" s="2" t="inlineStr">
        <is>
          <t>SUB_ENSAYOS_COMPAC</t>
        </is>
      </c>
      <c r="B32" s="3" t="inlineStr">
        <is>
          <t>SUBCONTRATO DE ENSAYOS DE DENSIDAD DE CAMPO (PROCTOR/DENSIDAD)</t>
        </is>
      </c>
      <c r="C32" s="4" t="inlineStr">
        <is>
          <t>und</t>
        </is>
      </c>
      <c r="D32" s="6" t="n">
        <v>80</v>
      </c>
      <c r="E32" s="4" t="inlineStr">
        <is>
          <t>AC_SUB</t>
        </is>
      </c>
    </row>
    <row r="33" ht="19.95" customHeight="1">
      <c r="A33" s="2" t="inlineStr">
        <is>
          <t>SUB_MONTAJE_BUZON</t>
        </is>
      </c>
      <c r="B33" s="3" t="inlineStr">
        <is>
          <t>SUBCONTRATO SERVICIO ASENTADO Y ANCLAJE BUZONES PREFABRICADOS</t>
        </is>
      </c>
      <c r="C33" s="4" t="inlineStr">
        <is>
          <t>und</t>
        </is>
      </c>
      <c r="D33" s="6" t="n">
        <v>250</v>
      </c>
      <c r="E33" s="4" t="inlineStr">
        <is>
          <t>AC_SUB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L4" sqref="L4"/>
    </sheetView>
  </sheetViews>
  <sheetFormatPr baseColWidth="10" defaultColWidth="8.88671875" defaultRowHeight="14.4"/>
  <cols>
    <col width="10" customWidth="1" min="1" max="1"/>
    <col width="14" customWidth="1" min="2" max="2"/>
    <col width="36" customWidth="1" min="3" max="3"/>
    <col width="8" customWidth="1" min="4" max="4"/>
    <col width="12" customWidth="1" min="5" max="5"/>
    <col width="14" customWidth="1" min="6" max="6"/>
    <col width="15" customWidth="1" min="7" max="7"/>
    <col width="12" customWidth="1" min="8" max="8"/>
    <col width="10" customWidth="1" min="9" max="9"/>
    <col width="15" customWidth="1" min="10" max="10"/>
    <col width="12" customWidth="1" min="11" max="11"/>
    <col width="15" customWidth="1" min="12" max="12"/>
  </cols>
  <sheetData>
    <row r="1" ht="36" customHeight="1">
      <c r="A1" s="23" t="inlineStr">
        <is>
          <t>Item Partida</t>
        </is>
      </c>
      <c r="B1" s="23" t="inlineStr">
        <is>
          <t>Código Partida</t>
        </is>
      </c>
      <c r="C1" s="23" t="inlineStr">
        <is>
          <t>Descripción de la Partida Presupuestal</t>
        </is>
      </c>
      <c r="D1" s="23" t="inlineStr">
        <is>
          <t>Unidad</t>
        </is>
      </c>
      <c r="E1" s="23" t="inlineStr">
        <is>
          <t>Metrado Presupuesto Meta</t>
        </is>
      </c>
      <c r="F1" s="23" t="inlineStr">
        <is>
          <t>P.U. Directo Meta (S/)</t>
        </is>
      </c>
      <c r="G1" s="23" t="inlineStr">
        <is>
          <t>Presupuesto Parcial Meta (S/)</t>
        </is>
      </c>
      <c r="H1" s="23" t="inlineStr">
        <is>
          <t>Metrado Ejecutado Acumulado (Formulado del Campo)</t>
        </is>
      </c>
      <c r="I1" s="23" t="inlineStr">
        <is>
          <t>% Avance Físico Partida</t>
        </is>
      </c>
      <c r="J1" s="23" t="inlineStr">
        <is>
          <t>Valor Ganado EV Acumulado (S/)</t>
        </is>
      </c>
      <c r="K1" s="23" t="inlineStr">
        <is>
          <t>Saldo Metrado por Ejecutar</t>
        </is>
      </c>
      <c r="L1" s="23" t="inlineStr">
        <is>
          <t>Saldo Valor por Ejecutar (S/)</t>
        </is>
      </c>
    </row>
    <row r="2" ht="19.95" customHeight="1">
      <c r="A2" s="2" t="inlineStr">
        <is>
          <t>01.01</t>
        </is>
      </c>
      <c r="B2" s="2" t="inlineStr">
        <is>
          <t>01.01</t>
        </is>
      </c>
      <c r="C2" s="3" t="inlineStr">
        <is>
          <t>Obras Preliminares y Trabajos Provisionales</t>
        </is>
      </c>
      <c r="D2" s="4" t="inlineStr">
        <is>
          <t>GLB</t>
        </is>
      </c>
      <c r="E2" s="5" t="n">
        <v>1</v>
      </c>
      <c r="F2" s="6" t="n">
        <v>8296.4</v>
      </c>
      <c r="G2" s="6">
        <f>ROUND(E2*F2, 2)</f>
        <v/>
      </c>
      <c r="H2" s="24">
        <f>SUMIFS('04_LOG_FIELD_ENTRIES'!G:G, '04_LOG_FIELD_ENTRIES'!E:E, B2, '04_LOG_FIELD_ENTRIES'!K:K, "EV_PRODUCCION")</f>
        <v/>
      </c>
      <c r="I2" s="25">
        <f>IF(E2&gt;0, H2/E2, 0)</f>
        <v/>
      </c>
      <c r="J2" s="7">
        <f>ROUND(H2*F2, 2)</f>
        <v/>
      </c>
      <c r="K2" s="5">
        <f>E2-H2</f>
        <v/>
      </c>
      <c r="L2" s="6">
        <f>G2-J2</f>
        <v/>
      </c>
    </row>
    <row r="3" ht="19.95" customHeight="1">
      <c r="A3" s="2" t="inlineStr">
        <is>
          <t>01.02.01</t>
        </is>
      </c>
      <c r="B3" s="2" t="inlineStr">
        <is>
          <t>01.02.01</t>
        </is>
      </c>
      <c r="C3" s="3" t="inlineStr">
        <is>
          <t>Trazo, Nivelación y Replanteo de Zanjas</t>
        </is>
      </c>
      <c r="D3" s="4" t="inlineStr">
        <is>
          <t>M</t>
        </is>
      </c>
      <c r="E3" s="5" t="n">
        <v>2400</v>
      </c>
      <c r="F3" s="6" t="n">
        <v>3.35</v>
      </c>
      <c r="G3" s="6">
        <f>ROUND(E3*F3, 2)</f>
        <v/>
      </c>
      <c r="H3" s="24">
        <f>SUMIFS('04_LOG_FIELD_ENTRIES'!G:G, '04_LOG_FIELD_ENTRIES'!E:E, B3, '04_LOG_FIELD_ENTRIES'!K:K, "EV_PRODUCCION")</f>
        <v/>
      </c>
      <c r="I3" s="25">
        <f>IF(E3&gt;0, H3/E3, 0)</f>
        <v/>
      </c>
      <c r="J3" s="7">
        <f>ROUND(H3*F3, 2)</f>
        <v/>
      </c>
      <c r="K3" s="5">
        <f>E3-H3</f>
        <v/>
      </c>
      <c r="L3" s="6">
        <f>G3-J3</f>
        <v/>
      </c>
    </row>
    <row r="4" ht="19.95" customHeight="1">
      <c r="A4" s="2" t="inlineStr">
        <is>
          <t>01.02.02</t>
        </is>
      </c>
      <c r="B4" s="2" t="inlineStr">
        <is>
          <t>01.02.02</t>
        </is>
      </c>
      <c r="C4" s="3" t="inlineStr">
        <is>
          <t>Excavación de Zanja H=1.50m - 2.20m a Máquina (Terreno Normal)</t>
        </is>
      </c>
      <c r="D4" s="4" t="inlineStr">
        <is>
          <t>M3</t>
        </is>
      </c>
      <c r="E4" s="5" t="n">
        <v>3840</v>
      </c>
      <c r="F4" s="6" t="n">
        <v>11.66</v>
      </c>
      <c r="G4" s="6">
        <f>ROUND(E4*F4, 2)</f>
        <v/>
      </c>
      <c r="H4" s="24">
        <f>SUMIFS('04_LOG_FIELD_ENTRIES'!G:G, '04_LOG_FIELD_ENTRIES'!E:E, B4, '04_LOG_FIELD_ENTRIES'!K:K, "EV_PRODUCCION")</f>
        <v/>
      </c>
      <c r="I4" s="25">
        <f>IF(E4&gt;0, H4/E4, 0)</f>
        <v/>
      </c>
      <c r="J4" s="7">
        <f>ROUND(H4*F4, 2)</f>
        <v/>
      </c>
      <c r="K4" s="5">
        <f>E4-H4</f>
        <v/>
      </c>
      <c r="L4" s="6">
        <f>G4-J4</f>
        <v/>
      </c>
    </row>
    <row r="5" ht="19.95" customHeight="1">
      <c r="A5" s="2" t="inlineStr">
        <is>
          <t>01.02.03</t>
        </is>
      </c>
      <c r="B5" s="2" t="inlineStr">
        <is>
          <t>01.02.03</t>
        </is>
      </c>
      <c r="C5" s="3" t="inlineStr">
        <is>
          <t>Preparación y Colocación de Cama de Arena e=0.10m</t>
        </is>
      </c>
      <c r="D5" s="4" t="inlineStr">
        <is>
          <t>M</t>
        </is>
      </c>
      <c r="E5" s="5" t="n">
        <v>2400</v>
      </c>
      <c r="F5" s="6" t="n">
        <v>11.12</v>
      </c>
      <c r="G5" s="6">
        <f>ROUND(E5*F5, 2)</f>
        <v/>
      </c>
      <c r="H5" s="24">
        <f>SUMIFS('04_LOG_FIELD_ENTRIES'!G:G, '04_LOG_FIELD_ENTRIES'!E:E, B5, '04_LOG_FIELD_ENTRIES'!K:K, "EV_PRODUCCION")</f>
        <v/>
      </c>
      <c r="I5" s="25">
        <f>IF(E5&gt;0, H5/E5, 0)</f>
        <v/>
      </c>
      <c r="J5" s="7">
        <f>ROUND(H5*F5, 2)</f>
        <v/>
      </c>
      <c r="K5" s="5">
        <f>E5-H5</f>
        <v/>
      </c>
      <c r="L5" s="6">
        <f>G5-J5</f>
        <v/>
      </c>
    </row>
    <row r="6" ht="19.95" customHeight="1">
      <c r="A6" s="2" t="inlineStr">
        <is>
          <t>01.02.04</t>
        </is>
      </c>
      <c r="B6" s="2" t="inlineStr">
        <is>
          <t>01.02.04</t>
        </is>
      </c>
      <c r="C6" s="3" t="inlineStr">
        <is>
          <t>Suministro e Instalación de Tubería PVC UF DN 200mm Serie S-20 para Alcantarillado</t>
        </is>
      </c>
      <c r="D6" s="4" t="inlineStr">
        <is>
          <t>M</t>
        </is>
      </c>
      <c r="E6" s="5" t="n">
        <v>1400</v>
      </c>
      <c r="F6" s="6" t="n">
        <v>55.51</v>
      </c>
      <c r="G6" s="6">
        <f>ROUND(E6*F6, 2)</f>
        <v/>
      </c>
      <c r="H6" s="24">
        <f>SUMIFS('04_LOG_FIELD_ENTRIES'!G:G, '04_LOG_FIELD_ENTRIES'!E:E, B6, '04_LOG_FIELD_ENTRIES'!K:K, "EV_PRODUCCION")</f>
        <v/>
      </c>
      <c r="I6" s="25">
        <f>IF(E6&gt;0, H6/E6, 0)</f>
        <v/>
      </c>
      <c r="J6" s="7">
        <f>ROUND(H6*F6, 2)</f>
        <v/>
      </c>
      <c r="K6" s="5">
        <f>E6-H6</f>
        <v/>
      </c>
      <c r="L6" s="6">
        <f>G6-J6</f>
        <v/>
      </c>
    </row>
    <row r="7" ht="19.95" customHeight="1">
      <c r="A7" s="2" t="inlineStr">
        <is>
          <t>01.02.05</t>
        </is>
      </c>
      <c r="B7" s="2" t="inlineStr">
        <is>
          <t>01.02.05</t>
        </is>
      </c>
      <c r="C7" s="3" t="inlineStr">
        <is>
          <t>Relleno Compactado de Zanja en Capas de 0.20m con Maquinaria/Plancha</t>
        </is>
      </c>
      <c r="D7" s="4" t="inlineStr">
        <is>
          <t>M3</t>
        </is>
      </c>
      <c r="E7" s="5" t="n">
        <v>3300</v>
      </c>
      <c r="F7" s="6" t="n">
        <v>28.54</v>
      </c>
      <c r="G7" s="6">
        <f>ROUND(E7*F7, 2)</f>
        <v/>
      </c>
      <c r="H7" s="24">
        <f>SUMIFS('04_LOG_FIELD_ENTRIES'!G:G, '04_LOG_FIELD_ENTRIES'!E:E, B7, '04_LOG_FIELD_ENTRIES'!K:K, "EV_PRODUCCION")</f>
        <v/>
      </c>
      <c r="I7" s="25">
        <f>IF(E7&gt;0, H7/E7, 0)</f>
        <v/>
      </c>
      <c r="J7" s="7">
        <f>ROUND(H7*F7, 2)</f>
        <v/>
      </c>
      <c r="K7" s="5">
        <f>E7-H7</f>
        <v/>
      </c>
      <c r="L7" s="6">
        <f>G7-J7</f>
        <v/>
      </c>
    </row>
    <row r="8" ht="19.95" customHeight="1">
      <c r="A8" s="2" t="inlineStr">
        <is>
          <t>01.02.06</t>
        </is>
      </c>
      <c r="B8" s="2" t="inlineStr">
        <is>
          <t>01.02.06</t>
        </is>
      </c>
      <c r="C8" s="3" t="inlineStr">
        <is>
          <t>Construcción de Buzones Prefabricados de Concreto h=1.50m - 2.50m (Inc. Marco y Tapa)</t>
        </is>
      </c>
      <c r="D8" s="4" t="inlineStr">
        <is>
          <t>UND</t>
        </is>
      </c>
      <c r="E8" s="5" t="n">
        <v>32</v>
      </c>
      <c r="F8" s="6" t="n">
        <v>2500.73</v>
      </c>
      <c r="G8" s="6">
        <f>ROUND(E8*F8, 2)</f>
        <v/>
      </c>
      <c r="H8" s="24">
        <f>SUMIFS('04_LOG_FIELD_ENTRIES'!G:G, '04_LOG_FIELD_ENTRIES'!E:E, B8, '04_LOG_FIELD_ENTRIES'!K:K, "EV_PRODUCCION")</f>
        <v/>
      </c>
      <c r="I8" s="25">
        <f>IF(E8&gt;0, H8/E8, 0)</f>
        <v/>
      </c>
      <c r="J8" s="7">
        <f>ROUND(H8*F8, 2)</f>
        <v/>
      </c>
      <c r="K8" s="5">
        <f>E8-H8</f>
        <v/>
      </c>
      <c r="L8" s="6">
        <f>G8-J8</f>
        <v/>
      </c>
    </row>
    <row r="9" ht="19.95" customHeight="1">
      <c r="A9" s="2" t="inlineStr">
        <is>
          <t>01.02.07</t>
        </is>
      </c>
      <c r="B9" s="2" t="inlineStr">
        <is>
          <t>01.02.07</t>
        </is>
      </c>
      <c r="C9" s="3" t="inlineStr">
        <is>
          <t>Conexiones Domiciliarias de Alcantarillado (Caja de Registro + Acometida)</t>
        </is>
      </c>
      <c r="D9" s="4" t="inlineStr">
        <is>
          <t>UND</t>
        </is>
      </c>
      <c r="E9" s="5" t="n">
        <v>120</v>
      </c>
      <c r="F9" s="6" t="n">
        <v>405.54</v>
      </c>
      <c r="G9" s="6">
        <f>ROUND(E9*F9, 2)</f>
        <v/>
      </c>
      <c r="H9" s="24">
        <f>SUMIFS('04_LOG_FIELD_ENTRIES'!G:G, '04_LOG_FIELD_ENTRIES'!E:E, B9, '04_LOG_FIELD_ENTRIES'!K:K, "EV_PRODUCCION")</f>
        <v/>
      </c>
      <c r="I9" s="25">
        <f>IF(E9&gt;0, H9/E9, 0)</f>
        <v/>
      </c>
      <c r="J9" s="7">
        <f>ROUND(H9*F9, 2)</f>
        <v/>
      </c>
      <c r="K9" s="5">
        <f>E9-H9</f>
        <v/>
      </c>
      <c r="L9" s="6">
        <f>G9-J9</f>
        <v/>
      </c>
    </row>
    <row r="10" ht="19.95" customHeight="1">
      <c r="A10" s="2" t="inlineStr">
        <is>
          <t>01.03.01</t>
        </is>
      </c>
      <c r="B10" s="2" t="inlineStr">
        <is>
          <t>01.03.01</t>
        </is>
      </c>
      <c r="C10" s="3" t="inlineStr">
        <is>
          <t>Suministro e Instalación de Tubería PVC C-10 DN 110mm para Agua Potable</t>
        </is>
      </c>
      <c r="D10" s="4" t="inlineStr">
        <is>
          <t>M</t>
        </is>
      </c>
      <c r="E10" s="5" t="n">
        <v>1000</v>
      </c>
      <c r="F10" s="6" t="n">
        <v>38.76</v>
      </c>
      <c r="G10" s="6">
        <f>ROUND(E10*F10, 2)</f>
        <v/>
      </c>
      <c r="H10" s="24">
        <f>SUMIFS('04_LOG_FIELD_ENTRIES'!G:G, '04_LOG_FIELD_ENTRIES'!E:E, B10, '04_LOG_FIELD_ENTRIES'!K:K, "EV_PRODUCCION")</f>
        <v/>
      </c>
      <c r="I10" s="25">
        <f>IF(E10&gt;0, H10/E10, 0)</f>
        <v/>
      </c>
      <c r="J10" s="7">
        <f>ROUND(H10*F10, 2)</f>
        <v/>
      </c>
      <c r="K10" s="5">
        <f>E10-H10</f>
        <v/>
      </c>
      <c r="L10" s="6">
        <f>G10-J10</f>
        <v/>
      </c>
    </row>
    <row r="11" ht="19.95" customHeight="1">
      <c r="A11" s="2" t="inlineStr">
        <is>
          <t>01.03.02</t>
        </is>
      </c>
      <c r="B11" s="2" t="inlineStr">
        <is>
          <t>01.03.02</t>
        </is>
      </c>
      <c r="C11" s="3" t="inlineStr">
        <is>
          <t>Conexiones Domiciliarias de Agua Potable (Caja de Agua + Abrazadera + Acometida)</t>
        </is>
      </c>
      <c r="D11" s="4" t="inlineStr">
        <is>
          <t>UND</t>
        </is>
      </c>
      <c r="E11" s="5" t="n">
        <v>120</v>
      </c>
      <c r="F11" s="6" t="n">
        <v>156.71</v>
      </c>
      <c r="G11" s="6">
        <f>ROUND(E11*F11, 2)</f>
        <v/>
      </c>
      <c r="H11" s="24">
        <f>SUMIFS('04_LOG_FIELD_ENTRIES'!G:G, '04_LOG_FIELD_ENTRIES'!E:E, B11, '04_LOG_FIELD_ENTRIES'!K:K, "EV_PRODUCCION")</f>
        <v/>
      </c>
      <c r="I11" s="25">
        <f>IF(E11&gt;0, H11/E11, 0)</f>
        <v/>
      </c>
      <c r="J11" s="7">
        <f>ROUND(H11*F11, 2)</f>
        <v/>
      </c>
      <c r="K11" s="5">
        <f>E11-H11</f>
        <v/>
      </c>
      <c r="L11" s="6">
        <f>G11-J11</f>
        <v/>
      </c>
    </row>
    <row r="12" ht="19.95" customHeight="1">
      <c r="A12" s="2" t="inlineStr">
        <is>
          <t>01.04.01</t>
        </is>
      </c>
      <c r="B12" s="2" t="inlineStr">
        <is>
          <t>01.04.01</t>
        </is>
      </c>
      <c r="C12" s="3" t="inlineStr">
        <is>
          <t>Pruebas Hidráulicas de Redes de Agua y Alcantarillado + Desinfección</t>
        </is>
      </c>
      <c r="D12" s="4" t="inlineStr">
        <is>
          <t>GLB</t>
        </is>
      </c>
      <c r="E12" s="5" t="n">
        <v>1</v>
      </c>
      <c r="F12" s="6" t="n">
        <v>9348.059999999999</v>
      </c>
      <c r="G12" s="6">
        <f>ROUND(E12*F12, 2)</f>
        <v/>
      </c>
      <c r="H12" s="24">
        <f>SUMIFS('04_LOG_FIELD_ENTRIES'!G:G, '04_LOG_FIELD_ENTRIES'!E:E, B12, '04_LOG_FIELD_ENTRIES'!K:K, "EV_PRODUCCION")</f>
        <v/>
      </c>
      <c r="I12" s="25">
        <f>IF(E12&gt;0, H12/E12, 0)</f>
        <v/>
      </c>
      <c r="J12" s="7">
        <f>ROUND(H12*F12, 2)</f>
        <v/>
      </c>
      <c r="K12" s="5">
        <f>E12-H12</f>
        <v/>
      </c>
      <c r="L12" s="6">
        <f>G12-J12</f>
        <v/>
      </c>
    </row>
    <row r="13" ht="22.05" customHeight="1">
      <c r="A13" s="26" t="inlineStr">
        <is>
          <t>TOTAL OBRA</t>
        </is>
      </c>
      <c r="B13" s="8" t="n"/>
      <c r="C13" s="27" t="inlineStr">
        <is>
          <t>Consolidado Partidas</t>
        </is>
      </c>
      <c r="D13" s="8" t="n"/>
      <c r="E13" s="8" t="n"/>
      <c r="F13" s="8" t="n"/>
      <c r="G13" s="28">
        <f>SUM(G2:G12)</f>
        <v/>
      </c>
      <c r="H13" s="8" t="n"/>
      <c r="I13" s="29">
        <f>IF(G13&gt;0, J13/G13, 0)</f>
        <v/>
      </c>
      <c r="J13" s="28">
        <f>SUM(J2:J12)</f>
        <v/>
      </c>
      <c r="K13" s="8" t="n"/>
      <c r="L13" s="28">
        <f>SUM(L2:L12)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2026-08-09T19:51:03Z</dcterms:created>
  <dcterms:modified xmlns:dcterms="http://purl.org/dc/terms/" xmlns:xsi="http://www.w3.org/2001/XMLSchema-instance" xsi:type="dcterms:W3CDTF">2026-08-16T03:48:52Z</dcterms:modified>
  <cp:lastModifiedBy>Aurelio Solorzano Rios</cp:lastModifiedBy>
</cp:coreProperties>
</file>