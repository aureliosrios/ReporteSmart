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gentes de IA\Habilitación urbana\outputs\"/>
    </mc:Choice>
  </mc:AlternateContent>
  <xr:revisionPtr revIDLastSave="0" documentId="13_ncr:1_{19C6CE90-C8E9-4ED4-8904-170D0694DE0E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01_PRESUPUESTO_CRONOGRAMA_BASE" sheetId="1" r:id="rId1"/>
    <sheet name="02_CRONOGRAMA_PV_DIARIO" sheetId="2" r:id="rId2"/>
    <sheet name="03_CONSOLIDADO_DIARIO_EVM_WBS" sheetId="3" r:id="rId3"/>
    <sheet name="04_LOG_FIELD_ENTRIES" sheetId="4" r:id="rId4"/>
    <sheet name="05_MAESTRO_RECURSOS" sheetId="5" r:id="rId5"/>
    <sheet name="06_MAESTRO_PARTIDAS_EV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2" i="6" l="1"/>
  <c r="K12" i="6" s="1"/>
  <c r="G12" i="6"/>
  <c r="H11" i="6"/>
  <c r="K11" i="6" s="1"/>
  <c r="G11" i="6"/>
  <c r="K10" i="6"/>
  <c r="H10" i="6"/>
  <c r="J10" i="6" s="1"/>
  <c r="G10" i="6"/>
  <c r="L10" i="6" s="1"/>
  <c r="H9" i="6"/>
  <c r="K9" i="6" s="1"/>
  <c r="G9" i="6"/>
  <c r="J8" i="6"/>
  <c r="H8" i="6"/>
  <c r="K8" i="6" s="1"/>
  <c r="G8" i="6"/>
  <c r="L8" i="6" s="1"/>
  <c r="H7" i="6"/>
  <c r="K7" i="6" s="1"/>
  <c r="G7" i="6"/>
  <c r="K6" i="6"/>
  <c r="J6" i="6"/>
  <c r="L6" i="6" s="1"/>
  <c r="I6" i="6"/>
  <c r="H6" i="6"/>
  <c r="G6" i="6"/>
  <c r="L5" i="6"/>
  <c r="J5" i="6"/>
  <c r="I5" i="6"/>
  <c r="H5" i="6"/>
  <c r="K5" i="6" s="1"/>
  <c r="G5" i="6"/>
  <c r="J4" i="6"/>
  <c r="H4" i="6"/>
  <c r="K4" i="6" s="1"/>
  <c r="G4" i="6"/>
  <c r="L4" i="6" s="1"/>
  <c r="H3" i="6"/>
  <c r="G3" i="6"/>
  <c r="H2" i="6"/>
  <c r="K2" i="6" s="1"/>
  <c r="G2" i="6"/>
  <c r="G13" i="6" s="1"/>
  <c r="J47" i="4"/>
  <c r="I47" i="4"/>
  <c r="I46" i="4"/>
  <c r="J46" i="4" s="1"/>
  <c r="I45" i="4"/>
  <c r="J45" i="4" s="1"/>
  <c r="J44" i="4"/>
  <c r="I44" i="4"/>
  <c r="J43" i="4"/>
  <c r="I43" i="4"/>
  <c r="I42" i="4"/>
  <c r="J42" i="4" s="1"/>
  <c r="I41" i="4"/>
  <c r="J41" i="4" s="1"/>
  <c r="J40" i="4"/>
  <c r="I40" i="4"/>
  <c r="J39" i="4"/>
  <c r="I39" i="4"/>
  <c r="I38" i="4"/>
  <c r="J38" i="4" s="1"/>
  <c r="I37" i="4"/>
  <c r="J37" i="4" s="1"/>
  <c r="I36" i="4"/>
  <c r="J36" i="4" s="1"/>
  <c r="J35" i="4"/>
  <c r="I35" i="4"/>
  <c r="I34" i="4"/>
  <c r="J34" i="4" s="1"/>
  <c r="I33" i="4"/>
  <c r="J33" i="4" s="1"/>
  <c r="J32" i="4"/>
  <c r="I32" i="4"/>
  <c r="J31" i="4"/>
  <c r="I31" i="4"/>
  <c r="I30" i="4"/>
  <c r="J30" i="4" s="1"/>
  <c r="I29" i="4"/>
  <c r="J29" i="4" s="1"/>
  <c r="I28" i="4"/>
  <c r="J28" i="4" s="1"/>
  <c r="J27" i="4"/>
  <c r="I27" i="4"/>
  <c r="I26" i="4"/>
  <c r="J26" i="4" s="1"/>
  <c r="I25" i="4"/>
  <c r="J25" i="4" s="1"/>
  <c r="J24" i="4"/>
  <c r="I24" i="4"/>
  <c r="J23" i="4"/>
  <c r="I23" i="4"/>
  <c r="I22" i="4"/>
  <c r="J22" i="4" s="1"/>
  <c r="I21" i="4"/>
  <c r="J21" i="4" s="1"/>
  <c r="I20" i="4"/>
  <c r="J20" i="4" s="1"/>
  <c r="J19" i="4"/>
  <c r="I19" i="4"/>
  <c r="I18" i="4"/>
  <c r="J18" i="4" s="1"/>
  <c r="I17" i="4"/>
  <c r="J17" i="4" s="1"/>
  <c r="J16" i="4"/>
  <c r="I16" i="4"/>
  <c r="J15" i="4"/>
  <c r="I15" i="4"/>
  <c r="I14" i="4"/>
  <c r="J14" i="4" s="1"/>
  <c r="I13" i="4"/>
  <c r="J13" i="4" s="1"/>
  <c r="I12" i="4"/>
  <c r="J12" i="4" s="1"/>
  <c r="J11" i="4"/>
  <c r="I11" i="4"/>
  <c r="I10" i="4"/>
  <c r="J10" i="4" s="1"/>
  <c r="I9" i="4"/>
  <c r="J9" i="4" s="1"/>
  <c r="J8" i="4"/>
  <c r="I8" i="4"/>
  <c r="J7" i="4"/>
  <c r="I7" i="4"/>
  <c r="I6" i="4"/>
  <c r="J6" i="4" s="1"/>
  <c r="I5" i="4"/>
  <c r="J5" i="4" s="1"/>
  <c r="I4" i="4"/>
  <c r="J4" i="4" s="1"/>
  <c r="J3" i="4"/>
  <c r="I3" i="4"/>
  <c r="I2" i="4"/>
  <c r="J2" i="4" s="1"/>
  <c r="J241" i="3"/>
  <c r="H241" i="3"/>
  <c r="J240" i="3"/>
  <c r="H240" i="3"/>
  <c r="J239" i="3"/>
  <c r="H239" i="3"/>
  <c r="J238" i="3"/>
  <c r="H238" i="3"/>
  <c r="J237" i="3"/>
  <c r="H237" i="3"/>
  <c r="J236" i="3"/>
  <c r="H236" i="3"/>
  <c r="J235" i="3"/>
  <c r="H235" i="3"/>
  <c r="J234" i="3"/>
  <c r="H234" i="3"/>
  <c r="J233" i="3"/>
  <c r="H233" i="3"/>
  <c r="J232" i="3"/>
  <c r="H232" i="3"/>
  <c r="J231" i="3"/>
  <c r="H231" i="3"/>
  <c r="J230" i="3"/>
  <c r="H230" i="3"/>
  <c r="J229" i="3"/>
  <c r="H229" i="3"/>
  <c r="J228" i="3"/>
  <c r="H228" i="3"/>
  <c r="J227" i="3"/>
  <c r="H227" i="3"/>
  <c r="J226" i="3"/>
  <c r="H226" i="3"/>
  <c r="J225" i="3"/>
  <c r="H225" i="3"/>
  <c r="J224" i="3"/>
  <c r="H224" i="3"/>
  <c r="J223" i="3"/>
  <c r="H223" i="3"/>
  <c r="J222" i="3"/>
  <c r="H222" i="3"/>
  <c r="J221" i="3"/>
  <c r="H221" i="3"/>
  <c r="J220" i="3"/>
  <c r="H220" i="3"/>
  <c r="J219" i="3"/>
  <c r="H219" i="3"/>
  <c r="J218" i="3"/>
  <c r="H218" i="3"/>
  <c r="J217" i="3"/>
  <c r="H217" i="3"/>
  <c r="J216" i="3"/>
  <c r="H216" i="3"/>
  <c r="J215" i="3"/>
  <c r="H215" i="3"/>
  <c r="J214" i="3"/>
  <c r="H214" i="3"/>
  <c r="J213" i="3"/>
  <c r="H213" i="3"/>
  <c r="J212" i="3"/>
  <c r="H212" i="3"/>
  <c r="J211" i="3"/>
  <c r="H211" i="3"/>
  <c r="J210" i="3"/>
  <c r="H210" i="3"/>
  <c r="J209" i="3"/>
  <c r="H209" i="3"/>
  <c r="J208" i="3"/>
  <c r="H208" i="3"/>
  <c r="J207" i="3"/>
  <c r="H207" i="3"/>
  <c r="J206" i="3"/>
  <c r="H206" i="3"/>
  <c r="J205" i="3"/>
  <c r="H205" i="3"/>
  <c r="J204" i="3"/>
  <c r="H204" i="3"/>
  <c r="J203" i="3"/>
  <c r="H203" i="3"/>
  <c r="J202" i="3"/>
  <c r="H202" i="3"/>
  <c r="J201" i="3"/>
  <c r="H201" i="3"/>
  <c r="J200" i="3"/>
  <c r="H200" i="3"/>
  <c r="J199" i="3"/>
  <c r="H199" i="3"/>
  <c r="J198" i="3"/>
  <c r="H198" i="3"/>
  <c r="J197" i="3"/>
  <c r="H197" i="3"/>
  <c r="J196" i="3"/>
  <c r="H196" i="3"/>
  <c r="J195" i="3"/>
  <c r="H195" i="3"/>
  <c r="J194" i="3"/>
  <c r="H194" i="3"/>
  <c r="J193" i="3"/>
  <c r="H193" i="3"/>
  <c r="J192" i="3"/>
  <c r="H192" i="3"/>
  <c r="J191" i="3"/>
  <c r="H191" i="3"/>
  <c r="J190" i="3"/>
  <c r="H190" i="3"/>
  <c r="J189" i="3"/>
  <c r="H189" i="3"/>
  <c r="J188" i="3"/>
  <c r="H188" i="3"/>
  <c r="J187" i="3"/>
  <c r="H187" i="3"/>
  <c r="J186" i="3"/>
  <c r="H186" i="3"/>
  <c r="J185" i="3"/>
  <c r="H185" i="3"/>
  <c r="J184" i="3"/>
  <c r="H184" i="3"/>
  <c r="J183" i="3"/>
  <c r="H183" i="3"/>
  <c r="J182" i="3"/>
  <c r="H182" i="3"/>
  <c r="J181" i="3"/>
  <c r="H181" i="3"/>
  <c r="J180" i="3"/>
  <c r="H180" i="3"/>
  <c r="J179" i="3"/>
  <c r="H179" i="3"/>
  <c r="J178" i="3"/>
  <c r="H178" i="3"/>
  <c r="J177" i="3"/>
  <c r="H177" i="3"/>
  <c r="J176" i="3"/>
  <c r="H176" i="3"/>
  <c r="J175" i="3"/>
  <c r="H175" i="3"/>
  <c r="J174" i="3"/>
  <c r="H174" i="3"/>
  <c r="J173" i="3"/>
  <c r="H173" i="3"/>
  <c r="J172" i="3"/>
  <c r="H172" i="3"/>
  <c r="J171" i="3"/>
  <c r="H171" i="3"/>
  <c r="J170" i="3"/>
  <c r="H170" i="3"/>
  <c r="J169" i="3"/>
  <c r="H169" i="3"/>
  <c r="J168" i="3"/>
  <c r="H168" i="3"/>
  <c r="J167" i="3"/>
  <c r="H167" i="3"/>
  <c r="J166" i="3"/>
  <c r="H166" i="3"/>
  <c r="J165" i="3"/>
  <c r="H165" i="3"/>
  <c r="J164" i="3"/>
  <c r="H164" i="3"/>
  <c r="J163" i="3"/>
  <c r="H163" i="3"/>
  <c r="J162" i="3"/>
  <c r="H162" i="3"/>
  <c r="J161" i="3"/>
  <c r="H161" i="3"/>
  <c r="J160" i="3"/>
  <c r="H160" i="3"/>
  <c r="J159" i="3"/>
  <c r="H159" i="3"/>
  <c r="J158" i="3"/>
  <c r="H158" i="3"/>
  <c r="J157" i="3"/>
  <c r="H157" i="3"/>
  <c r="J156" i="3"/>
  <c r="H156" i="3"/>
  <c r="J155" i="3"/>
  <c r="H155" i="3"/>
  <c r="J154" i="3"/>
  <c r="H154" i="3"/>
  <c r="J153" i="3"/>
  <c r="H153" i="3"/>
  <c r="J152" i="3"/>
  <c r="H152" i="3"/>
  <c r="J151" i="3"/>
  <c r="H151" i="3"/>
  <c r="J150" i="3"/>
  <c r="H150" i="3"/>
  <c r="J149" i="3"/>
  <c r="H149" i="3"/>
  <c r="J148" i="3"/>
  <c r="H148" i="3"/>
  <c r="J147" i="3"/>
  <c r="H147" i="3"/>
  <c r="J146" i="3"/>
  <c r="H146" i="3"/>
  <c r="J145" i="3"/>
  <c r="H145" i="3"/>
  <c r="J144" i="3"/>
  <c r="H144" i="3"/>
  <c r="J143" i="3"/>
  <c r="H143" i="3"/>
  <c r="J142" i="3"/>
  <c r="H142" i="3"/>
  <c r="J141" i="3"/>
  <c r="H141" i="3"/>
  <c r="J140" i="3"/>
  <c r="H140" i="3"/>
  <c r="J139" i="3"/>
  <c r="H139" i="3"/>
  <c r="J138" i="3"/>
  <c r="H138" i="3"/>
  <c r="J137" i="3"/>
  <c r="H137" i="3"/>
  <c r="J136" i="3"/>
  <c r="H136" i="3"/>
  <c r="J135" i="3"/>
  <c r="H135" i="3"/>
  <c r="J134" i="3"/>
  <c r="H134" i="3"/>
  <c r="J133" i="3"/>
  <c r="H133" i="3"/>
  <c r="J132" i="3"/>
  <c r="H132" i="3"/>
  <c r="J131" i="3"/>
  <c r="H131" i="3"/>
  <c r="J130" i="3"/>
  <c r="H130" i="3"/>
  <c r="J129" i="3"/>
  <c r="H129" i="3"/>
  <c r="J128" i="3"/>
  <c r="H128" i="3"/>
  <c r="J127" i="3"/>
  <c r="H127" i="3"/>
  <c r="J126" i="3"/>
  <c r="H126" i="3"/>
  <c r="J125" i="3"/>
  <c r="H125" i="3"/>
  <c r="J124" i="3"/>
  <c r="H124" i="3"/>
  <c r="J123" i="3"/>
  <c r="H123" i="3"/>
  <c r="J122" i="3"/>
  <c r="H122" i="3"/>
  <c r="J121" i="3"/>
  <c r="H121" i="3"/>
  <c r="J120" i="3"/>
  <c r="H120" i="3"/>
  <c r="J119" i="3"/>
  <c r="H119" i="3"/>
  <c r="J118" i="3"/>
  <c r="H118" i="3"/>
  <c r="J117" i="3"/>
  <c r="H117" i="3"/>
  <c r="J116" i="3"/>
  <c r="H116" i="3"/>
  <c r="J115" i="3"/>
  <c r="H115" i="3"/>
  <c r="J114" i="3"/>
  <c r="H114" i="3"/>
  <c r="J113" i="3"/>
  <c r="H113" i="3"/>
  <c r="J112" i="3"/>
  <c r="H112" i="3"/>
  <c r="J111" i="3"/>
  <c r="H111" i="3"/>
  <c r="J110" i="3"/>
  <c r="H110" i="3"/>
  <c r="J109" i="3"/>
  <c r="H109" i="3"/>
  <c r="J108" i="3"/>
  <c r="H108" i="3"/>
  <c r="J107" i="3"/>
  <c r="H107" i="3"/>
  <c r="J106" i="3"/>
  <c r="H106" i="3"/>
  <c r="J105" i="3"/>
  <c r="H105" i="3"/>
  <c r="J104" i="3"/>
  <c r="H104" i="3"/>
  <c r="J103" i="3"/>
  <c r="H103" i="3"/>
  <c r="J102" i="3"/>
  <c r="H102" i="3"/>
  <c r="J101" i="3"/>
  <c r="H101" i="3"/>
  <c r="J100" i="3"/>
  <c r="H100" i="3"/>
  <c r="J99" i="3"/>
  <c r="H99" i="3"/>
  <c r="J98" i="3"/>
  <c r="H98" i="3"/>
  <c r="J97" i="3"/>
  <c r="H97" i="3"/>
  <c r="J96" i="3"/>
  <c r="H96" i="3"/>
  <c r="J95" i="3"/>
  <c r="H95" i="3"/>
  <c r="J94" i="3"/>
  <c r="H94" i="3"/>
  <c r="J93" i="3"/>
  <c r="H93" i="3"/>
  <c r="J92" i="3"/>
  <c r="H92" i="3"/>
  <c r="J91" i="3"/>
  <c r="H91" i="3"/>
  <c r="J90" i="3"/>
  <c r="H90" i="3"/>
  <c r="J89" i="3"/>
  <c r="H89" i="3"/>
  <c r="J88" i="3"/>
  <c r="H88" i="3"/>
  <c r="J87" i="3"/>
  <c r="H87" i="3"/>
  <c r="J86" i="3"/>
  <c r="H86" i="3"/>
  <c r="J85" i="3"/>
  <c r="H85" i="3"/>
  <c r="J84" i="3"/>
  <c r="H84" i="3"/>
  <c r="J83" i="3"/>
  <c r="H83" i="3"/>
  <c r="J82" i="3"/>
  <c r="H82" i="3"/>
  <c r="J81" i="3"/>
  <c r="H81" i="3"/>
  <c r="J80" i="3"/>
  <c r="H80" i="3"/>
  <c r="J79" i="3"/>
  <c r="H79" i="3"/>
  <c r="J78" i="3"/>
  <c r="H78" i="3"/>
  <c r="J77" i="3"/>
  <c r="H77" i="3"/>
  <c r="J76" i="3"/>
  <c r="H76" i="3"/>
  <c r="J75" i="3"/>
  <c r="H75" i="3"/>
  <c r="J74" i="3"/>
  <c r="H74" i="3"/>
  <c r="J73" i="3"/>
  <c r="H73" i="3"/>
  <c r="J72" i="3"/>
  <c r="H72" i="3"/>
  <c r="J71" i="3"/>
  <c r="H71" i="3"/>
  <c r="J70" i="3"/>
  <c r="H70" i="3"/>
  <c r="J69" i="3"/>
  <c r="H69" i="3"/>
  <c r="J68" i="3"/>
  <c r="H68" i="3"/>
  <c r="J67" i="3"/>
  <c r="H67" i="3"/>
  <c r="J66" i="3"/>
  <c r="H66" i="3"/>
  <c r="J65" i="3"/>
  <c r="H65" i="3"/>
  <c r="J64" i="3"/>
  <c r="H64" i="3"/>
  <c r="J63" i="3"/>
  <c r="H63" i="3"/>
  <c r="J62" i="3"/>
  <c r="H62" i="3"/>
  <c r="J61" i="3"/>
  <c r="H61" i="3"/>
  <c r="J60" i="3"/>
  <c r="H60" i="3"/>
  <c r="E60" i="3"/>
  <c r="J59" i="3"/>
  <c r="H59" i="3"/>
  <c r="J58" i="3"/>
  <c r="H58" i="3"/>
  <c r="J57" i="3"/>
  <c r="H57" i="3"/>
  <c r="J56" i="3"/>
  <c r="H56" i="3"/>
  <c r="J55" i="3"/>
  <c r="H55" i="3"/>
  <c r="J54" i="3"/>
  <c r="H54" i="3"/>
  <c r="J53" i="3"/>
  <c r="H53" i="3"/>
  <c r="J52" i="3"/>
  <c r="H52" i="3"/>
  <c r="J51" i="3"/>
  <c r="H51" i="3"/>
  <c r="J50" i="3"/>
  <c r="H50" i="3"/>
  <c r="J49" i="3"/>
  <c r="H49" i="3"/>
  <c r="J48" i="3"/>
  <c r="H48" i="3"/>
  <c r="J47" i="3"/>
  <c r="H47" i="3"/>
  <c r="J46" i="3"/>
  <c r="H46" i="3"/>
  <c r="J45" i="3"/>
  <c r="H45" i="3"/>
  <c r="J44" i="3"/>
  <c r="H44" i="3"/>
  <c r="F44" i="3"/>
  <c r="J43" i="3"/>
  <c r="H43" i="3"/>
  <c r="J42" i="3"/>
  <c r="H42" i="3"/>
  <c r="J41" i="3"/>
  <c r="H41" i="3"/>
  <c r="J40" i="3"/>
  <c r="H40" i="3"/>
  <c r="J39" i="3"/>
  <c r="H39" i="3"/>
  <c r="J38" i="3"/>
  <c r="H38" i="3"/>
  <c r="J37" i="3"/>
  <c r="H37" i="3"/>
  <c r="J36" i="3"/>
  <c r="H36" i="3"/>
  <c r="J35" i="3"/>
  <c r="H35" i="3"/>
  <c r="F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F20" i="3"/>
  <c r="J19" i="3"/>
  <c r="H19" i="3"/>
  <c r="J18" i="3"/>
  <c r="H18" i="3"/>
  <c r="J17" i="3"/>
  <c r="H17" i="3"/>
  <c r="J16" i="3"/>
  <c r="K24" i="3" s="1"/>
  <c r="H16" i="3"/>
  <c r="J15" i="3"/>
  <c r="H15" i="3"/>
  <c r="J14" i="3"/>
  <c r="H14" i="3"/>
  <c r="J13" i="3"/>
  <c r="H13" i="3"/>
  <c r="F13" i="3"/>
  <c r="J12" i="3"/>
  <c r="H12" i="3"/>
  <c r="F12" i="3"/>
  <c r="J11" i="3"/>
  <c r="H11" i="3"/>
  <c r="J10" i="3"/>
  <c r="H10" i="3"/>
  <c r="K9" i="3"/>
  <c r="O9" i="3" s="1"/>
  <c r="J9" i="3"/>
  <c r="K13" i="3" s="1"/>
  <c r="O13" i="3" s="1"/>
  <c r="H9" i="3"/>
  <c r="K8" i="3"/>
  <c r="O8" i="3" s="1"/>
  <c r="J8" i="3"/>
  <c r="H8" i="3"/>
  <c r="J7" i="3"/>
  <c r="H7" i="3"/>
  <c r="K6" i="3"/>
  <c r="J6" i="3"/>
  <c r="H6" i="3"/>
  <c r="K5" i="3"/>
  <c r="O5" i="3" s="1"/>
  <c r="J5" i="3"/>
  <c r="K25" i="3" s="1"/>
  <c r="I5" i="3"/>
  <c r="H5" i="3"/>
  <c r="I13" i="3" s="1"/>
  <c r="N4" i="3"/>
  <c r="P4" i="3" s="1"/>
  <c r="K4" i="3"/>
  <c r="O4" i="3" s="1"/>
  <c r="J4" i="3"/>
  <c r="K12" i="3" s="1"/>
  <c r="O12" i="3" s="1"/>
  <c r="H4" i="3"/>
  <c r="I112" i="3" s="1"/>
  <c r="G4" i="3"/>
  <c r="F4" i="3"/>
  <c r="J3" i="3"/>
  <c r="K55" i="3" s="1"/>
  <c r="H3" i="3"/>
  <c r="I7" i="3" s="1"/>
  <c r="F3" i="3"/>
  <c r="J2" i="3"/>
  <c r="K38" i="3" s="1"/>
  <c r="H2" i="3"/>
  <c r="E240" i="2"/>
  <c r="F240" i="3" s="1"/>
  <c r="E239" i="2"/>
  <c r="F239" i="3" s="1"/>
  <c r="E238" i="2"/>
  <c r="F238" i="3" s="1"/>
  <c r="E236" i="2"/>
  <c r="F236" i="3" s="1"/>
  <c r="E235" i="2"/>
  <c r="F235" i="3" s="1"/>
  <c r="E234" i="2"/>
  <c r="F234" i="3" s="1"/>
  <c r="E232" i="2"/>
  <c r="F232" i="3" s="1"/>
  <c r="E231" i="2"/>
  <c r="F231" i="3" s="1"/>
  <c r="E230" i="2"/>
  <c r="F230" i="3" s="1"/>
  <c r="E228" i="2"/>
  <c r="F228" i="3" s="1"/>
  <c r="E227" i="2"/>
  <c r="F227" i="3" s="1"/>
  <c r="E226" i="2"/>
  <c r="F226" i="3" s="1"/>
  <c r="E224" i="2"/>
  <c r="F224" i="3" s="1"/>
  <c r="E223" i="2"/>
  <c r="F223" i="3" s="1"/>
  <c r="E222" i="2"/>
  <c r="F222" i="3" s="1"/>
  <c r="E220" i="2"/>
  <c r="F220" i="3" s="1"/>
  <c r="E219" i="2"/>
  <c r="F219" i="3" s="1"/>
  <c r="E218" i="2"/>
  <c r="F218" i="3" s="1"/>
  <c r="E216" i="2"/>
  <c r="F216" i="3" s="1"/>
  <c r="E215" i="2"/>
  <c r="F215" i="3" s="1"/>
  <c r="E214" i="2"/>
  <c r="F214" i="3" s="1"/>
  <c r="E212" i="2"/>
  <c r="F212" i="3" s="1"/>
  <c r="E211" i="2"/>
  <c r="F211" i="3" s="1"/>
  <c r="E210" i="2"/>
  <c r="F210" i="3" s="1"/>
  <c r="E208" i="2"/>
  <c r="F208" i="3" s="1"/>
  <c r="E207" i="2"/>
  <c r="F207" i="3" s="1"/>
  <c r="E206" i="2"/>
  <c r="F206" i="3" s="1"/>
  <c r="E203" i="2"/>
  <c r="F203" i="3" s="1"/>
  <c r="E202" i="2"/>
  <c r="F202" i="3" s="1"/>
  <c r="E199" i="2"/>
  <c r="F199" i="3" s="1"/>
  <c r="E198" i="2"/>
  <c r="F198" i="3" s="1"/>
  <c r="E195" i="2"/>
  <c r="F195" i="3" s="1"/>
  <c r="E194" i="2"/>
  <c r="F194" i="3" s="1"/>
  <c r="E191" i="2"/>
  <c r="F191" i="3" s="1"/>
  <c r="E190" i="2"/>
  <c r="F190" i="3" s="1"/>
  <c r="E189" i="2"/>
  <c r="F189" i="3" s="1"/>
  <c r="E187" i="2"/>
  <c r="F187" i="3" s="1"/>
  <c r="E186" i="2"/>
  <c r="F186" i="3" s="1"/>
  <c r="E185" i="2"/>
  <c r="F185" i="3" s="1"/>
  <c r="E183" i="2"/>
  <c r="F183" i="3" s="1"/>
  <c r="E182" i="2"/>
  <c r="F182" i="3" s="1"/>
  <c r="F181" i="2"/>
  <c r="E181" i="2"/>
  <c r="F181" i="3" s="1"/>
  <c r="E179" i="2"/>
  <c r="F179" i="3" s="1"/>
  <c r="E178" i="2"/>
  <c r="F178" i="3" s="1"/>
  <c r="E177" i="2"/>
  <c r="F177" i="3" s="1"/>
  <c r="E175" i="2"/>
  <c r="F175" i="3" s="1"/>
  <c r="E174" i="2"/>
  <c r="F174" i="3" s="1"/>
  <c r="E173" i="2"/>
  <c r="F173" i="3" s="1"/>
  <c r="E170" i="2"/>
  <c r="F170" i="3" s="1"/>
  <c r="E169" i="2"/>
  <c r="F169" i="3" s="1"/>
  <c r="E166" i="2"/>
  <c r="F166" i="3" s="1"/>
  <c r="E165" i="2"/>
  <c r="F165" i="3" s="1"/>
  <c r="E162" i="2"/>
  <c r="F162" i="3" s="1"/>
  <c r="E161" i="2"/>
  <c r="F161" i="3" s="1"/>
  <c r="E158" i="2"/>
  <c r="F158" i="3" s="1"/>
  <c r="E157" i="2"/>
  <c r="F157" i="3" s="1"/>
  <c r="E154" i="2"/>
  <c r="F154" i="3" s="1"/>
  <c r="E153" i="2"/>
  <c r="F153" i="3" s="1"/>
  <c r="E150" i="2"/>
  <c r="F150" i="3" s="1"/>
  <c r="E149" i="2"/>
  <c r="F149" i="3" s="1"/>
  <c r="E146" i="2"/>
  <c r="F146" i="3" s="1"/>
  <c r="E145" i="2"/>
  <c r="F145" i="3" s="1"/>
  <c r="E142" i="2"/>
  <c r="F142" i="3" s="1"/>
  <c r="E141" i="2"/>
  <c r="F141" i="3" s="1"/>
  <c r="E138" i="2"/>
  <c r="F138" i="3" s="1"/>
  <c r="E137" i="2"/>
  <c r="F137" i="3" s="1"/>
  <c r="E134" i="2"/>
  <c r="F134" i="3" s="1"/>
  <c r="E133" i="2"/>
  <c r="F133" i="3" s="1"/>
  <c r="E130" i="2"/>
  <c r="F130" i="3" s="1"/>
  <c r="E129" i="2"/>
  <c r="F129" i="3" s="1"/>
  <c r="E126" i="2"/>
  <c r="F126" i="3" s="1"/>
  <c r="E125" i="2"/>
  <c r="F125" i="3" s="1"/>
  <c r="E122" i="2"/>
  <c r="F122" i="3" s="1"/>
  <c r="F121" i="2"/>
  <c r="E121" i="2"/>
  <c r="F121" i="3" s="1"/>
  <c r="E118" i="2"/>
  <c r="F118" i="3" s="1"/>
  <c r="E117" i="2"/>
  <c r="F117" i="3" s="1"/>
  <c r="E114" i="2"/>
  <c r="F114" i="3" s="1"/>
  <c r="E113" i="2"/>
  <c r="F113" i="3" s="1"/>
  <c r="E110" i="2"/>
  <c r="F110" i="3" s="1"/>
  <c r="E109" i="2"/>
  <c r="F109" i="3" s="1"/>
  <c r="E106" i="2"/>
  <c r="F106" i="3" s="1"/>
  <c r="E105" i="2"/>
  <c r="F105" i="3" s="1"/>
  <c r="E102" i="2"/>
  <c r="F102" i="3" s="1"/>
  <c r="E101" i="2"/>
  <c r="F101" i="3" s="1"/>
  <c r="E98" i="2"/>
  <c r="F98" i="3" s="1"/>
  <c r="E97" i="2"/>
  <c r="F97" i="3" s="1"/>
  <c r="E96" i="2"/>
  <c r="F96" i="3" s="1"/>
  <c r="E94" i="2"/>
  <c r="F94" i="3" s="1"/>
  <c r="E93" i="2"/>
  <c r="F93" i="3" s="1"/>
  <c r="E90" i="2"/>
  <c r="F90" i="3" s="1"/>
  <c r="E89" i="2"/>
  <c r="F89" i="3" s="1"/>
  <c r="E88" i="2"/>
  <c r="F88" i="3" s="1"/>
  <c r="E86" i="2"/>
  <c r="F86" i="3" s="1"/>
  <c r="E85" i="2"/>
  <c r="F85" i="3" s="1"/>
  <c r="E84" i="2"/>
  <c r="F84" i="3" s="1"/>
  <c r="E82" i="2"/>
  <c r="F82" i="3" s="1"/>
  <c r="E81" i="2"/>
  <c r="F81" i="3" s="1"/>
  <c r="E80" i="2"/>
  <c r="F80" i="3" s="1"/>
  <c r="E78" i="2"/>
  <c r="F78" i="3" s="1"/>
  <c r="E77" i="2"/>
  <c r="F77" i="3" s="1"/>
  <c r="E76" i="2"/>
  <c r="F76" i="3" s="1"/>
  <c r="E74" i="2"/>
  <c r="F74" i="3" s="1"/>
  <c r="E73" i="2"/>
  <c r="F73" i="3" s="1"/>
  <c r="E72" i="2"/>
  <c r="F72" i="3" s="1"/>
  <c r="E70" i="2"/>
  <c r="F70" i="3" s="1"/>
  <c r="E69" i="2"/>
  <c r="F69" i="3" s="1"/>
  <c r="E68" i="2"/>
  <c r="F68" i="3" s="1"/>
  <c r="E66" i="2"/>
  <c r="F66" i="3" s="1"/>
  <c r="E65" i="2"/>
  <c r="F65" i="3" s="1"/>
  <c r="E64" i="2"/>
  <c r="F64" i="3" s="1"/>
  <c r="E62" i="2"/>
  <c r="F62" i="3" s="1"/>
  <c r="E61" i="2"/>
  <c r="F61" i="3" s="1"/>
  <c r="E60" i="2"/>
  <c r="F60" i="3" s="1"/>
  <c r="E58" i="2"/>
  <c r="F58" i="3" s="1"/>
  <c r="E57" i="2"/>
  <c r="F57" i="3" s="1"/>
  <c r="E56" i="2"/>
  <c r="F56" i="3" s="1"/>
  <c r="E53" i="2"/>
  <c r="F53" i="3" s="1"/>
  <c r="E52" i="2"/>
  <c r="F52" i="3" s="1"/>
  <c r="E49" i="2"/>
  <c r="F49" i="3" s="1"/>
  <c r="E48" i="2"/>
  <c r="F48" i="3" s="1"/>
  <c r="E45" i="2"/>
  <c r="F45" i="3" s="1"/>
  <c r="E44" i="2"/>
  <c r="E41" i="2"/>
  <c r="F41" i="3" s="1"/>
  <c r="E40" i="2"/>
  <c r="F40" i="3" s="1"/>
  <c r="E37" i="2"/>
  <c r="F37" i="3" s="1"/>
  <c r="E36" i="2"/>
  <c r="F36" i="3" s="1"/>
  <c r="F35" i="2"/>
  <c r="E35" i="2"/>
  <c r="E33" i="2"/>
  <c r="F33" i="3" s="1"/>
  <c r="E32" i="2"/>
  <c r="F32" i="3" s="1"/>
  <c r="F31" i="2"/>
  <c r="E31" i="2"/>
  <c r="F31" i="3" s="1"/>
  <c r="E29" i="2"/>
  <c r="F29" i="3" s="1"/>
  <c r="E28" i="2"/>
  <c r="F28" i="3" s="1"/>
  <c r="F27" i="2"/>
  <c r="E27" i="2"/>
  <c r="F27" i="3" s="1"/>
  <c r="E25" i="2"/>
  <c r="F25" i="3" s="1"/>
  <c r="E24" i="2"/>
  <c r="F24" i="3" s="1"/>
  <c r="F23" i="2"/>
  <c r="E23" i="2"/>
  <c r="F23" i="3" s="1"/>
  <c r="E21" i="2"/>
  <c r="F21" i="3" s="1"/>
  <c r="E20" i="2"/>
  <c r="F19" i="2"/>
  <c r="E19" i="2"/>
  <c r="F19" i="3" s="1"/>
  <c r="E17" i="2"/>
  <c r="F17" i="3" s="1"/>
  <c r="E16" i="2"/>
  <c r="F16" i="3" s="1"/>
  <c r="F15" i="2"/>
  <c r="E15" i="2"/>
  <c r="F15" i="3" s="1"/>
  <c r="E13" i="2"/>
  <c r="E12" i="2"/>
  <c r="F11" i="2"/>
  <c r="E11" i="2"/>
  <c r="F11" i="3" s="1"/>
  <c r="E9" i="2"/>
  <c r="F137" i="2" s="1"/>
  <c r="E8" i="2"/>
  <c r="F7" i="2"/>
  <c r="E7" i="2"/>
  <c r="F7" i="3" s="1"/>
  <c r="E5" i="2"/>
  <c r="F189" i="2" s="1"/>
  <c r="F4" i="2"/>
  <c r="E4" i="2"/>
  <c r="F3" i="2"/>
  <c r="E3" i="2"/>
  <c r="M12" i="1"/>
  <c r="E197" i="2" s="1"/>
  <c r="F197" i="3" s="1"/>
  <c r="J12" i="1"/>
  <c r="G12" i="1"/>
  <c r="E33" i="3" s="1"/>
  <c r="J11" i="1"/>
  <c r="M11" i="1" s="1"/>
  <c r="G11" i="1"/>
  <c r="M10" i="1"/>
  <c r="E152" i="2" s="1"/>
  <c r="F152" i="3" s="1"/>
  <c r="J10" i="1"/>
  <c r="G10" i="1"/>
  <c r="E28" i="3" s="1"/>
  <c r="J9" i="1"/>
  <c r="G9" i="1"/>
  <c r="M9" i="1" s="1"/>
  <c r="J8" i="1"/>
  <c r="G8" i="1"/>
  <c r="E31" i="3" s="1"/>
  <c r="J7" i="1"/>
  <c r="M7" i="1" s="1"/>
  <c r="G7" i="1"/>
  <c r="J6" i="1"/>
  <c r="G6" i="1"/>
  <c r="M6" i="1" s="1"/>
  <c r="J5" i="1"/>
  <c r="G5" i="1"/>
  <c r="M5" i="1" s="1"/>
  <c r="J4" i="1"/>
  <c r="G4" i="1"/>
  <c r="J3" i="1"/>
  <c r="G3" i="1"/>
  <c r="M3" i="1" s="1"/>
  <c r="J2" i="1"/>
  <c r="M2" i="1" s="1"/>
  <c r="G2" i="1"/>
  <c r="E22" i="3" s="1"/>
  <c r="E171" i="2" l="1"/>
  <c r="F171" i="3" s="1"/>
  <c r="E167" i="2"/>
  <c r="F167" i="3" s="1"/>
  <c r="L112" i="3"/>
  <c r="E54" i="2"/>
  <c r="F54" i="3" s="1"/>
  <c r="E46" i="2"/>
  <c r="F46" i="3" s="1"/>
  <c r="E38" i="2"/>
  <c r="F38" i="3" s="1"/>
  <c r="E30" i="2"/>
  <c r="F30" i="3" s="1"/>
  <c r="E22" i="2"/>
  <c r="F22" i="3" s="1"/>
  <c r="E14" i="2"/>
  <c r="F14" i="3" s="1"/>
  <c r="E6" i="2"/>
  <c r="F6" i="3" s="1"/>
  <c r="E50" i="2"/>
  <c r="F50" i="3" s="1"/>
  <c r="E42" i="2"/>
  <c r="F42" i="3" s="1"/>
  <c r="E34" i="2"/>
  <c r="F34" i="3" s="1"/>
  <c r="E26" i="2"/>
  <c r="F26" i="3" s="1"/>
  <c r="E18" i="2"/>
  <c r="F18" i="3" s="1"/>
  <c r="E10" i="2"/>
  <c r="F10" i="3" s="1"/>
  <c r="E2" i="2"/>
  <c r="M7" i="3"/>
  <c r="E204" i="2"/>
  <c r="F204" i="3" s="1"/>
  <c r="E196" i="2"/>
  <c r="F196" i="3" s="1"/>
  <c r="E188" i="2"/>
  <c r="F188" i="3" s="1"/>
  <c r="E180" i="2"/>
  <c r="F180" i="3" s="1"/>
  <c r="E200" i="2"/>
  <c r="F200" i="3" s="1"/>
  <c r="E176" i="2"/>
  <c r="F176" i="3" s="1"/>
  <c r="E184" i="2"/>
  <c r="F184" i="3" s="1"/>
  <c r="E192" i="2"/>
  <c r="F192" i="3" s="1"/>
  <c r="L13" i="3"/>
  <c r="O25" i="3"/>
  <c r="E119" i="2"/>
  <c r="F119" i="3" s="1"/>
  <c r="E123" i="2"/>
  <c r="F123" i="3" s="1"/>
  <c r="E115" i="2"/>
  <c r="F115" i="3" s="1"/>
  <c r="F113" i="2"/>
  <c r="F165" i="2"/>
  <c r="G3" i="3"/>
  <c r="N3" i="3" s="1"/>
  <c r="E8" i="3"/>
  <c r="K16" i="3"/>
  <c r="K20" i="3"/>
  <c r="I27" i="3"/>
  <c r="I41" i="3"/>
  <c r="K45" i="3"/>
  <c r="F65" i="2"/>
  <c r="F81" i="2"/>
  <c r="F89" i="2"/>
  <c r="F149" i="2"/>
  <c r="E209" i="2"/>
  <c r="F209" i="3" s="1"/>
  <c r="E217" i="2"/>
  <c r="F217" i="3" s="1"/>
  <c r="E225" i="2"/>
  <c r="F225" i="3" s="1"/>
  <c r="E233" i="2"/>
  <c r="F233" i="3" s="1"/>
  <c r="E241" i="2"/>
  <c r="F241" i="3" s="1"/>
  <c r="I3" i="3"/>
  <c r="K41" i="3"/>
  <c r="G31" i="3"/>
  <c r="N31" i="3" s="1"/>
  <c r="G35" i="3"/>
  <c r="N35" i="3" s="1"/>
  <c r="E107" i="2"/>
  <c r="F107" i="3" s="1"/>
  <c r="F141" i="2"/>
  <c r="E201" i="2"/>
  <c r="F201" i="3" s="1"/>
  <c r="K239" i="3"/>
  <c r="K235" i="3"/>
  <c r="O235" i="3" s="1"/>
  <c r="K231" i="3"/>
  <c r="K227" i="3"/>
  <c r="K223" i="3"/>
  <c r="K219" i="3"/>
  <c r="O219" i="3" s="1"/>
  <c r="K215" i="3"/>
  <c r="K211" i="3"/>
  <c r="K175" i="3"/>
  <c r="K135" i="3"/>
  <c r="K191" i="3"/>
  <c r="K171" i="3"/>
  <c r="K199" i="3"/>
  <c r="K183" i="3"/>
  <c r="K167" i="3"/>
  <c r="K203" i="3"/>
  <c r="K139" i="3"/>
  <c r="K207" i="3"/>
  <c r="O207" i="3" s="1"/>
  <c r="K151" i="3"/>
  <c r="K179" i="3"/>
  <c r="O179" i="3" s="1"/>
  <c r="K131" i="3"/>
  <c r="O131" i="3" s="1"/>
  <c r="K187" i="3"/>
  <c r="O187" i="3" s="1"/>
  <c r="K111" i="3"/>
  <c r="K163" i="3"/>
  <c r="K147" i="3"/>
  <c r="K143" i="3"/>
  <c r="K115" i="3"/>
  <c r="K155" i="3"/>
  <c r="K99" i="3"/>
  <c r="K79" i="3"/>
  <c r="K123" i="3"/>
  <c r="K195" i="3"/>
  <c r="K103" i="3"/>
  <c r="K159" i="3"/>
  <c r="O159" i="3" s="1"/>
  <c r="K35" i="3"/>
  <c r="K107" i="3"/>
  <c r="O107" i="3" s="1"/>
  <c r="K91" i="3"/>
  <c r="O91" i="3" s="1"/>
  <c r="K87" i="3"/>
  <c r="O87" i="3" s="1"/>
  <c r="K59" i="3"/>
  <c r="K83" i="3"/>
  <c r="K75" i="3"/>
  <c r="K39" i="3"/>
  <c r="K63" i="3"/>
  <c r="K95" i="3"/>
  <c r="K43" i="3"/>
  <c r="K127" i="3"/>
  <c r="K67" i="3"/>
  <c r="K47" i="3"/>
  <c r="K27" i="3"/>
  <c r="O27" i="3" s="1"/>
  <c r="K23" i="3"/>
  <c r="O23" i="3" s="1"/>
  <c r="K19" i="3"/>
  <c r="K15" i="3"/>
  <c r="K11" i="3"/>
  <c r="O11" i="3" s="1"/>
  <c r="K7" i="3"/>
  <c r="O7" i="3" s="1"/>
  <c r="K31" i="3"/>
  <c r="K119" i="3"/>
  <c r="F5" i="3"/>
  <c r="I25" i="3"/>
  <c r="F48" i="2"/>
  <c r="F80" i="2"/>
  <c r="F8" i="3"/>
  <c r="G76" i="3" s="1"/>
  <c r="N76" i="3" s="1"/>
  <c r="E240" i="3"/>
  <c r="E236" i="3"/>
  <c r="E232" i="3"/>
  <c r="E228" i="3"/>
  <c r="E224" i="3"/>
  <c r="E220" i="3"/>
  <c r="E172" i="3"/>
  <c r="E192" i="3"/>
  <c r="E148" i="3"/>
  <c r="E196" i="3"/>
  <c r="E188" i="3"/>
  <c r="E200" i="3"/>
  <c r="E184" i="3"/>
  <c r="E168" i="3"/>
  <c r="E140" i="3"/>
  <c r="E208" i="3"/>
  <c r="E180" i="3"/>
  <c r="E212" i="3"/>
  <c r="E164" i="3"/>
  <c r="E176" i="3"/>
  <c r="E216" i="3"/>
  <c r="E116" i="3"/>
  <c r="E144" i="3"/>
  <c r="E120" i="3"/>
  <c r="E152" i="3"/>
  <c r="E136" i="3"/>
  <c r="E80" i="3"/>
  <c r="E124" i="3"/>
  <c r="E204" i="3"/>
  <c r="E156" i="3"/>
  <c r="E108" i="3"/>
  <c r="E160" i="3"/>
  <c r="E88" i="3"/>
  <c r="E132" i="3"/>
  <c r="E112" i="3"/>
  <c r="E84" i="3"/>
  <c r="E44" i="3"/>
  <c r="E68" i="3"/>
  <c r="E96" i="3"/>
  <c r="E48" i="3"/>
  <c r="E104" i="3"/>
  <c r="E52" i="3"/>
  <c r="E128" i="3"/>
  <c r="E72" i="3"/>
  <c r="E32" i="3"/>
  <c r="E100" i="3"/>
  <c r="E56" i="3"/>
  <c r="E36" i="3"/>
  <c r="E40" i="3"/>
  <c r="E92" i="3"/>
  <c r="E76" i="3"/>
  <c r="F133" i="2"/>
  <c r="E193" i="2"/>
  <c r="F193" i="3" s="1"/>
  <c r="F201" i="2"/>
  <c r="E2" i="3"/>
  <c r="K3" i="3"/>
  <c r="O3" i="3" s="1"/>
  <c r="E10" i="3"/>
  <c r="F173" i="2"/>
  <c r="F105" i="2"/>
  <c r="I11" i="3"/>
  <c r="F33" i="2"/>
  <c r="F73" i="2"/>
  <c r="E239" i="3"/>
  <c r="E235" i="3"/>
  <c r="E231" i="3"/>
  <c r="E227" i="3"/>
  <c r="E223" i="3"/>
  <c r="E219" i="3"/>
  <c r="E215" i="3"/>
  <c r="E211" i="3"/>
  <c r="E207" i="3"/>
  <c r="E203" i="3"/>
  <c r="E199" i="3"/>
  <c r="E195" i="3"/>
  <c r="E191" i="3"/>
  <c r="E187" i="3"/>
  <c r="E183" i="3"/>
  <c r="E179" i="3"/>
  <c r="E175" i="3"/>
  <c r="E171" i="3"/>
  <c r="E167" i="3"/>
  <c r="E163" i="3"/>
  <c r="E159" i="3"/>
  <c r="E155" i="3"/>
  <c r="E151" i="3"/>
  <c r="E147" i="3"/>
  <c r="E143" i="3"/>
  <c r="E139" i="3"/>
  <c r="E135" i="3"/>
  <c r="E123" i="3"/>
  <c r="E103" i="3"/>
  <c r="E107" i="3"/>
  <c r="E111" i="3"/>
  <c r="E115" i="3"/>
  <c r="E95" i="3"/>
  <c r="E119" i="3"/>
  <c r="E99" i="3"/>
  <c r="E79" i="3"/>
  <c r="E27" i="3"/>
  <c r="E23" i="3"/>
  <c r="E19" i="3"/>
  <c r="E15" i="3"/>
  <c r="E11" i="3"/>
  <c r="E7" i="3"/>
  <c r="E3" i="3"/>
  <c r="E71" i="3"/>
  <c r="E51" i="3"/>
  <c r="E55" i="3"/>
  <c r="E87" i="3"/>
  <c r="E35" i="3"/>
  <c r="E91" i="3"/>
  <c r="E59" i="3"/>
  <c r="E83" i="3"/>
  <c r="E75" i="3"/>
  <c r="E39" i="3"/>
  <c r="E131" i="3"/>
  <c r="E63" i="3"/>
  <c r="E127" i="3"/>
  <c r="E43" i="3"/>
  <c r="E67" i="3"/>
  <c r="E47" i="3"/>
  <c r="M4" i="1"/>
  <c r="F125" i="2"/>
  <c r="E168" i="2"/>
  <c r="F168" i="3" s="1"/>
  <c r="F193" i="2"/>
  <c r="I241" i="3"/>
  <c r="I237" i="3"/>
  <c r="I233" i="3"/>
  <c r="I229" i="3"/>
  <c r="I225" i="3"/>
  <c r="I221" i="3"/>
  <c r="I217" i="3"/>
  <c r="I209" i="3"/>
  <c r="I213" i="3"/>
  <c r="I177" i="3"/>
  <c r="I137" i="3"/>
  <c r="I173" i="3"/>
  <c r="I161" i="3"/>
  <c r="I189" i="3"/>
  <c r="I197" i="3"/>
  <c r="I185" i="3"/>
  <c r="I169" i="3"/>
  <c r="I201" i="3"/>
  <c r="I205" i="3"/>
  <c r="I181" i="3"/>
  <c r="I117" i="3"/>
  <c r="I97" i="3"/>
  <c r="I193" i="3"/>
  <c r="I101" i="3"/>
  <c r="I145" i="3"/>
  <c r="I141" i="3"/>
  <c r="I149" i="3"/>
  <c r="I105" i="3"/>
  <c r="I129" i="3"/>
  <c r="I153" i="3"/>
  <c r="I109" i="3"/>
  <c r="I89" i="3"/>
  <c r="I165" i="3"/>
  <c r="I157" i="3"/>
  <c r="I133" i="3"/>
  <c r="I113" i="3"/>
  <c r="I77" i="3"/>
  <c r="I65" i="3"/>
  <c r="I45" i="3"/>
  <c r="I125" i="3"/>
  <c r="I85" i="3"/>
  <c r="I69" i="3"/>
  <c r="I49" i="3"/>
  <c r="I121" i="3"/>
  <c r="I93" i="3"/>
  <c r="I29" i="3"/>
  <c r="I53" i="3"/>
  <c r="I33" i="3"/>
  <c r="I81" i="3"/>
  <c r="I73" i="3"/>
  <c r="I57" i="3"/>
  <c r="I37" i="3"/>
  <c r="I61" i="3"/>
  <c r="G15" i="3"/>
  <c r="N15" i="3" s="1"/>
  <c r="I17" i="3"/>
  <c r="G19" i="3"/>
  <c r="N19" i="3" s="1"/>
  <c r="I21" i="3"/>
  <c r="G23" i="3"/>
  <c r="N23" i="3" s="1"/>
  <c r="K51" i="3"/>
  <c r="K71" i="3"/>
  <c r="M8" i="1"/>
  <c r="F56" i="2"/>
  <c r="F88" i="2"/>
  <c r="F100" i="2"/>
  <c r="K28" i="3"/>
  <c r="F24" i="2"/>
  <c r="F64" i="2"/>
  <c r="E160" i="2"/>
  <c r="F160" i="3" s="1"/>
  <c r="F185" i="2"/>
  <c r="F109" i="2"/>
  <c r="F177" i="2"/>
  <c r="I238" i="3"/>
  <c r="I234" i="3"/>
  <c r="I230" i="3"/>
  <c r="I226" i="3"/>
  <c r="I222" i="3"/>
  <c r="I218" i="3"/>
  <c r="I214" i="3"/>
  <c r="I210" i="3"/>
  <c r="I206" i="3"/>
  <c r="I202" i="3"/>
  <c r="I198" i="3"/>
  <c r="I194" i="3"/>
  <c r="I190" i="3"/>
  <c r="I186" i="3"/>
  <c r="I182" i="3"/>
  <c r="I178" i="3"/>
  <c r="I174" i="3"/>
  <c r="I170" i="3"/>
  <c r="I166" i="3"/>
  <c r="I162" i="3"/>
  <c r="I158" i="3"/>
  <c r="I154" i="3"/>
  <c r="I150" i="3"/>
  <c r="I146" i="3"/>
  <c r="I142" i="3"/>
  <c r="I138" i="3"/>
  <c r="I134" i="3"/>
  <c r="I110" i="3"/>
  <c r="I114" i="3"/>
  <c r="I118" i="3"/>
  <c r="I102" i="3"/>
  <c r="I82" i="3"/>
  <c r="I126" i="3"/>
  <c r="I106" i="3"/>
  <c r="I38" i="3"/>
  <c r="O38" i="3" s="1"/>
  <c r="I122" i="3"/>
  <c r="I62" i="3"/>
  <c r="I98" i="3"/>
  <c r="I42" i="3"/>
  <c r="I66" i="3"/>
  <c r="I78" i="3"/>
  <c r="I46" i="3"/>
  <c r="I70" i="3"/>
  <c r="I26" i="3"/>
  <c r="I22" i="3"/>
  <c r="I18" i="3"/>
  <c r="I14" i="3"/>
  <c r="I10" i="3"/>
  <c r="I6" i="3"/>
  <c r="O6" i="3" s="1"/>
  <c r="I2" i="3"/>
  <c r="I50" i="3"/>
  <c r="I86" i="3"/>
  <c r="I30" i="3"/>
  <c r="I130" i="3"/>
  <c r="I34" i="3"/>
  <c r="I94" i="3"/>
  <c r="K241" i="3"/>
  <c r="K237" i="3"/>
  <c r="O237" i="3" s="1"/>
  <c r="K233" i="3"/>
  <c r="O233" i="3" s="1"/>
  <c r="K229" i="3"/>
  <c r="O229" i="3" s="1"/>
  <c r="K225" i="3"/>
  <c r="O225" i="3" s="1"/>
  <c r="K221" i="3"/>
  <c r="O221" i="3" s="1"/>
  <c r="K217" i="3"/>
  <c r="O217" i="3" s="1"/>
  <c r="K213" i="3"/>
  <c r="O213" i="3" s="1"/>
  <c r="K209" i="3"/>
  <c r="O209" i="3" s="1"/>
  <c r="K205" i="3"/>
  <c r="O205" i="3" s="1"/>
  <c r="K201" i="3"/>
  <c r="O201" i="3" s="1"/>
  <c r="K197" i="3"/>
  <c r="K193" i="3"/>
  <c r="O193" i="3" s="1"/>
  <c r="K177" i="3"/>
  <c r="O177" i="3" s="1"/>
  <c r="K149" i="3"/>
  <c r="O149" i="3" s="1"/>
  <c r="K173" i="3"/>
  <c r="O173" i="3" s="1"/>
  <c r="K189" i="3"/>
  <c r="O189" i="3" s="1"/>
  <c r="K141" i="3"/>
  <c r="O141" i="3" s="1"/>
  <c r="K181" i="3"/>
  <c r="O181" i="3" s="1"/>
  <c r="K161" i="3"/>
  <c r="O161" i="3" s="1"/>
  <c r="K121" i="3"/>
  <c r="O121" i="3" s="1"/>
  <c r="K101" i="3"/>
  <c r="O101" i="3" s="1"/>
  <c r="K145" i="3"/>
  <c r="O145" i="3" s="1"/>
  <c r="K125" i="3"/>
  <c r="O125" i="3" s="1"/>
  <c r="K169" i="3"/>
  <c r="K137" i="3"/>
  <c r="O137" i="3" s="1"/>
  <c r="K129" i="3"/>
  <c r="K185" i="3"/>
  <c r="K89" i="3"/>
  <c r="K165" i="3"/>
  <c r="K157" i="3"/>
  <c r="O157" i="3" s="1"/>
  <c r="K133" i="3"/>
  <c r="O133" i="3" s="1"/>
  <c r="K113" i="3"/>
  <c r="O113" i="3" s="1"/>
  <c r="K93" i="3"/>
  <c r="O93" i="3" s="1"/>
  <c r="K85" i="3"/>
  <c r="O85" i="3" s="1"/>
  <c r="K69" i="3"/>
  <c r="O69" i="3" s="1"/>
  <c r="K153" i="3"/>
  <c r="O153" i="3" s="1"/>
  <c r="K49" i="3"/>
  <c r="O49" i="3" s="1"/>
  <c r="K29" i="3"/>
  <c r="O29" i="3" s="1"/>
  <c r="K53" i="3"/>
  <c r="K117" i="3"/>
  <c r="O117" i="3" s="1"/>
  <c r="K33" i="3"/>
  <c r="K97" i="3"/>
  <c r="O97" i="3" s="1"/>
  <c r="K81" i="3"/>
  <c r="K73" i="3"/>
  <c r="O73" i="3" s="1"/>
  <c r="K109" i="3"/>
  <c r="K57" i="3"/>
  <c r="O57" i="3" s="1"/>
  <c r="K37" i="3"/>
  <c r="O37" i="3" s="1"/>
  <c r="K61" i="3"/>
  <c r="O61" i="3" s="1"/>
  <c r="K105" i="3"/>
  <c r="O105" i="3" s="1"/>
  <c r="K77" i="3"/>
  <c r="O77" i="3" s="1"/>
  <c r="K65" i="3"/>
  <c r="O65" i="3" s="1"/>
  <c r="E12" i="3"/>
  <c r="I15" i="3"/>
  <c r="K17" i="3"/>
  <c r="O17" i="3" s="1"/>
  <c r="I19" i="3"/>
  <c r="K21" i="3"/>
  <c r="O21" i="3" s="1"/>
  <c r="I23" i="3"/>
  <c r="I90" i="3"/>
  <c r="F8" i="2"/>
  <c r="F25" i="2"/>
  <c r="E172" i="2"/>
  <c r="F172" i="3" s="1"/>
  <c r="E164" i="2"/>
  <c r="F164" i="3" s="1"/>
  <c r="E156" i="2"/>
  <c r="F156" i="3" s="1"/>
  <c r="E148" i="2"/>
  <c r="F148" i="3" s="1"/>
  <c r="E140" i="2"/>
  <c r="F140" i="3" s="1"/>
  <c r="E132" i="2"/>
  <c r="F132" i="3" s="1"/>
  <c r="E124" i="2"/>
  <c r="F124" i="3" s="1"/>
  <c r="E116" i="2"/>
  <c r="F116" i="3" s="1"/>
  <c r="E108" i="2"/>
  <c r="F108" i="3" s="1"/>
  <c r="E100" i="2"/>
  <c r="F100" i="3" s="1"/>
  <c r="E92" i="2"/>
  <c r="F200" i="2" s="1"/>
  <c r="F28" i="2"/>
  <c r="F52" i="2"/>
  <c r="F68" i="2"/>
  <c r="F76" i="2"/>
  <c r="F84" i="2"/>
  <c r="F101" i="2"/>
  <c r="E144" i="2"/>
  <c r="F144" i="3" s="1"/>
  <c r="F169" i="2"/>
  <c r="K238" i="3"/>
  <c r="O238" i="3" s="1"/>
  <c r="K234" i="3"/>
  <c r="O234" i="3" s="1"/>
  <c r="K230" i="3"/>
  <c r="O230" i="3" s="1"/>
  <c r="K226" i="3"/>
  <c r="O226" i="3" s="1"/>
  <c r="K222" i="3"/>
  <c r="O222" i="3" s="1"/>
  <c r="K218" i="3"/>
  <c r="O218" i="3" s="1"/>
  <c r="K214" i="3"/>
  <c r="O214" i="3" s="1"/>
  <c r="K210" i="3"/>
  <c r="O210" i="3" s="1"/>
  <c r="K206" i="3"/>
  <c r="O206" i="3" s="1"/>
  <c r="K202" i="3"/>
  <c r="K198" i="3"/>
  <c r="O198" i="3" s="1"/>
  <c r="K194" i="3"/>
  <c r="K190" i="3"/>
  <c r="K186" i="3"/>
  <c r="K170" i="3"/>
  <c r="O170" i="3" s="1"/>
  <c r="K146" i="3"/>
  <c r="O146" i="3" s="1"/>
  <c r="K182" i="3"/>
  <c r="O182" i="3" s="1"/>
  <c r="K166" i="3"/>
  <c r="O166" i="3" s="1"/>
  <c r="K138" i="3"/>
  <c r="O138" i="3" s="1"/>
  <c r="K162" i="3"/>
  <c r="O162" i="3" s="1"/>
  <c r="K174" i="3"/>
  <c r="O174" i="3" s="1"/>
  <c r="K114" i="3"/>
  <c r="K178" i="3"/>
  <c r="O178" i="3" s="1"/>
  <c r="K154" i="3"/>
  <c r="O154" i="3" s="1"/>
  <c r="K94" i="3"/>
  <c r="O94" i="3" s="1"/>
  <c r="K134" i="3"/>
  <c r="O134" i="3" s="1"/>
  <c r="K158" i="3"/>
  <c r="O158" i="3" s="1"/>
  <c r="K98" i="3"/>
  <c r="O98" i="3" s="1"/>
  <c r="K102" i="3"/>
  <c r="O102" i="3" s="1"/>
  <c r="K126" i="3"/>
  <c r="O126" i="3" s="1"/>
  <c r="K106" i="3"/>
  <c r="O106" i="3" s="1"/>
  <c r="K86" i="3"/>
  <c r="O86" i="3" s="1"/>
  <c r="K130" i="3"/>
  <c r="O130" i="3" s="1"/>
  <c r="K142" i="3"/>
  <c r="O142" i="3" s="1"/>
  <c r="K110" i="3"/>
  <c r="O110" i="3" s="1"/>
  <c r="K150" i="3"/>
  <c r="O150" i="3" s="1"/>
  <c r="K122" i="3"/>
  <c r="O122" i="3" s="1"/>
  <c r="K62" i="3"/>
  <c r="O62" i="3" s="1"/>
  <c r="K42" i="3"/>
  <c r="O42" i="3" s="1"/>
  <c r="K118" i="3"/>
  <c r="K66" i="3"/>
  <c r="O66" i="3" s="1"/>
  <c r="K78" i="3"/>
  <c r="O78" i="3" s="1"/>
  <c r="K46" i="3"/>
  <c r="K70" i="3"/>
  <c r="O70" i="3" s="1"/>
  <c r="K26" i="3"/>
  <c r="K22" i="3"/>
  <c r="K18" i="3"/>
  <c r="K14" i="3"/>
  <c r="O14" i="3" s="1"/>
  <c r="K50" i="3"/>
  <c r="O50" i="3" s="1"/>
  <c r="K30" i="3"/>
  <c r="O30" i="3" s="1"/>
  <c r="K90" i="3"/>
  <c r="O90" i="3" s="1"/>
  <c r="K54" i="3"/>
  <c r="K34" i="3"/>
  <c r="O34" i="3" s="1"/>
  <c r="K82" i="3"/>
  <c r="O82" i="3" s="1"/>
  <c r="K74" i="3"/>
  <c r="K58" i="3"/>
  <c r="G7" i="3"/>
  <c r="N7" i="3" s="1"/>
  <c r="K10" i="3"/>
  <c r="O10" i="3" s="1"/>
  <c r="E26" i="3"/>
  <c r="F16" i="2"/>
  <c r="F17" i="2"/>
  <c r="F12" i="2"/>
  <c r="F44" i="2"/>
  <c r="E136" i="2"/>
  <c r="F136" i="3" s="1"/>
  <c r="F144" i="2"/>
  <c r="F161" i="2"/>
  <c r="K2" i="3"/>
  <c r="O2" i="3" s="1"/>
  <c r="E4" i="3"/>
  <c r="L5" i="3"/>
  <c r="K36" i="3"/>
  <c r="I48" i="3"/>
  <c r="I84" i="3"/>
  <c r="F97" i="2"/>
  <c r="F224" i="2"/>
  <c r="F9" i="2"/>
  <c r="F117" i="2"/>
  <c r="F36" i="2"/>
  <c r="F60" i="2"/>
  <c r="F93" i="2"/>
  <c r="E241" i="3"/>
  <c r="E237" i="3"/>
  <c r="E233" i="3"/>
  <c r="E229" i="3"/>
  <c r="E225" i="3"/>
  <c r="E221" i="3"/>
  <c r="E217" i="3"/>
  <c r="E213" i="3"/>
  <c r="E209" i="3"/>
  <c r="E205" i="3"/>
  <c r="E201" i="3"/>
  <c r="E197" i="3"/>
  <c r="E193" i="3"/>
  <c r="E189" i="3"/>
  <c r="E185" i="3"/>
  <c r="E181" i="3"/>
  <c r="E177" i="3"/>
  <c r="E173" i="3"/>
  <c r="E169" i="3"/>
  <c r="E165" i="3"/>
  <c r="E161" i="3"/>
  <c r="E157" i="3"/>
  <c r="E153" i="3"/>
  <c r="E149" i="3"/>
  <c r="E145" i="3"/>
  <c r="E141" i="3"/>
  <c r="E137" i="3"/>
  <c r="E133" i="3"/>
  <c r="E113" i="3"/>
  <c r="E93" i="3"/>
  <c r="E117" i="3"/>
  <c r="E121" i="3"/>
  <c r="E125" i="3"/>
  <c r="E105" i="3"/>
  <c r="E129" i="3"/>
  <c r="E61" i="3"/>
  <c r="E77" i="3"/>
  <c r="E65" i="3"/>
  <c r="E101" i="3"/>
  <c r="E85" i="3"/>
  <c r="E45" i="3"/>
  <c r="E89" i="3"/>
  <c r="E69" i="3"/>
  <c r="E49" i="3"/>
  <c r="E25" i="3"/>
  <c r="E21" i="3"/>
  <c r="E17" i="3"/>
  <c r="E13" i="3"/>
  <c r="E9" i="3"/>
  <c r="E5" i="3"/>
  <c r="E29" i="3"/>
  <c r="E109" i="3"/>
  <c r="E97" i="3"/>
  <c r="E53" i="3"/>
  <c r="E81" i="3"/>
  <c r="E73" i="3"/>
  <c r="E57" i="3"/>
  <c r="F5" i="2"/>
  <c r="F13" i="2"/>
  <c r="F21" i="2"/>
  <c r="F29" i="2"/>
  <c r="F37" i="2"/>
  <c r="F45" i="2"/>
  <c r="F53" i="2"/>
  <c r="F61" i="2"/>
  <c r="F69" i="2"/>
  <c r="F77" i="2"/>
  <c r="F85" i="2"/>
  <c r="E111" i="2"/>
  <c r="F111" i="3" s="1"/>
  <c r="E128" i="2"/>
  <c r="F128" i="3" s="1"/>
  <c r="F153" i="2"/>
  <c r="E205" i="2"/>
  <c r="F205" i="3" s="1"/>
  <c r="E213" i="2"/>
  <c r="F213" i="3" s="1"/>
  <c r="E221" i="2"/>
  <c r="F221" i="3" s="1"/>
  <c r="E229" i="2"/>
  <c r="F229" i="3" s="1"/>
  <c r="E237" i="2"/>
  <c r="F237" i="3" s="1"/>
  <c r="G68" i="3"/>
  <c r="N68" i="3" s="1"/>
  <c r="G48" i="3"/>
  <c r="N48" i="3" s="1"/>
  <c r="G80" i="3"/>
  <c r="N80" i="3" s="1"/>
  <c r="G52" i="3"/>
  <c r="N52" i="3" s="1"/>
  <c r="P52" i="3" s="1"/>
  <c r="G72" i="3"/>
  <c r="N72" i="3" s="1"/>
  <c r="P72" i="3" s="1"/>
  <c r="G32" i="3"/>
  <c r="N32" i="3" s="1"/>
  <c r="P32" i="3" s="1"/>
  <c r="G56" i="3"/>
  <c r="N56" i="3" s="1"/>
  <c r="G36" i="3"/>
  <c r="N36" i="3" s="1"/>
  <c r="G60" i="3"/>
  <c r="N60" i="3" s="1"/>
  <c r="G40" i="3"/>
  <c r="N40" i="3" s="1"/>
  <c r="G88" i="3"/>
  <c r="G64" i="3"/>
  <c r="N64" i="3" s="1"/>
  <c r="G84" i="3"/>
  <c r="N84" i="3" s="1"/>
  <c r="G44" i="3"/>
  <c r="N44" i="3" s="1"/>
  <c r="F9" i="3"/>
  <c r="I239" i="3"/>
  <c r="I235" i="3"/>
  <c r="I231" i="3"/>
  <c r="I227" i="3"/>
  <c r="I223" i="3"/>
  <c r="I219" i="3"/>
  <c r="I215" i="3"/>
  <c r="I211" i="3"/>
  <c r="I207" i="3"/>
  <c r="I203" i="3"/>
  <c r="I199" i="3"/>
  <c r="I195" i="3"/>
  <c r="I191" i="3"/>
  <c r="I187" i="3"/>
  <c r="I183" i="3"/>
  <c r="I179" i="3"/>
  <c r="I175" i="3"/>
  <c r="I171" i="3"/>
  <c r="I167" i="3"/>
  <c r="I163" i="3"/>
  <c r="I151" i="3"/>
  <c r="I155" i="3"/>
  <c r="I159" i="3"/>
  <c r="I127" i="3"/>
  <c r="I107" i="3"/>
  <c r="I87" i="3"/>
  <c r="I111" i="3"/>
  <c r="I147" i="3"/>
  <c r="I143" i="3"/>
  <c r="I139" i="3"/>
  <c r="I115" i="3"/>
  <c r="I135" i="3"/>
  <c r="I119" i="3"/>
  <c r="I99" i="3"/>
  <c r="I75" i="3"/>
  <c r="I71" i="3"/>
  <c r="I67" i="3"/>
  <c r="I63" i="3"/>
  <c r="I59" i="3"/>
  <c r="I55" i="3"/>
  <c r="O55" i="3" s="1"/>
  <c r="I51" i="3"/>
  <c r="I47" i="3"/>
  <c r="I43" i="3"/>
  <c r="I39" i="3"/>
  <c r="I35" i="3"/>
  <c r="I31" i="3"/>
  <c r="I123" i="3"/>
  <c r="I91" i="3"/>
  <c r="I83" i="3"/>
  <c r="I131" i="3"/>
  <c r="I95" i="3"/>
  <c r="I103" i="3"/>
  <c r="F49" i="2"/>
  <c r="F20" i="2"/>
  <c r="E120" i="2"/>
  <c r="F120" i="3" s="1"/>
  <c r="F145" i="2"/>
  <c r="F205" i="2"/>
  <c r="F213" i="2"/>
  <c r="F221" i="2"/>
  <c r="F229" i="2"/>
  <c r="F237" i="2"/>
  <c r="E14" i="3"/>
  <c r="E16" i="3"/>
  <c r="E18" i="3"/>
  <c r="E20" i="3"/>
  <c r="E24" i="3"/>
  <c r="E37" i="3"/>
  <c r="I58" i="3"/>
  <c r="K68" i="3"/>
  <c r="F32" i="2"/>
  <c r="F57" i="2"/>
  <c r="E112" i="2"/>
  <c r="F112" i="3" s="1"/>
  <c r="F197" i="2"/>
  <c r="I240" i="3"/>
  <c r="I236" i="3"/>
  <c r="I232" i="3"/>
  <c r="I228" i="3"/>
  <c r="I224" i="3"/>
  <c r="I220" i="3"/>
  <c r="I216" i="3"/>
  <c r="I212" i="3"/>
  <c r="I208" i="3"/>
  <c r="I204" i="3"/>
  <c r="I200" i="3"/>
  <c r="I196" i="3"/>
  <c r="I192" i="3"/>
  <c r="I188" i="3"/>
  <c r="I184" i="3"/>
  <c r="I180" i="3"/>
  <c r="I176" i="3"/>
  <c r="I172" i="3"/>
  <c r="I168" i="3"/>
  <c r="I164" i="3"/>
  <c r="I160" i="3"/>
  <c r="I156" i="3"/>
  <c r="I152" i="3"/>
  <c r="I148" i="3"/>
  <c r="I144" i="3"/>
  <c r="I140" i="3"/>
  <c r="I136" i="3"/>
  <c r="I124" i="3"/>
  <c r="I104" i="3"/>
  <c r="I128" i="3"/>
  <c r="I132" i="3"/>
  <c r="I92" i="3"/>
  <c r="I116" i="3"/>
  <c r="I96" i="3"/>
  <c r="I28" i="3"/>
  <c r="I24" i="3"/>
  <c r="O24" i="3" s="1"/>
  <c r="I20" i="3"/>
  <c r="I16" i="3"/>
  <c r="I12" i="3"/>
  <c r="I8" i="3"/>
  <c r="I4" i="3"/>
  <c r="I80" i="3"/>
  <c r="I52" i="3"/>
  <c r="I72" i="3"/>
  <c r="I32" i="3"/>
  <c r="I56" i="3"/>
  <c r="I36" i="3"/>
  <c r="I100" i="3"/>
  <c r="I60" i="3"/>
  <c r="I40" i="3"/>
  <c r="I120" i="3"/>
  <c r="I76" i="3"/>
  <c r="I88" i="3"/>
  <c r="I64" i="3"/>
  <c r="I108" i="3"/>
  <c r="I68" i="3"/>
  <c r="G24" i="3"/>
  <c r="N24" i="3" s="1"/>
  <c r="I44" i="3"/>
  <c r="I79" i="3"/>
  <c r="G11" i="3"/>
  <c r="N11" i="3" s="1"/>
  <c r="F40" i="2"/>
  <c r="F72" i="2"/>
  <c r="F157" i="2"/>
  <c r="F41" i="2"/>
  <c r="E238" i="3"/>
  <c r="E234" i="3"/>
  <c r="E230" i="3"/>
  <c r="E226" i="3"/>
  <c r="E222" i="3"/>
  <c r="E218" i="3"/>
  <c r="E214" i="3"/>
  <c r="E210" i="3"/>
  <c r="E206" i="3"/>
  <c r="E202" i="3"/>
  <c r="E198" i="3"/>
  <c r="E194" i="3"/>
  <c r="E190" i="3"/>
  <c r="E186" i="3"/>
  <c r="E182" i="3"/>
  <c r="E178" i="3"/>
  <c r="E174" i="3"/>
  <c r="E170" i="3"/>
  <c r="E166" i="3"/>
  <c r="E162" i="3"/>
  <c r="E134" i="3"/>
  <c r="E126" i="3"/>
  <c r="E146" i="3"/>
  <c r="E106" i="3"/>
  <c r="E150" i="3"/>
  <c r="E142" i="3"/>
  <c r="E138" i="3"/>
  <c r="E130" i="3"/>
  <c r="E90" i="3"/>
  <c r="E154" i="3"/>
  <c r="E118" i="3"/>
  <c r="E98" i="3"/>
  <c r="E78" i="3"/>
  <c r="E74" i="3"/>
  <c r="E70" i="3"/>
  <c r="E66" i="3"/>
  <c r="E62" i="3"/>
  <c r="E58" i="3"/>
  <c r="E54" i="3"/>
  <c r="E50" i="3"/>
  <c r="E46" i="3"/>
  <c r="E42" i="3"/>
  <c r="E38" i="3"/>
  <c r="E34" i="3"/>
  <c r="E30" i="3"/>
  <c r="E122" i="3"/>
  <c r="E102" i="3"/>
  <c r="E94" i="3"/>
  <c r="E82" i="3"/>
  <c r="E114" i="3"/>
  <c r="E110" i="3"/>
  <c r="E158" i="3"/>
  <c r="E86" i="3"/>
  <c r="G13" i="1"/>
  <c r="E104" i="2"/>
  <c r="F104" i="3" s="1"/>
  <c r="F129" i="2"/>
  <c r="K240" i="3"/>
  <c r="O240" i="3" s="1"/>
  <c r="K236" i="3"/>
  <c r="K232" i="3"/>
  <c r="K228" i="3"/>
  <c r="K224" i="3"/>
  <c r="O224" i="3" s="1"/>
  <c r="K220" i="3"/>
  <c r="O220" i="3" s="1"/>
  <c r="K216" i="3"/>
  <c r="O216" i="3" s="1"/>
  <c r="K212" i="3"/>
  <c r="O212" i="3" s="1"/>
  <c r="K208" i="3"/>
  <c r="O208" i="3" s="1"/>
  <c r="K204" i="3"/>
  <c r="O204" i="3" s="1"/>
  <c r="K200" i="3"/>
  <c r="O200" i="3" s="1"/>
  <c r="K196" i="3"/>
  <c r="O196" i="3" s="1"/>
  <c r="K192" i="3"/>
  <c r="O192" i="3" s="1"/>
  <c r="K188" i="3"/>
  <c r="O188" i="3" s="1"/>
  <c r="K184" i="3"/>
  <c r="O184" i="3" s="1"/>
  <c r="K180" i="3"/>
  <c r="K176" i="3"/>
  <c r="O176" i="3" s="1"/>
  <c r="K172" i="3"/>
  <c r="K168" i="3"/>
  <c r="K160" i="3"/>
  <c r="O160" i="3" s="1"/>
  <c r="K132" i="3"/>
  <c r="O132" i="3" s="1"/>
  <c r="K128" i="3"/>
  <c r="O128" i="3" s="1"/>
  <c r="K124" i="3"/>
  <c r="O124" i="3" s="1"/>
  <c r="K120" i="3"/>
  <c r="O120" i="3" s="1"/>
  <c r="K116" i="3"/>
  <c r="O116" i="3" s="1"/>
  <c r="K112" i="3"/>
  <c r="O112" i="3" s="1"/>
  <c r="K108" i="3"/>
  <c r="O108" i="3" s="1"/>
  <c r="K104" i="3"/>
  <c r="O104" i="3" s="1"/>
  <c r="K100" i="3"/>
  <c r="K96" i="3"/>
  <c r="K92" i="3"/>
  <c r="K88" i="3"/>
  <c r="O88" i="3" s="1"/>
  <c r="K84" i="3"/>
  <c r="O84" i="3" s="1"/>
  <c r="K80" i="3"/>
  <c r="O80" i="3" s="1"/>
  <c r="K164" i="3"/>
  <c r="K136" i="3"/>
  <c r="O136" i="3" s="1"/>
  <c r="K152" i="3"/>
  <c r="O152" i="3" s="1"/>
  <c r="K156" i="3"/>
  <c r="O156" i="3" s="1"/>
  <c r="K144" i="3"/>
  <c r="O144" i="3" s="1"/>
  <c r="K148" i="3"/>
  <c r="O148" i="3" s="1"/>
  <c r="K140" i="3"/>
  <c r="O140" i="3" s="1"/>
  <c r="K52" i="3"/>
  <c r="O52" i="3" s="1"/>
  <c r="K72" i="3"/>
  <c r="O72" i="3" s="1"/>
  <c r="K32" i="3"/>
  <c r="O32" i="3" s="1"/>
  <c r="K56" i="3"/>
  <c r="O56" i="3" s="1"/>
  <c r="K60" i="3"/>
  <c r="O60" i="3" s="1"/>
  <c r="K40" i="3"/>
  <c r="K76" i="3"/>
  <c r="K64" i="3"/>
  <c r="O64" i="3" s="1"/>
  <c r="K44" i="3"/>
  <c r="O44" i="3" s="1"/>
  <c r="K48" i="3"/>
  <c r="E6" i="3"/>
  <c r="I9" i="3"/>
  <c r="G16" i="3"/>
  <c r="N16" i="3" s="1"/>
  <c r="G20" i="3"/>
  <c r="N20" i="3" s="1"/>
  <c r="E64" i="3"/>
  <c r="I74" i="3"/>
  <c r="G27" i="3"/>
  <c r="N27" i="3" s="1"/>
  <c r="P27" i="3" s="1"/>
  <c r="E41" i="3"/>
  <c r="I54" i="3"/>
  <c r="K3" i="6"/>
  <c r="J3" i="6"/>
  <c r="L3" i="6" s="1"/>
  <c r="I3" i="6"/>
  <c r="I8" i="6"/>
  <c r="I11" i="6"/>
  <c r="J11" i="6"/>
  <c r="L11" i="6" s="1"/>
  <c r="I9" i="6"/>
  <c r="J9" i="6"/>
  <c r="L9" i="6" s="1"/>
  <c r="I4" i="6"/>
  <c r="I12" i="6"/>
  <c r="J12" i="6"/>
  <c r="L12" i="6" s="1"/>
  <c r="I7" i="6"/>
  <c r="J7" i="6"/>
  <c r="L7" i="6" s="1"/>
  <c r="I2" i="6"/>
  <c r="I10" i="6"/>
  <c r="J2" i="6"/>
  <c r="L164" i="3" l="1"/>
  <c r="L165" i="3"/>
  <c r="L168" i="3"/>
  <c r="F140" i="2"/>
  <c r="L185" i="3"/>
  <c r="L26" i="3"/>
  <c r="L9" i="3"/>
  <c r="M60" i="3"/>
  <c r="L60" i="3"/>
  <c r="L116" i="3"/>
  <c r="L176" i="3"/>
  <c r="L240" i="3"/>
  <c r="L131" i="3"/>
  <c r="L99" i="3"/>
  <c r="L171" i="3"/>
  <c r="L235" i="3"/>
  <c r="P80" i="3"/>
  <c r="M84" i="3"/>
  <c r="L84" i="3"/>
  <c r="L70" i="3"/>
  <c r="L134" i="3"/>
  <c r="L198" i="3"/>
  <c r="F160" i="2"/>
  <c r="E155" i="2"/>
  <c r="F155" i="3" s="1"/>
  <c r="E163" i="2"/>
  <c r="F163" i="3" s="1"/>
  <c r="E151" i="2"/>
  <c r="F151" i="3" s="1"/>
  <c r="E159" i="2"/>
  <c r="F159" i="3" s="1"/>
  <c r="E147" i="2"/>
  <c r="F147" i="3" s="1"/>
  <c r="L29" i="3"/>
  <c r="L153" i="3"/>
  <c r="L189" i="3"/>
  <c r="F116" i="2"/>
  <c r="O19" i="3"/>
  <c r="O35" i="3"/>
  <c r="O151" i="3"/>
  <c r="O231" i="3"/>
  <c r="L223" i="3"/>
  <c r="L186" i="3"/>
  <c r="L167" i="3"/>
  <c r="L194" i="3"/>
  <c r="L129" i="3"/>
  <c r="F198" i="2"/>
  <c r="F238" i="2"/>
  <c r="F230" i="2"/>
  <c r="F222" i="2"/>
  <c r="F214" i="2"/>
  <c r="F206" i="2"/>
  <c r="F146" i="2"/>
  <c r="F86" i="2"/>
  <c r="F70" i="2"/>
  <c r="F54" i="2"/>
  <c r="F38" i="2"/>
  <c r="F22" i="2"/>
  <c r="F6" i="2"/>
  <c r="F114" i="2"/>
  <c r="F122" i="2"/>
  <c r="F154" i="2"/>
  <c r="F78" i="2"/>
  <c r="F62" i="2"/>
  <c r="F46" i="2"/>
  <c r="F30" i="2"/>
  <c r="F14" i="2"/>
  <c r="F130" i="2"/>
  <c r="F162" i="2"/>
  <c r="F94" i="2"/>
  <c r="F170" i="2"/>
  <c r="F102" i="2"/>
  <c r="F178" i="2"/>
  <c r="F110" i="2"/>
  <c r="F202" i="2"/>
  <c r="F186" i="2"/>
  <c r="F118" i="2"/>
  <c r="F194" i="2"/>
  <c r="F126" i="2"/>
  <c r="F134" i="2"/>
  <c r="F2" i="3"/>
  <c r="F234" i="2"/>
  <c r="F226" i="2"/>
  <c r="F218" i="2"/>
  <c r="F210" i="2"/>
  <c r="F142" i="2"/>
  <c r="F182" i="2"/>
  <c r="F190" i="2"/>
  <c r="F150" i="2"/>
  <c r="F90" i="2"/>
  <c r="F82" i="2"/>
  <c r="F74" i="2"/>
  <c r="F66" i="2"/>
  <c r="F58" i="2"/>
  <c r="F50" i="2"/>
  <c r="F42" i="2"/>
  <c r="F34" i="2"/>
  <c r="F26" i="2"/>
  <c r="F18" i="2"/>
  <c r="F10" i="2"/>
  <c r="F2" i="2"/>
  <c r="F158" i="2"/>
  <c r="F98" i="2"/>
  <c r="F174" i="2"/>
  <c r="F166" i="2"/>
  <c r="F106" i="2"/>
  <c r="F138" i="2"/>
  <c r="L81" i="3"/>
  <c r="L33" i="3"/>
  <c r="L7" i="3"/>
  <c r="O227" i="3"/>
  <c r="O232" i="3"/>
  <c r="M36" i="3"/>
  <c r="L36" i="3"/>
  <c r="L132" i="3"/>
  <c r="L184" i="3"/>
  <c r="F180" i="2"/>
  <c r="L91" i="3"/>
  <c r="L135" i="3"/>
  <c r="L179" i="3"/>
  <c r="O36" i="3"/>
  <c r="O22" i="3"/>
  <c r="O186" i="3"/>
  <c r="F152" i="2"/>
  <c r="O241" i="3"/>
  <c r="L78" i="3"/>
  <c r="L142" i="3"/>
  <c r="L206" i="3"/>
  <c r="O51" i="3"/>
  <c r="L121" i="3"/>
  <c r="L105" i="3"/>
  <c r="L173" i="3"/>
  <c r="O103" i="3"/>
  <c r="O139" i="3"/>
  <c r="O239" i="3"/>
  <c r="F232" i="2"/>
  <c r="M15" i="3"/>
  <c r="L15" i="3"/>
  <c r="L227" i="3"/>
  <c r="L22" i="3"/>
  <c r="L53" i="3"/>
  <c r="F240" i="2"/>
  <c r="L119" i="3"/>
  <c r="M48" i="3"/>
  <c r="L48" i="3"/>
  <c r="O18" i="3"/>
  <c r="M161" i="3"/>
  <c r="L161" i="3"/>
  <c r="O172" i="3"/>
  <c r="O236" i="3"/>
  <c r="M56" i="3"/>
  <c r="L56" i="3"/>
  <c r="L128" i="3"/>
  <c r="L188" i="3"/>
  <c r="L123" i="3"/>
  <c r="L115" i="3"/>
  <c r="L183" i="3"/>
  <c r="P44" i="3"/>
  <c r="P68" i="3"/>
  <c r="F216" i="2"/>
  <c r="O26" i="3"/>
  <c r="O190" i="3"/>
  <c r="L94" i="3"/>
  <c r="L66" i="3"/>
  <c r="L146" i="3"/>
  <c r="L210" i="3"/>
  <c r="F92" i="2"/>
  <c r="L49" i="3"/>
  <c r="M149" i="3"/>
  <c r="L149" i="3"/>
  <c r="L137" i="3"/>
  <c r="F108" i="2"/>
  <c r="M11" i="3"/>
  <c r="L11" i="3"/>
  <c r="O47" i="3"/>
  <c r="O195" i="3"/>
  <c r="O203" i="3"/>
  <c r="F241" i="2"/>
  <c r="O41" i="3"/>
  <c r="O45" i="3"/>
  <c r="F184" i="2"/>
  <c r="L232" i="3"/>
  <c r="L96" i="3"/>
  <c r="F176" i="2"/>
  <c r="O15" i="3"/>
  <c r="L100" i="3"/>
  <c r="O164" i="3"/>
  <c r="M32" i="3"/>
  <c r="L32" i="3"/>
  <c r="L104" i="3"/>
  <c r="L192" i="3"/>
  <c r="F120" i="2"/>
  <c r="M31" i="3"/>
  <c r="L31" i="3"/>
  <c r="L139" i="3"/>
  <c r="L187" i="3"/>
  <c r="P84" i="3"/>
  <c r="O194" i="3"/>
  <c r="L34" i="3"/>
  <c r="L42" i="3"/>
  <c r="L150" i="3"/>
  <c r="L214" i="3"/>
  <c r="P23" i="3"/>
  <c r="L69" i="3"/>
  <c r="M69" i="3"/>
  <c r="M141" i="3"/>
  <c r="L141" i="3"/>
  <c r="L177" i="3"/>
  <c r="F208" i="2"/>
  <c r="O67" i="3"/>
  <c r="O123" i="3"/>
  <c r="O167" i="3"/>
  <c r="F233" i="2"/>
  <c r="M3" i="3"/>
  <c r="L3" i="3"/>
  <c r="L41" i="3"/>
  <c r="F172" i="2"/>
  <c r="L28" i="3"/>
  <c r="L114" i="3"/>
  <c r="L110" i="3"/>
  <c r="L92" i="3"/>
  <c r="P48" i="3"/>
  <c r="L46" i="3"/>
  <c r="P11" i="3"/>
  <c r="M72" i="3"/>
  <c r="L72" i="3"/>
  <c r="L124" i="3"/>
  <c r="L196" i="3"/>
  <c r="M35" i="3"/>
  <c r="L35" i="3"/>
  <c r="L143" i="3"/>
  <c r="L191" i="3"/>
  <c r="P64" i="3"/>
  <c r="O46" i="3"/>
  <c r="O109" i="3"/>
  <c r="O165" i="3"/>
  <c r="L130" i="3"/>
  <c r="L98" i="3"/>
  <c r="L154" i="3"/>
  <c r="L218" i="3"/>
  <c r="L21" i="3"/>
  <c r="L85" i="3"/>
  <c r="M145" i="3"/>
  <c r="L145" i="3"/>
  <c r="L213" i="3"/>
  <c r="E87" i="2"/>
  <c r="F87" i="3" s="1"/>
  <c r="E79" i="2"/>
  <c r="F79" i="3" s="1"/>
  <c r="E71" i="2"/>
  <c r="F71" i="3" s="1"/>
  <c r="E63" i="2"/>
  <c r="F63" i="3" s="1"/>
  <c r="E55" i="2"/>
  <c r="F55" i="3" s="1"/>
  <c r="E47" i="2"/>
  <c r="F47" i="3" s="1"/>
  <c r="E39" i="2"/>
  <c r="E95" i="2"/>
  <c r="F95" i="3" s="1"/>
  <c r="E91" i="2"/>
  <c r="F91" i="3" s="1"/>
  <c r="E83" i="2"/>
  <c r="F83" i="3" s="1"/>
  <c r="E75" i="2"/>
  <c r="F75" i="3" s="1"/>
  <c r="E67" i="2"/>
  <c r="F67" i="3" s="1"/>
  <c r="E59" i="2"/>
  <c r="F59" i="3" s="1"/>
  <c r="E51" i="2"/>
  <c r="F51" i="3" s="1"/>
  <c r="E43" i="2"/>
  <c r="F43" i="3" s="1"/>
  <c r="E99" i="2"/>
  <c r="F99" i="3" s="1"/>
  <c r="F148" i="2"/>
  <c r="G12" i="3"/>
  <c r="N12" i="3" s="1"/>
  <c r="P12" i="3" s="1"/>
  <c r="G8" i="3"/>
  <c r="N8" i="3" s="1"/>
  <c r="P8" i="3" s="1"/>
  <c r="O127" i="3"/>
  <c r="O79" i="3"/>
  <c r="O183" i="3"/>
  <c r="F225" i="2"/>
  <c r="M27" i="3"/>
  <c r="L27" i="3"/>
  <c r="E103" i="2"/>
  <c r="F103" i="3" s="1"/>
  <c r="L151" i="3"/>
  <c r="L163" i="3"/>
  <c r="M40" i="3"/>
  <c r="L40" i="3"/>
  <c r="O71" i="3"/>
  <c r="O180" i="3"/>
  <c r="L2" i="6"/>
  <c r="L13" i="6" s="1"/>
  <c r="J13" i="6"/>
  <c r="I13" i="6" s="1"/>
  <c r="F112" i="2"/>
  <c r="L79" i="3"/>
  <c r="M52" i="3"/>
  <c r="L52" i="3"/>
  <c r="L136" i="3"/>
  <c r="L200" i="3"/>
  <c r="F188" i="2"/>
  <c r="L39" i="3"/>
  <c r="L147" i="3"/>
  <c r="L195" i="3"/>
  <c r="N88" i="3"/>
  <c r="P88" i="3" s="1"/>
  <c r="F236" i="2"/>
  <c r="O202" i="3"/>
  <c r="O89" i="3"/>
  <c r="L30" i="3"/>
  <c r="L62" i="3"/>
  <c r="L158" i="3"/>
  <c r="L222" i="3"/>
  <c r="P19" i="3"/>
  <c r="L125" i="3"/>
  <c r="M101" i="3"/>
  <c r="L101" i="3"/>
  <c r="M209" i="3"/>
  <c r="L209" i="3"/>
  <c r="O43" i="3"/>
  <c r="O99" i="3"/>
  <c r="O199" i="3"/>
  <c r="F217" i="2"/>
  <c r="P35" i="3"/>
  <c r="O20" i="3"/>
  <c r="P20" i="3" s="1"/>
  <c r="L228" i="3"/>
  <c r="L241" i="3"/>
  <c r="L71" i="3"/>
  <c r="O223" i="3"/>
  <c r="L95" i="3"/>
  <c r="L109" i="3"/>
  <c r="L180" i="3"/>
  <c r="L93" i="3"/>
  <c r="O48" i="3"/>
  <c r="O40" i="3"/>
  <c r="M44" i="3"/>
  <c r="L44" i="3"/>
  <c r="L140" i="3"/>
  <c r="L204" i="3"/>
  <c r="L43" i="3"/>
  <c r="L111" i="3"/>
  <c r="L199" i="3"/>
  <c r="P40" i="3"/>
  <c r="F228" i="2"/>
  <c r="P7" i="3"/>
  <c r="O81" i="3"/>
  <c r="O185" i="3"/>
  <c r="O197" i="3"/>
  <c r="L86" i="3"/>
  <c r="L122" i="3"/>
  <c r="L162" i="3"/>
  <c r="L226" i="3"/>
  <c r="L17" i="3"/>
  <c r="L45" i="3"/>
  <c r="L193" i="3"/>
  <c r="L217" i="3"/>
  <c r="O95" i="3"/>
  <c r="O155" i="3"/>
  <c r="O171" i="3"/>
  <c r="F209" i="2"/>
  <c r="O16" i="3"/>
  <c r="P16" i="3" s="1"/>
  <c r="L67" i="3"/>
  <c r="L18" i="3"/>
  <c r="L120" i="3"/>
  <c r="F136" i="2"/>
  <c r="O228" i="3"/>
  <c r="O168" i="3"/>
  <c r="O76" i="3"/>
  <c r="P76" i="3" s="1"/>
  <c r="O96" i="3"/>
  <c r="M80" i="3"/>
  <c r="L80" i="3"/>
  <c r="O100" i="3"/>
  <c r="P24" i="3"/>
  <c r="L4" i="3"/>
  <c r="M4" i="3"/>
  <c r="L144" i="3"/>
  <c r="L208" i="3"/>
  <c r="L47" i="3"/>
  <c r="L87" i="3"/>
  <c r="L203" i="3"/>
  <c r="P60" i="3"/>
  <c r="F220" i="2"/>
  <c r="O58" i="3"/>
  <c r="O118" i="3"/>
  <c r="L90" i="3"/>
  <c r="O129" i="3"/>
  <c r="L50" i="3"/>
  <c r="L38" i="3"/>
  <c r="L166" i="3"/>
  <c r="L230" i="3"/>
  <c r="P15" i="3"/>
  <c r="L65" i="3"/>
  <c r="M97" i="3"/>
  <c r="L97" i="3"/>
  <c r="M221" i="3"/>
  <c r="L221" i="3"/>
  <c r="G28" i="3"/>
  <c r="N28" i="3" s="1"/>
  <c r="P28" i="3" s="1"/>
  <c r="O63" i="3"/>
  <c r="O115" i="3"/>
  <c r="O191" i="3"/>
  <c r="E131" i="2"/>
  <c r="F131" i="3" s="1"/>
  <c r="L231" i="3"/>
  <c r="L83" i="3"/>
  <c r="L138" i="3"/>
  <c r="O92" i="3"/>
  <c r="L54" i="3"/>
  <c r="G15" i="1"/>
  <c r="G16" i="1" s="1"/>
  <c r="G14" i="1"/>
  <c r="M68" i="3"/>
  <c r="L68" i="3"/>
  <c r="L8" i="3"/>
  <c r="L148" i="3"/>
  <c r="L212" i="3"/>
  <c r="O68" i="3"/>
  <c r="F128" i="2"/>
  <c r="L51" i="3"/>
  <c r="L107" i="3"/>
  <c r="L207" i="3"/>
  <c r="F212" i="2"/>
  <c r="O74" i="3"/>
  <c r="M23" i="3"/>
  <c r="L23" i="3"/>
  <c r="O33" i="3"/>
  <c r="L2" i="3"/>
  <c r="L106" i="3"/>
  <c r="L170" i="3"/>
  <c r="L234" i="3"/>
  <c r="F96" i="2"/>
  <c r="L61" i="3"/>
  <c r="L77" i="3"/>
  <c r="L117" i="3"/>
  <c r="L225" i="3"/>
  <c r="L25" i="3"/>
  <c r="O39" i="3"/>
  <c r="O143" i="3"/>
  <c r="O135" i="3"/>
  <c r="F192" i="2"/>
  <c r="P3" i="3"/>
  <c r="E135" i="2"/>
  <c r="F135" i="3" s="1"/>
  <c r="L169" i="3"/>
  <c r="F132" i="2"/>
  <c r="L103" i="3"/>
  <c r="L236" i="3"/>
  <c r="L197" i="3"/>
  <c r="L239" i="3"/>
  <c r="L202" i="3"/>
  <c r="L108" i="3"/>
  <c r="M12" i="3"/>
  <c r="L12" i="3"/>
  <c r="L152" i="3"/>
  <c r="L216" i="3"/>
  <c r="L58" i="3"/>
  <c r="L55" i="3"/>
  <c r="L127" i="3"/>
  <c r="L211" i="3"/>
  <c r="P36" i="3"/>
  <c r="F204" i="2"/>
  <c r="O114" i="3"/>
  <c r="O169" i="3"/>
  <c r="L6" i="3"/>
  <c r="L126" i="3"/>
  <c r="L174" i="3"/>
  <c r="L238" i="3"/>
  <c r="O28" i="3"/>
  <c r="L37" i="3"/>
  <c r="M113" i="3"/>
  <c r="L113" i="3"/>
  <c r="M181" i="3"/>
  <c r="L181" i="3"/>
  <c r="L229" i="3"/>
  <c r="G241" i="3"/>
  <c r="N241" i="3" s="1"/>
  <c r="G237" i="3"/>
  <c r="N237" i="3" s="1"/>
  <c r="P237" i="3" s="1"/>
  <c r="G233" i="3"/>
  <c r="N233" i="3" s="1"/>
  <c r="P233" i="3" s="1"/>
  <c r="G229" i="3"/>
  <c r="N229" i="3" s="1"/>
  <c r="P229" i="3" s="1"/>
  <c r="G225" i="3"/>
  <c r="N225" i="3" s="1"/>
  <c r="P225" i="3" s="1"/>
  <c r="G221" i="3"/>
  <c r="N221" i="3" s="1"/>
  <c r="P221" i="3" s="1"/>
  <c r="G217" i="3"/>
  <c r="N217" i="3" s="1"/>
  <c r="P217" i="3" s="1"/>
  <c r="G213" i="3"/>
  <c r="N213" i="3" s="1"/>
  <c r="P213" i="3" s="1"/>
  <c r="G209" i="3"/>
  <c r="N209" i="3" s="1"/>
  <c r="P209" i="3" s="1"/>
  <c r="G205" i="3"/>
  <c r="N205" i="3" s="1"/>
  <c r="P205" i="3" s="1"/>
  <c r="G201" i="3"/>
  <c r="N201" i="3" s="1"/>
  <c r="P201" i="3" s="1"/>
  <c r="G197" i="3"/>
  <c r="N197" i="3" s="1"/>
  <c r="P197" i="3" s="1"/>
  <c r="G193" i="3"/>
  <c r="N193" i="3" s="1"/>
  <c r="P193" i="3" s="1"/>
  <c r="G189" i="3"/>
  <c r="N189" i="3" s="1"/>
  <c r="P189" i="3" s="1"/>
  <c r="G181" i="3"/>
  <c r="N181" i="3" s="1"/>
  <c r="P181" i="3" s="1"/>
  <c r="G157" i="3"/>
  <c r="N157" i="3" s="1"/>
  <c r="P157" i="3" s="1"/>
  <c r="G177" i="3"/>
  <c r="N177" i="3" s="1"/>
  <c r="P177" i="3" s="1"/>
  <c r="G149" i="3"/>
  <c r="N149" i="3" s="1"/>
  <c r="P149" i="3" s="1"/>
  <c r="G185" i="3"/>
  <c r="N185" i="3" s="1"/>
  <c r="P185" i="3" s="1"/>
  <c r="G169" i="3"/>
  <c r="N169" i="3" s="1"/>
  <c r="P169" i="3" s="1"/>
  <c r="G133" i="3"/>
  <c r="N133" i="3" s="1"/>
  <c r="P133" i="3" s="1"/>
  <c r="G113" i="3"/>
  <c r="N113" i="3" s="1"/>
  <c r="P113" i="3" s="1"/>
  <c r="G117" i="3"/>
  <c r="N117" i="3" s="1"/>
  <c r="P117" i="3" s="1"/>
  <c r="G161" i="3"/>
  <c r="N161" i="3" s="1"/>
  <c r="P161" i="3" s="1"/>
  <c r="G121" i="3"/>
  <c r="N121" i="3" s="1"/>
  <c r="P121" i="3" s="1"/>
  <c r="G173" i="3"/>
  <c r="N173" i="3" s="1"/>
  <c r="P173" i="3" s="1"/>
  <c r="G105" i="3"/>
  <c r="N105" i="3" s="1"/>
  <c r="P105" i="3" s="1"/>
  <c r="G137" i="3"/>
  <c r="N137" i="3" s="1"/>
  <c r="P137" i="3" s="1"/>
  <c r="G85" i="3"/>
  <c r="N85" i="3" s="1"/>
  <c r="P85" i="3" s="1"/>
  <c r="G129" i="3"/>
  <c r="N129" i="3" s="1"/>
  <c r="P129" i="3" s="1"/>
  <c r="G153" i="3"/>
  <c r="N153" i="3" s="1"/>
  <c r="P153" i="3" s="1"/>
  <c r="G109" i="3"/>
  <c r="N109" i="3" s="1"/>
  <c r="P109" i="3" s="1"/>
  <c r="G165" i="3"/>
  <c r="N165" i="3" s="1"/>
  <c r="P165" i="3" s="1"/>
  <c r="G41" i="3"/>
  <c r="N41" i="3" s="1"/>
  <c r="P41" i="3" s="1"/>
  <c r="G77" i="3"/>
  <c r="N77" i="3" s="1"/>
  <c r="P77" i="3" s="1"/>
  <c r="G65" i="3"/>
  <c r="N65" i="3" s="1"/>
  <c r="P65" i="3" s="1"/>
  <c r="G45" i="3"/>
  <c r="N45" i="3" s="1"/>
  <c r="P45" i="3" s="1"/>
  <c r="G101" i="3"/>
  <c r="N101" i="3" s="1"/>
  <c r="P101" i="3" s="1"/>
  <c r="G145" i="3"/>
  <c r="N145" i="3" s="1"/>
  <c r="P145" i="3" s="1"/>
  <c r="G125" i="3"/>
  <c r="N125" i="3" s="1"/>
  <c r="P125" i="3" s="1"/>
  <c r="G89" i="3"/>
  <c r="N89" i="3" s="1"/>
  <c r="P89" i="3" s="1"/>
  <c r="G69" i="3"/>
  <c r="N69" i="3" s="1"/>
  <c r="P69" i="3" s="1"/>
  <c r="G49" i="3"/>
  <c r="N49" i="3" s="1"/>
  <c r="P49" i="3" s="1"/>
  <c r="G25" i="3"/>
  <c r="N25" i="3" s="1"/>
  <c r="P25" i="3" s="1"/>
  <c r="G21" i="3"/>
  <c r="N21" i="3" s="1"/>
  <c r="P21" i="3" s="1"/>
  <c r="G17" i="3"/>
  <c r="N17" i="3" s="1"/>
  <c r="P17" i="3" s="1"/>
  <c r="G93" i="3"/>
  <c r="N93" i="3" s="1"/>
  <c r="P93" i="3" s="1"/>
  <c r="G29" i="3"/>
  <c r="N29" i="3" s="1"/>
  <c r="P29" i="3" s="1"/>
  <c r="G53" i="3"/>
  <c r="N53" i="3" s="1"/>
  <c r="G97" i="3"/>
  <c r="N97" i="3" s="1"/>
  <c r="P97" i="3" s="1"/>
  <c r="G33" i="3"/>
  <c r="N33" i="3" s="1"/>
  <c r="P33" i="3" s="1"/>
  <c r="G81" i="3"/>
  <c r="N81" i="3" s="1"/>
  <c r="P81" i="3" s="1"/>
  <c r="G73" i="3"/>
  <c r="N73" i="3" s="1"/>
  <c r="P73" i="3" s="1"/>
  <c r="G37" i="3"/>
  <c r="N37" i="3" s="1"/>
  <c r="P37" i="3" s="1"/>
  <c r="G141" i="3"/>
  <c r="N141" i="3" s="1"/>
  <c r="P141" i="3" s="1"/>
  <c r="G9" i="3"/>
  <c r="N9" i="3" s="1"/>
  <c r="P9" i="3" s="1"/>
  <c r="G57" i="3"/>
  <c r="N57" i="3" s="1"/>
  <c r="P57" i="3" s="1"/>
  <c r="G61" i="3"/>
  <c r="N61" i="3" s="1"/>
  <c r="P61" i="3" s="1"/>
  <c r="G5" i="3"/>
  <c r="G13" i="3"/>
  <c r="O75" i="3"/>
  <c r="O147" i="3"/>
  <c r="O175" i="3"/>
  <c r="E127" i="2"/>
  <c r="F127" i="3" s="1"/>
  <c r="L24" i="3"/>
  <c r="M24" i="3"/>
  <c r="L190" i="3"/>
  <c r="L172" i="3"/>
  <c r="L175" i="3"/>
  <c r="M64" i="3"/>
  <c r="L64" i="3"/>
  <c r="L16" i="3"/>
  <c r="M16" i="3"/>
  <c r="L156" i="3"/>
  <c r="L220" i="3"/>
  <c r="L59" i="3"/>
  <c r="L159" i="3"/>
  <c r="L215" i="3"/>
  <c r="P56" i="3"/>
  <c r="F92" i="3"/>
  <c r="F164" i="2"/>
  <c r="F104" i="2"/>
  <c r="M19" i="3"/>
  <c r="L19" i="3"/>
  <c r="O53" i="3"/>
  <c r="L10" i="3"/>
  <c r="L82" i="3"/>
  <c r="L178" i="3"/>
  <c r="M57" i="3"/>
  <c r="L57" i="3"/>
  <c r="L133" i="3"/>
  <c r="L205" i="3"/>
  <c r="M233" i="3"/>
  <c r="L233" i="3"/>
  <c r="O119" i="3"/>
  <c r="O83" i="3"/>
  <c r="O163" i="3"/>
  <c r="O211" i="3"/>
  <c r="F156" i="2"/>
  <c r="E143" i="2"/>
  <c r="F143" i="3" s="1"/>
  <c r="M76" i="3"/>
  <c r="L76" i="3"/>
  <c r="L118" i="3"/>
  <c r="L89" i="3"/>
  <c r="L75" i="3"/>
  <c r="L74" i="3"/>
  <c r="L88" i="3"/>
  <c r="M88" i="3"/>
  <c r="L20" i="3"/>
  <c r="M20" i="3"/>
  <c r="L160" i="3"/>
  <c r="L224" i="3"/>
  <c r="L63" i="3"/>
  <c r="L155" i="3"/>
  <c r="L219" i="3"/>
  <c r="F196" i="2"/>
  <c r="O54" i="3"/>
  <c r="L14" i="3"/>
  <c r="L102" i="3"/>
  <c r="L182" i="3"/>
  <c r="F168" i="2"/>
  <c r="M73" i="3"/>
  <c r="L73" i="3"/>
  <c r="M157" i="3"/>
  <c r="L157" i="3"/>
  <c r="L201" i="3"/>
  <c r="L237" i="3"/>
  <c r="O31" i="3"/>
  <c r="P31" i="3" s="1"/>
  <c r="O59" i="3"/>
  <c r="O111" i="3"/>
  <c r="O215" i="3"/>
  <c r="F124" i="2"/>
  <c r="E139" i="2"/>
  <c r="F139" i="3" s="1"/>
  <c r="G17" i="1" l="1"/>
  <c r="G18" i="1"/>
  <c r="M117" i="3"/>
  <c r="M8" i="3"/>
  <c r="M45" i="3"/>
  <c r="M93" i="3"/>
  <c r="M29" i="3"/>
  <c r="M77" i="3"/>
  <c r="M85" i="3"/>
  <c r="M9" i="3"/>
  <c r="P241" i="3"/>
  <c r="M17" i="3"/>
  <c r="P53" i="3"/>
  <c r="M109" i="3"/>
  <c r="M21" i="3"/>
  <c r="M177" i="3"/>
  <c r="M229" i="3"/>
  <c r="M169" i="3"/>
  <c r="M61" i="3"/>
  <c r="M137" i="3"/>
  <c r="M185" i="3"/>
  <c r="M28" i="3"/>
  <c r="M49" i="3"/>
  <c r="G238" i="3"/>
  <c r="G234" i="3"/>
  <c r="G230" i="3"/>
  <c r="G226" i="3"/>
  <c r="G222" i="3"/>
  <c r="G218" i="3"/>
  <c r="G194" i="3"/>
  <c r="G190" i="3"/>
  <c r="G186" i="3"/>
  <c r="G170" i="3"/>
  <c r="G198" i="3"/>
  <c r="G202" i="3"/>
  <c r="G146" i="3"/>
  <c r="G182" i="3"/>
  <c r="G166" i="3"/>
  <c r="G210" i="3"/>
  <c r="G178" i="3"/>
  <c r="G214" i="3"/>
  <c r="G150" i="3"/>
  <c r="G162" i="3"/>
  <c r="G174" i="3"/>
  <c r="G142" i="3"/>
  <c r="G138" i="3"/>
  <c r="G130" i="3"/>
  <c r="G206" i="3"/>
  <c r="G110" i="3"/>
  <c r="G90" i="3"/>
  <c r="G154" i="3"/>
  <c r="G114" i="3"/>
  <c r="G134" i="3"/>
  <c r="G158" i="3"/>
  <c r="G118" i="3"/>
  <c r="G122" i="3"/>
  <c r="G102" i="3"/>
  <c r="G126" i="3"/>
  <c r="G94" i="3"/>
  <c r="G82" i="3"/>
  <c r="G74" i="3"/>
  <c r="G58" i="3"/>
  <c r="G62" i="3"/>
  <c r="G98" i="3"/>
  <c r="G42" i="3"/>
  <c r="G66" i="3"/>
  <c r="G78" i="3"/>
  <c r="G46" i="3"/>
  <c r="G70" i="3"/>
  <c r="G26" i="3"/>
  <c r="G22" i="3"/>
  <c r="G18" i="3"/>
  <c r="G14" i="3"/>
  <c r="G10" i="3"/>
  <c r="G6" i="3"/>
  <c r="G106" i="3"/>
  <c r="G50" i="3"/>
  <c r="G54" i="3"/>
  <c r="G34" i="3"/>
  <c r="G86" i="3"/>
  <c r="G30" i="3"/>
  <c r="G2" i="3"/>
  <c r="G38" i="3"/>
  <c r="M37" i="3"/>
  <c r="M125" i="3"/>
  <c r="M41" i="3"/>
  <c r="M173" i="3"/>
  <c r="M237" i="3"/>
  <c r="M205" i="3"/>
  <c r="G200" i="3"/>
  <c r="G136" i="3"/>
  <c r="G128" i="3"/>
  <c r="G204" i="3"/>
  <c r="G196" i="3"/>
  <c r="G104" i="3"/>
  <c r="G100" i="3"/>
  <c r="G172" i="3"/>
  <c r="G156" i="3"/>
  <c r="G212" i="3"/>
  <c r="G192" i="3"/>
  <c r="G108" i="3"/>
  <c r="G124" i="3"/>
  <c r="G188" i="3"/>
  <c r="G132" i="3"/>
  <c r="G160" i="3"/>
  <c r="G112" i="3"/>
  <c r="G240" i="3"/>
  <c r="G184" i="3"/>
  <c r="G92" i="3"/>
  <c r="G120" i="3"/>
  <c r="G236" i="3"/>
  <c r="G168" i="3"/>
  <c r="G180" i="3"/>
  <c r="G140" i="3"/>
  <c r="G208" i="3"/>
  <c r="G164" i="3"/>
  <c r="G232" i="3"/>
  <c r="G152" i="3"/>
  <c r="G116" i="3"/>
  <c r="G220" i="3"/>
  <c r="G228" i="3"/>
  <c r="G176" i="3"/>
  <c r="G224" i="3"/>
  <c r="G144" i="3"/>
  <c r="G96" i="3"/>
  <c r="G216" i="3"/>
  <c r="G148" i="3"/>
  <c r="M105" i="3"/>
  <c r="M33" i="3"/>
  <c r="M165" i="3"/>
  <c r="F39" i="3"/>
  <c r="F43" i="2"/>
  <c r="F223" i="2"/>
  <c r="F147" i="2"/>
  <c r="F139" i="2"/>
  <c r="F207" i="2"/>
  <c r="F71" i="2"/>
  <c r="F59" i="2"/>
  <c r="F215" i="2"/>
  <c r="F79" i="2"/>
  <c r="F239" i="2"/>
  <c r="F87" i="2"/>
  <c r="F39" i="2"/>
  <c r="F51" i="2"/>
  <c r="F67" i="2"/>
  <c r="F63" i="2"/>
  <c r="F131" i="2"/>
  <c r="F47" i="2"/>
  <c r="F191" i="2"/>
  <c r="F155" i="2"/>
  <c r="F55" i="2"/>
  <c r="F199" i="2"/>
  <c r="F231" i="2"/>
  <c r="F227" i="2"/>
  <c r="F183" i="2"/>
  <c r="F235" i="2"/>
  <c r="F195" i="2"/>
  <c r="F75" i="2"/>
  <c r="F111" i="2"/>
  <c r="F143" i="2"/>
  <c r="F127" i="2"/>
  <c r="F167" i="2"/>
  <c r="F175" i="2"/>
  <c r="F107" i="2"/>
  <c r="F159" i="2"/>
  <c r="F119" i="2"/>
  <c r="F95" i="2"/>
  <c r="F219" i="2"/>
  <c r="F187" i="2"/>
  <c r="F179" i="2"/>
  <c r="F115" i="2"/>
  <c r="F151" i="2"/>
  <c r="F103" i="2"/>
  <c r="F123" i="2"/>
  <c r="F99" i="2"/>
  <c r="F135" i="2"/>
  <c r="F171" i="2"/>
  <c r="F163" i="2"/>
  <c r="F91" i="2"/>
  <c r="F211" i="2"/>
  <c r="F203" i="2"/>
  <c r="F83" i="2"/>
  <c r="N5" i="3"/>
  <c r="P5" i="3" s="1"/>
  <c r="M5" i="3"/>
  <c r="M65" i="3"/>
  <c r="M189" i="3"/>
  <c r="N13" i="3"/>
  <c r="P13" i="3" s="1"/>
  <c r="M13" i="3"/>
  <c r="M201" i="3"/>
  <c r="M25" i="3"/>
  <c r="M217" i="3"/>
  <c r="M241" i="3"/>
  <c r="M89" i="3"/>
  <c r="M133" i="3"/>
  <c r="M197" i="3"/>
  <c r="M213" i="3"/>
  <c r="M129" i="3"/>
  <c r="M225" i="3"/>
  <c r="M193" i="3"/>
  <c r="M53" i="3"/>
  <c r="M121" i="3"/>
  <c r="M81" i="3"/>
  <c r="M153" i="3"/>
  <c r="N148" i="3" l="1"/>
  <c r="P148" i="3" s="1"/>
  <c r="M148" i="3"/>
  <c r="N34" i="3"/>
  <c r="P34" i="3" s="1"/>
  <c r="M34" i="3"/>
  <c r="N194" i="3"/>
  <c r="P194" i="3" s="1"/>
  <c r="M194" i="3"/>
  <c r="N96" i="3"/>
  <c r="P96" i="3" s="1"/>
  <c r="M96" i="3"/>
  <c r="N92" i="3"/>
  <c r="P92" i="3" s="1"/>
  <c r="M92" i="3"/>
  <c r="N204" i="3"/>
  <c r="P204" i="3" s="1"/>
  <c r="M204" i="3"/>
  <c r="N50" i="3"/>
  <c r="P50" i="3" s="1"/>
  <c r="M50" i="3"/>
  <c r="N74" i="3"/>
  <c r="P74" i="3" s="1"/>
  <c r="M74" i="3"/>
  <c r="N142" i="3"/>
  <c r="P142" i="3" s="1"/>
  <c r="M142" i="3"/>
  <c r="N218" i="3"/>
  <c r="P218" i="3" s="1"/>
  <c r="M218" i="3"/>
  <c r="N104" i="3"/>
  <c r="P104" i="3" s="1"/>
  <c r="M104" i="3"/>
  <c r="N144" i="3"/>
  <c r="P144" i="3" s="1"/>
  <c r="M144" i="3"/>
  <c r="N184" i="3"/>
  <c r="P184" i="3" s="1"/>
  <c r="M184" i="3"/>
  <c r="N128" i="3"/>
  <c r="P128" i="3" s="1"/>
  <c r="M128" i="3"/>
  <c r="N106" i="3"/>
  <c r="P106" i="3" s="1"/>
  <c r="M106" i="3"/>
  <c r="N82" i="3"/>
  <c r="P82" i="3" s="1"/>
  <c r="M82" i="3"/>
  <c r="N174" i="3"/>
  <c r="P174" i="3" s="1"/>
  <c r="M174" i="3"/>
  <c r="N222" i="3"/>
  <c r="P222" i="3" s="1"/>
  <c r="M222" i="3"/>
  <c r="N224" i="3"/>
  <c r="P224" i="3" s="1"/>
  <c r="M224" i="3"/>
  <c r="N240" i="3"/>
  <c r="P240" i="3" s="1"/>
  <c r="M240" i="3"/>
  <c r="N136" i="3"/>
  <c r="P136" i="3" s="1"/>
  <c r="M136" i="3"/>
  <c r="N6" i="3"/>
  <c r="P6" i="3" s="1"/>
  <c r="M6" i="3"/>
  <c r="N94" i="3"/>
  <c r="P94" i="3" s="1"/>
  <c r="M94" i="3"/>
  <c r="N162" i="3"/>
  <c r="P162" i="3" s="1"/>
  <c r="M162" i="3"/>
  <c r="N226" i="3"/>
  <c r="P226" i="3" s="1"/>
  <c r="M226" i="3"/>
  <c r="N190" i="3"/>
  <c r="P190" i="3" s="1"/>
  <c r="M190" i="3"/>
  <c r="N138" i="3"/>
  <c r="P138" i="3" s="1"/>
  <c r="M138" i="3"/>
  <c r="N176" i="3"/>
  <c r="P176" i="3" s="1"/>
  <c r="M176" i="3"/>
  <c r="N112" i="3"/>
  <c r="P112" i="3" s="1"/>
  <c r="M112" i="3"/>
  <c r="N200" i="3"/>
  <c r="P200" i="3" s="1"/>
  <c r="M200" i="3"/>
  <c r="N10" i="3"/>
  <c r="P10" i="3" s="1"/>
  <c r="M10" i="3"/>
  <c r="N126" i="3"/>
  <c r="P126" i="3" s="1"/>
  <c r="M126" i="3"/>
  <c r="N150" i="3"/>
  <c r="P150" i="3" s="1"/>
  <c r="M150" i="3"/>
  <c r="N230" i="3"/>
  <c r="P230" i="3" s="1"/>
  <c r="M230" i="3"/>
  <c r="N168" i="3"/>
  <c r="P168" i="3" s="1"/>
  <c r="M168" i="3"/>
  <c r="N130" i="3"/>
  <c r="P130" i="3" s="1"/>
  <c r="M130" i="3"/>
  <c r="N54" i="3"/>
  <c r="P54" i="3" s="1"/>
  <c r="M54" i="3"/>
  <c r="N228" i="3"/>
  <c r="P228" i="3" s="1"/>
  <c r="M228" i="3"/>
  <c r="N160" i="3"/>
  <c r="P160" i="3" s="1"/>
  <c r="M160" i="3"/>
  <c r="N14" i="3"/>
  <c r="P14" i="3" s="1"/>
  <c r="M14" i="3"/>
  <c r="N102" i="3"/>
  <c r="P102" i="3" s="1"/>
  <c r="M102" i="3"/>
  <c r="N214" i="3"/>
  <c r="P214" i="3" s="1"/>
  <c r="M214" i="3"/>
  <c r="N234" i="3"/>
  <c r="P234" i="3" s="1"/>
  <c r="M234" i="3"/>
  <c r="N220" i="3"/>
  <c r="P220" i="3" s="1"/>
  <c r="M220" i="3"/>
  <c r="N132" i="3"/>
  <c r="P132" i="3" s="1"/>
  <c r="M132" i="3"/>
  <c r="N18" i="3"/>
  <c r="P18" i="3" s="1"/>
  <c r="M18" i="3"/>
  <c r="N122" i="3"/>
  <c r="P122" i="3" s="1"/>
  <c r="M122" i="3"/>
  <c r="N178" i="3"/>
  <c r="P178" i="3" s="1"/>
  <c r="M178" i="3"/>
  <c r="N238" i="3"/>
  <c r="P238" i="3" s="1"/>
  <c r="M238" i="3"/>
  <c r="N186" i="3"/>
  <c r="P186" i="3" s="1"/>
  <c r="M186" i="3"/>
  <c r="N62" i="3"/>
  <c r="P62" i="3" s="1"/>
  <c r="M62" i="3"/>
  <c r="N58" i="3"/>
  <c r="P58" i="3" s="1"/>
  <c r="M58" i="3"/>
  <c r="N116" i="3"/>
  <c r="P116" i="3" s="1"/>
  <c r="M116" i="3"/>
  <c r="N188" i="3"/>
  <c r="P188" i="3" s="1"/>
  <c r="M188" i="3"/>
  <c r="N22" i="3"/>
  <c r="P22" i="3" s="1"/>
  <c r="M22" i="3"/>
  <c r="N118" i="3"/>
  <c r="P118" i="3" s="1"/>
  <c r="M118" i="3"/>
  <c r="N210" i="3"/>
  <c r="P210" i="3" s="1"/>
  <c r="M210" i="3"/>
  <c r="N236" i="3"/>
  <c r="P236" i="3" s="1"/>
  <c r="M236" i="3"/>
  <c r="N120" i="3"/>
  <c r="P120" i="3" s="1"/>
  <c r="M120" i="3"/>
  <c r="N152" i="3"/>
  <c r="P152" i="3" s="1"/>
  <c r="M152" i="3"/>
  <c r="N124" i="3"/>
  <c r="P124" i="3" s="1"/>
  <c r="M124" i="3"/>
  <c r="N26" i="3"/>
  <c r="P26" i="3" s="1"/>
  <c r="M26" i="3"/>
  <c r="N158" i="3"/>
  <c r="P158" i="3" s="1"/>
  <c r="M158" i="3"/>
  <c r="N166" i="3"/>
  <c r="P166" i="3" s="1"/>
  <c r="M166" i="3"/>
  <c r="N86" i="3"/>
  <c r="P86" i="3" s="1"/>
  <c r="M86" i="3"/>
  <c r="N232" i="3"/>
  <c r="P232" i="3" s="1"/>
  <c r="M232" i="3"/>
  <c r="N108" i="3"/>
  <c r="P108" i="3" s="1"/>
  <c r="M108" i="3"/>
  <c r="N70" i="3"/>
  <c r="P70" i="3" s="1"/>
  <c r="M70" i="3"/>
  <c r="N134" i="3"/>
  <c r="P134" i="3" s="1"/>
  <c r="M134" i="3"/>
  <c r="N182" i="3"/>
  <c r="P182" i="3" s="1"/>
  <c r="M182" i="3"/>
  <c r="N164" i="3"/>
  <c r="P164" i="3" s="1"/>
  <c r="M164" i="3"/>
  <c r="N192" i="3"/>
  <c r="P192" i="3" s="1"/>
  <c r="M192" i="3"/>
  <c r="N46" i="3"/>
  <c r="P46" i="3" s="1"/>
  <c r="M46" i="3"/>
  <c r="N114" i="3"/>
  <c r="P114" i="3" s="1"/>
  <c r="M114" i="3"/>
  <c r="N146" i="3"/>
  <c r="P146" i="3" s="1"/>
  <c r="M146" i="3"/>
  <c r="N98" i="3"/>
  <c r="P98" i="3" s="1"/>
  <c r="M98" i="3"/>
  <c r="G219" i="3"/>
  <c r="G131" i="3"/>
  <c r="G139" i="3"/>
  <c r="G215" i="3"/>
  <c r="G127" i="3"/>
  <c r="G151" i="3"/>
  <c r="G211" i="3"/>
  <c r="G123" i="3"/>
  <c r="G135" i="3"/>
  <c r="G207" i="3"/>
  <c r="G119" i="3"/>
  <c r="G155" i="3"/>
  <c r="G203" i="3"/>
  <c r="G115" i="3"/>
  <c r="G143" i="3"/>
  <c r="G199" i="3"/>
  <c r="G111" i="3"/>
  <c r="G55" i="3"/>
  <c r="G195" i="3"/>
  <c r="G107" i="3"/>
  <c r="G71" i="3"/>
  <c r="G191" i="3"/>
  <c r="G103" i="3"/>
  <c r="G59" i="3"/>
  <c r="G223" i="3"/>
  <c r="G187" i="3"/>
  <c r="G99" i="3"/>
  <c r="G75" i="3"/>
  <c r="G227" i="3"/>
  <c r="G183" i="3"/>
  <c r="G95" i="3"/>
  <c r="G39" i="3"/>
  <c r="G47" i="3"/>
  <c r="G51" i="3"/>
  <c r="G179" i="3"/>
  <c r="G91" i="3"/>
  <c r="G63" i="3"/>
  <c r="G163" i="3"/>
  <c r="G239" i="3"/>
  <c r="G175" i="3"/>
  <c r="G87" i="3"/>
  <c r="G43" i="3"/>
  <c r="G147" i="3"/>
  <c r="G235" i="3"/>
  <c r="G171" i="3"/>
  <c r="G83" i="3"/>
  <c r="G67" i="3"/>
  <c r="G231" i="3"/>
  <c r="G167" i="3"/>
  <c r="G79" i="3"/>
  <c r="G159" i="3"/>
  <c r="N208" i="3"/>
  <c r="P208" i="3" s="1"/>
  <c r="M208" i="3"/>
  <c r="N212" i="3"/>
  <c r="P212" i="3" s="1"/>
  <c r="M212" i="3"/>
  <c r="N38" i="3"/>
  <c r="P38" i="3" s="1"/>
  <c r="M38" i="3"/>
  <c r="N78" i="3"/>
  <c r="P78" i="3" s="1"/>
  <c r="M78" i="3"/>
  <c r="N154" i="3"/>
  <c r="P154" i="3" s="1"/>
  <c r="M154" i="3"/>
  <c r="N202" i="3"/>
  <c r="P202" i="3" s="1"/>
  <c r="M202" i="3"/>
  <c r="N100" i="3"/>
  <c r="P100" i="3" s="1"/>
  <c r="M100" i="3"/>
  <c r="N216" i="3"/>
  <c r="P216" i="3" s="1"/>
  <c r="M216" i="3"/>
  <c r="N140" i="3"/>
  <c r="P140" i="3" s="1"/>
  <c r="M140" i="3"/>
  <c r="N156" i="3"/>
  <c r="P156" i="3" s="1"/>
  <c r="M156" i="3"/>
  <c r="N2" i="3"/>
  <c r="P2" i="3" s="1"/>
  <c r="M2" i="3"/>
  <c r="N66" i="3"/>
  <c r="P66" i="3" s="1"/>
  <c r="M66" i="3"/>
  <c r="N90" i="3"/>
  <c r="P90" i="3" s="1"/>
  <c r="M90" i="3"/>
  <c r="N198" i="3"/>
  <c r="P198" i="3" s="1"/>
  <c r="M198" i="3"/>
  <c r="N206" i="3"/>
  <c r="P206" i="3" s="1"/>
  <c r="M206" i="3"/>
  <c r="N196" i="3"/>
  <c r="P196" i="3" s="1"/>
  <c r="M196" i="3"/>
  <c r="N180" i="3"/>
  <c r="P180" i="3" s="1"/>
  <c r="M180" i="3"/>
  <c r="N172" i="3"/>
  <c r="P172" i="3" s="1"/>
  <c r="M172" i="3"/>
  <c r="N30" i="3"/>
  <c r="P30" i="3" s="1"/>
  <c r="M30" i="3"/>
  <c r="N42" i="3"/>
  <c r="P42" i="3" s="1"/>
  <c r="M42" i="3"/>
  <c r="N110" i="3"/>
  <c r="P110" i="3" s="1"/>
  <c r="M110" i="3"/>
  <c r="N170" i="3"/>
  <c r="P170" i="3" s="1"/>
  <c r="M170" i="3"/>
  <c r="N175" i="3" l="1"/>
  <c r="P175" i="3" s="1"/>
  <c r="M175" i="3"/>
  <c r="N151" i="3"/>
  <c r="P151" i="3" s="1"/>
  <c r="M151" i="3"/>
  <c r="N63" i="3"/>
  <c r="P63" i="3" s="1"/>
  <c r="M63" i="3"/>
  <c r="N71" i="3"/>
  <c r="P71" i="3" s="1"/>
  <c r="M71" i="3"/>
  <c r="N127" i="3"/>
  <c r="P127" i="3" s="1"/>
  <c r="M127" i="3"/>
  <c r="N91" i="3"/>
  <c r="P91" i="3" s="1"/>
  <c r="M91" i="3"/>
  <c r="N107" i="3"/>
  <c r="P107" i="3" s="1"/>
  <c r="M107" i="3"/>
  <c r="N215" i="3"/>
  <c r="P215" i="3" s="1"/>
  <c r="M215" i="3"/>
  <c r="N195" i="3"/>
  <c r="P195" i="3" s="1"/>
  <c r="M195" i="3"/>
  <c r="N79" i="3"/>
  <c r="P79" i="3" s="1"/>
  <c r="M79" i="3"/>
  <c r="N51" i="3"/>
  <c r="P51" i="3" s="1"/>
  <c r="M51" i="3"/>
  <c r="N55" i="3"/>
  <c r="P55" i="3" s="1"/>
  <c r="M55" i="3"/>
  <c r="N131" i="3"/>
  <c r="P131" i="3" s="1"/>
  <c r="M131" i="3"/>
  <c r="N123" i="3"/>
  <c r="P123" i="3" s="1"/>
  <c r="M123" i="3"/>
  <c r="N167" i="3"/>
  <c r="P167" i="3" s="1"/>
  <c r="M167" i="3"/>
  <c r="N111" i="3"/>
  <c r="P111" i="3" s="1"/>
  <c r="M111" i="3"/>
  <c r="N219" i="3"/>
  <c r="P219" i="3" s="1"/>
  <c r="M219" i="3"/>
  <c r="N163" i="3"/>
  <c r="P163" i="3" s="1"/>
  <c r="M163" i="3"/>
  <c r="N231" i="3"/>
  <c r="P231" i="3" s="1"/>
  <c r="M231" i="3"/>
  <c r="N39" i="3"/>
  <c r="P39" i="3" s="1"/>
  <c r="M39" i="3"/>
  <c r="N199" i="3"/>
  <c r="P199" i="3" s="1"/>
  <c r="M199" i="3"/>
  <c r="N59" i="3"/>
  <c r="P59" i="3" s="1"/>
  <c r="M59" i="3"/>
  <c r="N159" i="3"/>
  <c r="P159" i="3" s="1"/>
  <c r="M159" i="3"/>
  <c r="N47" i="3"/>
  <c r="P47" i="3" s="1"/>
  <c r="M47" i="3"/>
  <c r="N67" i="3"/>
  <c r="P67" i="3" s="1"/>
  <c r="M67" i="3"/>
  <c r="N95" i="3"/>
  <c r="P95" i="3" s="1"/>
  <c r="M95" i="3"/>
  <c r="N143" i="3"/>
  <c r="P143" i="3" s="1"/>
  <c r="M143" i="3"/>
  <c r="N183" i="3"/>
  <c r="P183" i="3" s="1"/>
  <c r="M183" i="3"/>
  <c r="N115" i="3"/>
  <c r="P115" i="3" s="1"/>
  <c r="M115" i="3"/>
  <c r="N191" i="3"/>
  <c r="P191" i="3" s="1"/>
  <c r="M191" i="3"/>
  <c r="N227" i="3"/>
  <c r="P227" i="3" s="1"/>
  <c r="M227" i="3"/>
  <c r="N203" i="3"/>
  <c r="P203" i="3" s="1"/>
  <c r="M203" i="3"/>
  <c r="N103" i="3"/>
  <c r="P103" i="3" s="1"/>
  <c r="M103" i="3"/>
  <c r="N139" i="3"/>
  <c r="P139" i="3" s="1"/>
  <c r="M139" i="3"/>
  <c r="N235" i="3"/>
  <c r="P235" i="3" s="1"/>
  <c r="M235" i="3"/>
  <c r="N75" i="3"/>
  <c r="P75" i="3" s="1"/>
  <c r="M75" i="3"/>
  <c r="N155" i="3"/>
  <c r="P155" i="3" s="1"/>
  <c r="M155" i="3"/>
  <c r="N211" i="3"/>
  <c r="P211" i="3" s="1"/>
  <c r="M211" i="3"/>
  <c r="N83" i="3"/>
  <c r="P83" i="3" s="1"/>
  <c r="M83" i="3"/>
  <c r="N147" i="3"/>
  <c r="P147" i="3" s="1"/>
  <c r="M147" i="3"/>
  <c r="N99" i="3"/>
  <c r="P99" i="3" s="1"/>
  <c r="M99" i="3"/>
  <c r="N119" i="3"/>
  <c r="P119" i="3" s="1"/>
  <c r="M119" i="3"/>
  <c r="N239" i="3"/>
  <c r="P239" i="3" s="1"/>
  <c r="M239" i="3"/>
  <c r="N171" i="3"/>
  <c r="P171" i="3" s="1"/>
  <c r="M171" i="3"/>
  <c r="N43" i="3"/>
  <c r="P43" i="3" s="1"/>
  <c r="M43" i="3"/>
  <c r="N187" i="3"/>
  <c r="P187" i="3" s="1"/>
  <c r="M187" i="3"/>
  <c r="N207" i="3"/>
  <c r="P207" i="3" s="1"/>
  <c r="M207" i="3"/>
  <c r="N179" i="3"/>
  <c r="P179" i="3" s="1"/>
  <c r="M179" i="3"/>
  <c r="N87" i="3"/>
  <c r="P87" i="3" s="1"/>
  <c r="M87" i="3"/>
  <c r="N223" i="3"/>
  <c r="P223" i="3" s="1"/>
  <c r="M223" i="3"/>
  <c r="N135" i="3"/>
  <c r="P135" i="3" s="1"/>
  <c r="M135" i="3"/>
</calcChain>
</file>

<file path=xl/sharedStrings.xml><?xml version="1.0" encoding="utf-8"?>
<sst xmlns="http://schemas.openxmlformats.org/spreadsheetml/2006/main" count="2164" uniqueCount="330">
  <si>
    <t>Item</t>
  </si>
  <si>
    <t>Código WBS</t>
  </si>
  <si>
    <t>Descripción de la Partida Presupuestal</t>
  </si>
  <si>
    <t>Unidad</t>
  </si>
  <si>
    <t>Metrado Meta</t>
  </si>
  <si>
    <t>P.U. Directo (S/)</t>
  </si>
  <si>
    <t>Parcial Directo (S/)</t>
  </si>
  <si>
    <t>Fecha Inicio</t>
  </si>
  <si>
    <t>Fecha Fin</t>
  </si>
  <si>
    <t>Duración (Días)</t>
  </si>
  <si>
    <t>Día Inicio Obra</t>
  </si>
  <si>
    <t>Día Fin Obra</t>
  </si>
  <si>
    <t>Tasa PV Diario (S/Día)</t>
  </si>
  <si>
    <t>01.01</t>
  </si>
  <si>
    <t>WBS-100</t>
  </si>
  <si>
    <t>Obras Preliminares y Trabajos Provisionales</t>
  </si>
  <si>
    <t>GLB</t>
  </si>
  <si>
    <t>2026-08-01</t>
  </si>
  <si>
    <t>2026-08-14</t>
  </si>
  <si>
    <t>01.02.01</t>
  </si>
  <si>
    <t>Trazo, Nivelación y Replanteo de Zanjas</t>
  </si>
  <si>
    <t>M</t>
  </si>
  <si>
    <t>01.02.02</t>
  </si>
  <si>
    <t>WBS-200</t>
  </si>
  <si>
    <t>Excavación de Zanja H=1.50m - 2.20m a Máquina (Terreno Normal)</t>
  </si>
  <si>
    <t>M3</t>
  </si>
  <si>
    <t>2026-08-10</t>
  </si>
  <si>
    <t>2026-08-25</t>
  </si>
  <si>
    <t>01.02.03</t>
  </si>
  <si>
    <t>Preparación y Colocación de Cama de Arena e=0.10m</t>
  </si>
  <si>
    <t>2026-08-12</t>
  </si>
  <si>
    <t>2026-08-28</t>
  </si>
  <si>
    <t>01.02.04</t>
  </si>
  <si>
    <t>Suministro e Instalación de Tubería PVC UF DN 200mm Serie S-20 para Alcantarillado</t>
  </si>
  <si>
    <t>2026-08-15</t>
  </si>
  <si>
    <t>2026-08-31</t>
  </si>
  <si>
    <t>01.02.05</t>
  </si>
  <si>
    <t>Relleno Compactado de Zanja en Capas de 0.20m con Maquinaria/Plancha</t>
  </si>
  <si>
    <t>2026-08-18</t>
  </si>
  <si>
    <t>2026-09-05</t>
  </si>
  <si>
    <t>01.02.06</t>
  </si>
  <si>
    <t>Construcción de Buzones Prefabricados de Concreto h=1.50m - 2.50m (Inc. Marco y Tapa)</t>
  </si>
  <si>
    <t>UND</t>
  </si>
  <si>
    <t>2026-08-22</t>
  </si>
  <si>
    <t>2026-09-10</t>
  </si>
  <si>
    <t>01.02.07</t>
  </si>
  <si>
    <t>Conexiones Domiciliarias de Alcantarillado (Caja de Registro + Acometida)</t>
  </si>
  <si>
    <t>2026-09-12</t>
  </si>
  <si>
    <t>01.03.01</t>
  </si>
  <si>
    <t>WBS-300</t>
  </si>
  <si>
    <t>Suministro e Instalación de Tubería PVC C-10 DN 110mm para Agua Potable</t>
  </si>
  <si>
    <t>01.03.02</t>
  </si>
  <si>
    <t>Conexiones Domiciliarias de Agua Potable (Caja de Agua + Abrazadera + Acometida)</t>
  </si>
  <si>
    <t>2026-09-01</t>
  </si>
  <si>
    <t>2026-09-20</t>
  </si>
  <si>
    <t>01.04.01</t>
  </si>
  <si>
    <t>WBS-400</t>
  </si>
  <si>
    <t>Pruebas Hidráulicas de Redes de Agua y Alcantarillado + Desinfección</t>
  </si>
  <si>
    <t>2026-09-17</t>
  </si>
  <si>
    <t>2026-09-29</t>
  </si>
  <si>
    <t>COSTO DIRECTO TOTAL (S/)</t>
  </si>
  <si>
    <t>GASTOS GENERALES (10.00%)</t>
  </si>
  <si>
    <t>UTILIDAD (8.00%)</t>
  </si>
  <si>
    <t>SUB TOTAL / VALOR VENTA (SIN IGV)</t>
  </si>
  <si>
    <t>IMPUESTO GENERAL A LAS VENTAS (IGV 18%)</t>
  </si>
  <si>
    <t>PRECIO TOTAL COMERCIAL DE OBRA (CON IGV)</t>
  </si>
  <si>
    <t>N° Día Obra</t>
  </si>
  <si>
    <t>Fecha Obra</t>
  </si>
  <si>
    <t>Nombre Frente WBS</t>
  </si>
  <si>
    <t>PV Diario Programado (S/)</t>
  </si>
  <si>
    <t>PV Acumulado WBS (S/)</t>
  </si>
  <si>
    <t>Obras Preliminares, Trazo y Movilización</t>
  </si>
  <si>
    <t>Red de Alcantarillado, Zanjas y Buzones</t>
  </si>
  <si>
    <t>Red de Agua Potable y Conexiones Domiciliarias</t>
  </si>
  <si>
    <t>Pruebas Hidráulicas, Desinfección y Entrega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</si>
  <si>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</si>
  <si>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</si>
  <si>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</si>
  <si>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</si>
  <si>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</si>
  <si>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</si>
  <si>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</si>
  <si>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</si>
  <si>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2026-08-11</t>
  </si>
  <si>
    <t>2026-08-13</t>
  </si>
  <si>
    <t>2026-08-16</t>
  </si>
  <si>
    <t>2026-08-17</t>
  </si>
  <si>
    <t>2026-08-19</t>
  </si>
  <si>
    <t>2026-08-20</t>
  </si>
  <si>
    <t>2026-08-21</t>
  </si>
  <si>
    <t>2026-08-23</t>
  </si>
  <si>
    <t>2026-08-24</t>
  </si>
  <si>
    <t>2026-08-26</t>
  </si>
  <si>
    <t>2026-08-27</t>
  </si>
  <si>
    <t>2026-08-29</t>
  </si>
  <si>
    <t>2026-08-30</t>
  </si>
  <si>
    <t>2026-09-02</t>
  </si>
  <si>
    <t>2026-09-03</t>
  </si>
  <si>
    <t>2026-09-04</t>
  </si>
  <si>
    <t>2026-09-06</t>
  </si>
  <si>
    <t>2026-09-07</t>
  </si>
  <si>
    <t>2026-09-08</t>
  </si>
  <si>
    <t>2026-09-09</t>
  </si>
  <si>
    <t>2026-09-11</t>
  </si>
  <si>
    <t>2026-09-13</t>
  </si>
  <si>
    <t>2026-09-14</t>
  </si>
  <si>
    <t>2026-09-15</t>
  </si>
  <si>
    <t>2026-09-16</t>
  </si>
  <si>
    <t>2026-09-18</t>
  </si>
  <si>
    <t>2026-09-19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</si>
  <si>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</si>
  <si>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</si>
  <si>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</si>
  <si>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</si>
  <si>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</si>
  <si>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</si>
  <si>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</si>
  <si>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</si>
  <si>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Presupuesto BAC (S/)</t>
  </si>
  <si>
    <t>PV Programado Día (S/)</t>
  </si>
  <si>
    <t>PV Acumulado (S/)</t>
  </si>
  <si>
    <t>EV Ejecutado Día (S/)</t>
  </si>
  <si>
    <t>EV Acumulado (S/)</t>
  </si>
  <si>
    <t>AC Costo Real Día (S/)</t>
  </si>
  <si>
    <t>AC Acumulado (S/)</t>
  </si>
  <si>
    <t>Variación Costo CV (S/)</t>
  </si>
  <si>
    <t>Variación Plazo SV (S/)</t>
  </si>
  <si>
    <t>SPI Plazo (EV/PV)</t>
  </si>
  <si>
    <t>CPI Costo (EV/AC)</t>
  </si>
  <si>
    <t>Estado Alerta WBS</t>
  </si>
  <si>
    <t>ID Registro</t>
  </si>
  <si>
    <t>Fecha</t>
  </si>
  <si>
    <t>Rol Responsable</t>
  </si>
  <si>
    <t>Código Recurso/Partida</t>
  </si>
  <si>
    <t>Descripción / Detalle</t>
  </si>
  <si>
    <t>Cantidad Campo</t>
  </si>
  <si>
    <t>P.U. (Busca en Maestro)</t>
  </si>
  <si>
    <t>Subtotal Monto (S/)</t>
  </si>
  <si>
    <t>Categoría EVM</t>
  </si>
  <si>
    <t>Origen HTML</t>
  </si>
  <si>
    <t>LOG-20260801-001</t>
  </si>
  <si>
    <t>Tareador (Bildin)</t>
  </si>
  <si>
    <t>MO_CAPATAZ</t>
  </si>
  <si>
    <t>CAPATAZ (1 pers. x 8h)</t>
  </si>
  <si>
    <t>hh</t>
  </si>
  <si>
    <t>AC_MO</t>
  </si>
  <si>
    <t>tareador.html</t>
  </si>
  <si>
    <t>LOG-20260801-002</t>
  </si>
  <si>
    <t>MO_OPERARIO</t>
  </si>
  <si>
    <t>OPERARIO (2 pers. x 8h)</t>
  </si>
  <si>
    <t>LOG-20260801-003</t>
  </si>
  <si>
    <t>MO_PEON</t>
  </si>
  <si>
    <t>PEON (4 pers. x 8h)</t>
  </si>
  <si>
    <t>LOG-20260801-004</t>
  </si>
  <si>
    <t>Almacenero</t>
  </si>
  <si>
    <t>MAT_ESTACA</t>
  </si>
  <si>
    <t>ESTACAS Y MADERA PARA TRAZO</t>
  </si>
  <si>
    <t>pza</t>
  </si>
  <si>
    <t>AC_MAT</t>
  </si>
  <si>
    <t>almacenero.html</t>
  </si>
  <si>
    <t>LOG-20260801-005</t>
  </si>
  <si>
    <t>MAT_PINTURA</t>
  </si>
  <si>
    <t>PINTURA SPRAY MARCADOR ZANJA</t>
  </si>
  <si>
    <t>gla</t>
  </si>
  <si>
    <t>LOG-20260801-006</t>
  </si>
  <si>
    <t>Administradora</t>
  </si>
  <si>
    <t>SUB_MOVILIZACION</t>
  </si>
  <si>
    <t>MOVILIZACION DE MAQUINARIA</t>
  </si>
  <si>
    <t>glb</t>
  </si>
  <si>
    <t>AC_SUB</t>
  </si>
  <si>
    <t>administradora.html</t>
  </si>
  <si>
    <t>LOG-20260801-007</t>
  </si>
  <si>
    <t>EQ_ESTACION_TOTAL</t>
  </si>
  <si>
    <t>ESTACION TOTAL TOPOGRAFICA</t>
  </si>
  <si>
    <t>hm</t>
  </si>
  <si>
    <t>AC_EQP</t>
  </si>
  <si>
    <t>LOG-20260801-008</t>
  </si>
  <si>
    <t>Ing. de Campo</t>
  </si>
  <si>
    <t>OBRAS PRELIMINARES Y PROVISIONALES (50%)</t>
  </si>
  <si>
    <t>EV_PRODUCCION</t>
  </si>
  <si>
    <t>ing_campo.html</t>
  </si>
  <si>
    <t>LOG-20260801-009</t>
  </si>
  <si>
    <t>TRAZO Y REPLANTEO INICIAL TRAMO T-1</t>
  </si>
  <si>
    <t>LOG-20260802-010</t>
  </si>
  <si>
    <t>CAPATAZ CONTROL ZANJA</t>
  </si>
  <si>
    <t>LOG-20260802-011</t>
  </si>
  <si>
    <t>OPERARIO ENTIBADO Y CAMA</t>
  </si>
  <si>
    <t>LOG-20260802-012</t>
  </si>
  <si>
    <t>PEON REPELE Y CAMA</t>
  </si>
  <si>
    <t>LOG-20260802-013</t>
  </si>
  <si>
    <t>MAT_ARENA_CAMAS</t>
  </si>
  <si>
    <t>ARENA FINA SELECCIONADA PARA CAMA</t>
  </si>
  <si>
    <t>m3</t>
  </si>
  <si>
    <t>LOG-20260802-014</t>
  </si>
  <si>
    <t>EQ_EXCAVADORA</t>
  </si>
  <si>
    <t>EXCAVADORA SOBRE ORUGAS 140 HP</t>
  </si>
  <si>
    <t>LOG-20260802-015</t>
  </si>
  <si>
    <t>EXCAVACION ZANJA H=1.5-2.2M A MAQUINA</t>
  </si>
  <si>
    <t>LOG-20260802-016</t>
  </si>
  <si>
    <t>COLOCACION CAMA DE ARENA E=0.10M</t>
  </si>
  <si>
    <t>LOG-20260803-017</t>
  </si>
  <si>
    <t>OPERARIO TUBERO ALCANTARILLADO</t>
  </si>
  <si>
    <t>LOG-20260803-018</t>
  </si>
  <si>
    <t>MO_OFICIAL</t>
  </si>
  <si>
    <t>OFICIAL COMPACTACION</t>
  </si>
  <si>
    <t>LOG-20260803-019</t>
  </si>
  <si>
    <t>PEON APOYO MONTAJE TUBERIA</t>
  </si>
  <si>
    <t>LOG-20260803-020</t>
  </si>
  <si>
    <t>MAT_TUB_PVC_200</t>
  </si>
  <si>
    <t>TUBERIA PVC UF DN 200MM S-20</t>
  </si>
  <si>
    <t>m</t>
  </si>
  <si>
    <t>LOG-20260803-021</t>
  </si>
  <si>
    <t>MAT_LUBRICANTE</t>
  </si>
  <si>
    <t>LUBRICANTE PARA TUBERIA PVC</t>
  </si>
  <si>
    <t>kg</t>
  </si>
  <si>
    <t>LOG-20260803-022</t>
  </si>
  <si>
    <t>MAT_MATERIAL_PR</t>
  </si>
  <si>
    <t>MATERIAL AFIRMADO RELLENO COMPACTADO</t>
  </si>
  <si>
    <t>LOG-20260803-023</t>
  </si>
  <si>
    <t>EQ_RETROEXCAVADORA</t>
  </si>
  <si>
    <t>RETROEXCAVADORA RELLENO Y LIMPIEZA</t>
  </si>
  <si>
    <t>LOG-20260803-024</t>
  </si>
  <si>
    <t>EQ_PLANCHA</t>
  </si>
  <si>
    <t>PLANCHA COMPACTADORA 7 HP</t>
  </si>
  <si>
    <t>LOG-20260803-025</t>
  </si>
  <si>
    <t>INSTALACION TUBERIA PVC 200MM ALCANTARILLADO</t>
  </si>
  <si>
    <t>LOG-20260803-026</t>
  </si>
  <si>
    <t>RELLENO COMPACTADO ZANJA CAPAS 0.20M</t>
  </si>
  <si>
    <t>LOG-20260804-027</t>
  </si>
  <si>
    <t>OPERARIO MONTAJE BUZONES</t>
  </si>
  <si>
    <t>LOG-20260804-028</t>
  </si>
  <si>
    <t>OPERARIO TUBERO AGUA POTABLE</t>
  </si>
  <si>
    <t>LOG-20260804-029</t>
  </si>
  <si>
    <t>PEON APERTURA ZANJA AGUA</t>
  </si>
  <si>
    <t>LOG-20260804-030</t>
  </si>
  <si>
    <t>MAT_BUZON_PREF</t>
  </si>
  <si>
    <t>BUZON PREFABRICADO DE CONCRETO H=2.0M</t>
  </si>
  <si>
    <t>und</t>
  </si>
  <si>
    <t>LOG-20260804-031</t>
  </si>
  <si>
    <t>MAT_TUB_PVC_110_AGUA</t>
  </si>
  <si>
    <t>TUBERIA PVC C-10 DN 110MM AGUA</t>
  </si>
  <si>
    <t>LOG-20260804-032</t>
  </si>
  <si>
    <t>EQ_CAMION_GRUAN</t>
  </si>
  <si>
    <t>CAMION GRUA 5 TN MONTAJE BUZONES</t>
  </si>
  <si>
    <t>LOG-20260804-033</t>
  </si>
  <si>
    <t>SUB_MONTAJE_BUZON</t>
  </si>
  <si>
    <t>SUBCONTRATO ASENTADO Y SELLADO BUZONES</t>
  </si>
  <si>
    <t>LOG-20260804-034</t>
  </si>
  <si>
    <t>CONSTRUCCION BUZONES PREFABRICADOS CONCRETO</t>
  </si>
  <si>
    <t>LOG-20260804-035</t>
  </si>
  <si>
    <t>INSTALACION TUBERIA PVC C-10 DN 110MM AGUA</t>
  </si>
  <si>
    <t>LOG-20260805-036</t>
  </si>
  <si>
    <t>OPERARIO CONEXION DOMICILIARIA ALCANTARILLADO</t>
  </si>
  <si>
    <t>LOG-20260805-037</t>
  </si>
  <si>
    <t>OPERARIO CONEXION DOMICILIARIA AGUA</t>
  </si>
  <si>
    <t>LOG-20260805-038</t>
  </si>
  <si>
    <t>OFICIAL PRUEBAS HIDRAULICAS DE RED</t>
  </si>
  <si>
    <t>LOG-20260805-039</t>
  </si>
  <si>
    <t>MAT_CAJA_REGISTRO</t>
  </si>
  <si>
    <t>CAJA DE REGISTRO PREFABRICADA 12X24</t>
  </si>
  <si>
    <t>LOG-20260805-040</t>
  </si>
  <si>
    <t>MAT_TUB_PVC_160_CONEX</t>
  </si>
  <si>
    <t>TUBERIA PVC SAL DN 160MM ACOMETIDA</t>
  </si>
  <si>
    <t>LOG-20260805-041</t>
  </si>
  <si>
    <t>MAT_CAJA_AGUA</t>
  </si>
  <si>
    <t>CAJA TERMOFORMADA MEDIDOR + ABRAZADERA</t>
  </si>
  <si>
    <t>LOG-20260805-042</t>
  </si>
  <si>
    <t>SUB_ENSAYOS_COMPAC</t>
  </si>
  <si>
    <t>SUBCONTRATO ENSAYOS DENSIDAD DE CAMPO</t>
  </si>
  <si>
    <t>LOG-20260805-043</t>
  </si>
  <si>
    <t>EQ_CAMION_CISTERNA</t>
  </si>
  <si>
    <t>CAMION CISTERNA AGUA PRUEBAS HIDRAULICAS</t>
  </si>
  <si>
    <t>LOG-20260805-044</t>
  </si>
  <si>
    <t>CONEXIONES DOMICILIARIAS ALCANTARILLADO (15 ACOMETIDAS)</t>
  </si>
  <si>
    <t>LOG-20260805-045</t>
  </si>
  <si>
    <t>CONEXIONES DOMICILIARIAS AGUA POTABLE (15 ACOMETIDAS)</t>
  </si>
  <si>
    <t>LOG-20260805-046</t>
  </si>
  <si>
    <t>PRUEBA HIDRAULICA TRAMO 1 REDES (25%)</t>
  </si>
  <si>
    <t>Código Recurso</t>
  </si>
  <si>
    <t>Descripción del Recurso / Insumo</t>
  </si>
  <si>
    <t>P.U. Meta Oficial (S/)</t>
  </si>
  <si>
    <t>CAPATAZ</t>
  </si>
  <si>
    <t>OPERARIO</t>
  </si>
  <si>
    <t>OFICIAL</t>
  </si>
  <si>
    <t>PEON</t>
  </si>
  <si>
    <t>PINTURA SPRAY MARCADOR DE ZANJA</t>
  </si>
  <si>
    <t>MAT_CORDEL</t>
  </si>
  <si>
    <t>CORDEL / NYLON</t>
  </si>
  <si>
    <t>ARENA FINA SELECCIONADA PARA CAMA E=0.10M</t>
  </si>
  <si>
    <t>TUBERIA PVC UF DN 200MM SERIE S-20 ALCANTARILLADO</t>
  </si>
  <si>
    <t>LUBRICANTE PARA TUBERIA CON ESPIGA Y CAMPANA</t>
  </si>
  <si>
    <t>MATERIAL DE PRÉSTAMO AFIRMADO PARA RELLENO COMPACTADO</t>
  </si>
  <si>
    <t>MAT_AGUA</t>
  </si>
  <si>
    <t>AGUA PARA COMPACTACIÓN Y PRUEBAS</t>
  </si>
  <si>
    <t>BUZON PREFABRICADO CONCRETO H=1.5-2.5M CON MARCO Y TAPA</t>
  </si>
  <si>
    <t>CAJA DE REGISTRO PREFABRICADA DE CONCRETO 12X24 WITH TAPA</t>
  </si>
  <si>
    <t>TUBERIA PVC SAL DN 160MM PARA ACOMETIDA ALCANTARILLADO</t>
  </si>
  <si>
    <t>TUBERIA PVC C-10 DN 110MM AGUA POTABLE</t>
  </si>
  <si>
    <t>MAT_ACCESORIOS_AGUA</t>
  </si>
  <si>
    <t>ACCESORIOS Y CODOS PVC AGUA 110MM (PROMEDIO/M)</t>
  </si>
  <si>
    <t>CAJA TERMOFORMADA PARA MEDIDOR + ABRAZADERA + LLAVE DE PASO</t>
  </si>
  <si>
    <t>MAT_TUB_HDPE_1_2</t>
  </si>
  <si>
    <t>TUBERIA HDPE 1/2 PARA ACOMETIDA AGUA</t>
  </si>
  <si>
    <t>MAT_HIPOCLORITO</t>
  </si>
  <si>
    <t>HIPOCLORITO DE CALCIO 70% PARA DESINFECCION</t>
  </si>
  <si>
    <t>MAT_CARTEL</t>
  </si>
  <si>
    <t>CARTEL DE OBRA 3.60X2.40M</t>
  </si>
  <si>
    <t>MAT_CASETA</t>
  </si>
  <si>
    <t>CASETA DE ALMACEN Y OFICINA PROVISIONAL</t>
  </si>
  <si>
    <t>RETROEXCAVADORA SOBRE LLANTAS 62 HP</t>
  </si>
  <si>
    <t>EQ_RODILLO_CAMINANTE</t>
  </si>
  <si>
    <t>RODILLO VIBRATORIO CAMINANTE 1.5 TN</t>
  </si>
  <si>
    <t>CAMION CISTERNA 4X2 (AGUA) 2,000 GLN</t>
  </si>
  <si>
    <t>CAMION GRUA 5 TN PARA MONTAJE DE BUZONES</t>
  </si>
  <si>
    <t>EQUIPO DE TOPOGRAFIA ESTACION TOTAL</t>
  </si>
  <si>
    <t>SUBCONTRATO DE MOVILIZACION Y DESMOVILIZACION DE MAQUINARIA</t>
  </si>
  <si>
    <t>SUBCONTRATO DE ENSAYOS DE DENSIDAD DE CAMPO (PROCTOR/DENSIDAD)</t>
  </si>
  <si>
    <t>SUBCONTRATO SERVICIO ASENTADO Y ANCLAJE BUZONES PREFABRICADOS</t>
  </si>
  <si>
    <t>Item Partida</t>
  </si>
  <si>
    <t>Código Partida</t>
  </si>
  <si>
    <t>Metrado Presupuesto Meta</t>
  </si>
  <si>
    <t>P.U. Directo Meta (S/)</t>
  </si>
  <si>
    <t>Presupuesto Parcial Meta (S/)</t>
  </si>
  <si>
    <t>Metrado Ejecutado Acumulado (Formulado del Campo)</t>
  </si>
  <si>
    <t>% Avance Físico Partida</t>
  </si>
  <si>
    <t>Valor Ganado EV Acumulado (S/)</t>
  </si>
  <si>
    <t>Saldo Metrado por Ejecutar</t>
  </si>
  <si>
    <t>Saldo Valor por Ejecutar (S/)</t>
  </si>
  <si>
    <t>TOTAL OBRA</t>
  </si>
  <si>
    <t>Consolidado Partidas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</si>
</sst>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C2410C"/>
        <bgColor rgb="FFC2410C"/>
      </patternFill>
    </fill>
    <fill>
      <patternFill patternType="solid">
        <fgColor rgb="FF15803D"/>
        <bgColor rgb="FF15803D"/>
      </patternFill>
    </fill>
    <fill>
      <patternFill patternType="solid">
        <fgColor rgb="FF6B21A8"/>
        <bgColor rgb="FF6B21A8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0" fillId="0" borderId="2" xfId="0" applyBorder="1"/>
    <xf numFmtId="0" fontId="1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right" vertical="center"/>
    </xf>
    <xf numFmtId="0" fontId="0" fillId="0" borderId="1" xfId="0" applyBorder="1"/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1" fillId="5" borderId="2" xfId="0" applyFont="1" applyFill="1" applyBorder="1" applyAlignment="1">
      <alignment horizontal="left" vertical="center"/>
    </xf>
    <xf numFmtId="164" fontId="1" fillId="5" borderId="2" xfId="0" applyNumberFormat="1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left" vertical="center"/>
    </xf>
    <xf numFmtId="164" fontId="1" fillId="6" borderId="2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0" fontId="1" fillId="3" borderId="0" xfId="0" applyFon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1" fillId="6" borderId="0" xfId="0" applyFont="1" applyFill="1" applyAlignment="1">
      <alignment horizontal="center" vertical="center" wrapText="1"/>
    </xf>
    <xf numFmtId="4" fontId="2" fillId="8" borderId="1" xfId="0" applyNumberFormat="1" applyFont="1" applyFill="1" applyBorder="1" applyAlignment="1">
      <alignment horizontal="right" vertical="center"/>
    </xf>
    <xf numFmtId="10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10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opLeftCell="C1" workbookViewId="0">
      <selection activeCell="C5" sqref="C5"/>
    </sheetView>
  </sheetViews>
  <sheetFormatPr baseColWidth="10" defaultColWidth="8.88671875" defaultRowHeight="14.4" x14ac:dyDescent="0.3"/>
  <cols>
    <col min="1" max="1" width="10" customWidth="1"/>
    <col min="2" max="2" width="14" customWidth="1"/>
    <col min="3" max="3" width="75.109375" bestFit="1" customWidth="1"/>
    <col min="4" max="4" width="8" customWidth="1"/>
    <col min="5" max="5" width="12" customWidth="1"/>
    <col min="6" max="6" width="14" customWidth="1"/>
    <col min="7" max="7" width="15" customWidth="1"/>
    <col min="8" max="12" width="12" customWidth="1"/>
    <col min="13" max="13" width="14" customWidth="1"/>
  </cols>
  <sheetData>
    <row r="1" spans="1:13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3">
      <c r="A2" s="2" t="s">
        <v>13</v>
      </c>
      <c r="B2" s="2" t="s">
        <v>14</v>
      </c>
      <c r="C2" s="3" t="s">
        <v>15</v>
      </c>
      <c r="D2" s="4" t="s">
        <v>16</v>
      </c>
      <c r="E2" s="5">
        <v>1</v>
      </c>
      <c r="F2" s="6">
        <v>8296.4</v>
      </c>
      <c r="G2" s="7">
        <f t="shared" ref="G2:G12" si="0">ROUND(E2*F2, 2)</f>
        <v>8296.4</v>
      </c>
      <c r="H2" s="4" t="s">
        <v>17</v>
      </c>
      <c r="I2" s="4" t="s">
        <v>18</v>
      </c>
      <c r="J2" s="4">
        <f t="shared" ref="J2:J12" si="1">(L2-K2)+1</f>
        <v>14</v>
      </c>
      <c r="K2" s="4">
        <v>1</v>
      </c>
      <c r="L2" s="4">
        <v>14</v>
      </c>
      <c r="M2" s="7">
        <f t="shared" ref="M2:M12" si="2">ROUND(G2/J2, 2)</f>
        <v>592.6</v>
      </c>
    </row>
    <row r="3" spans="1:13" ht="19.95" customHeight="1" x14ac:dyDescent="0.3">
      <c r="A3" s="2" t="s">
        <v>19</v>
      </c>
      <c r="B3" s="2" t="s">
        <v>14</v>
      </c>
      <c r="C3" s="3" t="s">
        <v>20</v>
      </c>
      <c r="D3" s="4" t="s">
        <v>21</v>
      </c>
      <c r="E3" s="5">
        <v>2400</v>
      </c>
      <c r="F3" s="6">
        <v>3.35</v>
      </c>
      <c r="G3" s="7">
        <f t="shared" si="0"/>
        <v>8040</v>
      </c>
      <c r="H3" s="4" t="s">
        <v>17</v>
      </c>
      <c r="I3" s="4" t="s">
        <v>18</v>
      </c>
      <c r="J3" s="4">
        <f t="shared" si="1"/>
        <v>14</v>
      </c>
      <c r="K3" s="4">
        <v>1</v>
      </c>
      <c r="L3" s="4">
        <v>14</v>
      </c>
      <c r="M3" s="7">
        <f t="shared" si="2"/>
        <v>574.29</v>
      </c>
    </row>
    <row r="4" spans="1:13" ht="19.95" customHeight="1" x14ac:dyDescent="0.3">
      <c r="A4" s="2" t="s">
        <v>22</v>
      </c>
      <c r="B4" s="2" t="s">
        <v>23</v>
      </c>
      <c r="C4" s="3" t="s">
        <v>24</v>
      </c>
      <c r="D4" s="4" t="s">
        <v>25</v>
      </c>
      <c r="E4" s="5">
        <v>3840</v>
      </c>
      <c r="F4" s="6">
        <v>11.66</v>
      </c>
      <c r="G4" s="7">
        <f t="shared" si="0"/>
        <v>44774.400000000001</v>
      </c>
      <c r="H4" s="4" t="s">
        <v>26</v>
      </c>
      <c r="I4" s="4" t="s">
        <v>27</v>
      </c>
      <c r="J4" s="4">
        <f t="shared" si="1"/>
        <v>16</v>
      </c>
      <c r="K4" s="4">
        <v>10</v>
      </c>
      <c r="L4" s="4">
        <v>25</v>
      </c>
      <c r="M4" s="7">
        <f t="shared" si="2"/>
        <v>2798.4</v>
      </c>
    </row>
    <row r="5" spans="1:13" ht="19.95" customHeight="1" x14ac:dyDescent="0.3">
      <c r="A5" s="2" t="s">
        <v>28</v>
      </c>
      <c r="B5" s="2" t="s">
        <v>23</v>
      </c>
      <c r="C5" s="3" t="s">
        <v>29</v>
      </c>
      <c r="D5" s="4" t="s">
        <v>21</v>
      </c>
      <c r="E5" s="5">
        <v>2400</v>
      </c>
      <c r="F5" s="6">
        <v>11.12</v>
      </c>
      <c r="G5" s="7">
        <f t="shared" si="0"/>
        <v>26688</v>
      </c>
      <c r="H5" s="4" t="s">
        <v>30</v>
      </c>
      <c r="I5" s="4" t="s">
        <v>31</v>
      </c>
      <c r="J5" s="4">
        <f t="shared" si="1"/>
        <v>17</v>
      </c>
      <c r="K5" s="4">
        <v>12</v>
      </c>
      <c r="L5" s="4">
        <v>28</v>
      </c>
      <c r="M5" s="7">
        <f t="shared" si="2"/>
        <v>1569.88</v>
      </c>
    </row>
    <row r="6" spans="1:13" ht="19.95" customHeight="1" x14ac:dyDescent="0.3">
      <c r="A6" s="2" t="s">
        <v>32</v>
      </c>
      <c r="B6" s="2" t="s">
        <v>23</v>
      </c>
      <c r="C6" s="3" t="s">
        <v>33</v>
      </c>
      <c r="D6" s="4" t="s">
        <v>21</v>
      </c>
      <c r="E6" s="5">
        <v>1400</v>
      </c>
      <c r="F6" s="6">
        <v>55.51</v>
      </c>
      <c r="G6" s="7">
        <f t="shared" si="0"/>
        <v>77714</v>
      </c>
      <c r="H6" s="4" t="s">
        <v>34</v>
      </c>
      <c r="I6" s="4" t="s">
        <v>35</v>
      </c>
      <c r="J6" s="4">
        <f t="shared" si="1"/>
        <v>17</v>
      </c>
      <c r="K6" s="4">
        <v>15</v>
      </c>
      <c r="L6" s="4">
        <v>31</v>
      </c>
      <c r="M6" s="7">
        <f t="shared" si="2"/>
        <v>4571.41</v>
      </c>
    </row>
    <row r="7" spans="1:13" ht="19.95" customHeight="1" x14ac:dyDescent="0.3">
      <c r="A7" s="2" t="s">
        <v>36</v>
      </c>
      <c r="B7" s="2" t="s">
        <v>23</v>
      </c>
      <c r="C7" s="3" t="s">
        <v>37</v>
      </c>
      <c r="D7" s="4" t="s">
        <v>25</v>
      </c>
      <c r="E7" s="5">
        <v>3300</v>
      </c>
      <c r="F7" s="6">
        <v>28.54</v>
      </c>
      <c r="G7" s="7">
        <f t="shared" si="0"/>
        <v>94182</v>
      </c>
      <c r="H7" s="4" t="s">
        <v>38</v>
      </c>
      <c r="I7" s="4" t="s">
        <v>39</v>
      </c>
      <c r="J7" s="4">
        <f t="shared" si="1"/>
        <v>19</v>
      </c>
      <c r="K7" s="4">
        <v>18</v>
      </c>
      <c r="L7" s="4">
        <v>36</v>
      </c>
      <c r="M7" s="7">
        <f t="shared" si="2"/>
        <v>4956.95</v>
      </c>
    </row>
    <row r="8" spans="1:13" ht="19.95" customHeight="1" x14ac:dyDescent="0.3">
      <c r="A8" s="2" t="s">
        <v>40</v>
      </c>
      <c r="B8" s="2" t="s">
        <v>23</v>
      </c>
      <c r="C8" s="3" t="s">
        <v>41</v>
      </c>
      <c r="D8" s="4" t="s">
        <v>42</v>
      </c>
      <c r="E8" s="5">
        <v>32</v>
      </c>
      <c r="F8" s="6">
        <v>2500.73</v>
      </c>
      <c r="G8" s="7">
        <f t="shared" si="0"/>
        <v>80023.360000000001</v>
      </c>
      <c r="H8" s="4" t="s">
        <v>43</v>
      </c>
      <c r="I8" s="4" t="s">
        <v>44</v>
      </c>
      <c r="J8" s="4">
        <f t="shared" si="1"/>
        <v>20</v>
      </c>
      <c r="K8" s="4">
        <v>22</v>
      </c>
      <c r="L8" s="4">
        <v>41</v>
      </c>
      <c r="M8" s="7">
        <f t="shared" si="2"/>
        <v>4001.17</v>
      </c>
    </row>
    <row r="9" spans="1:13" ht="19.95" customHeight="1" x14ac:dyDescent="0.3">
      <c r="A9" s="2" t="s">
        <v>45</v>
      </c>
      <c r="B9" s="2" t="s">
        <v>23</v>
      </c>
      <c r="C9" s="3" t="s">
        <v>46</v>
      </c>
      <c r="D9" s="4" t="s">
        <v>42</v>
      </c>
      <c r="E9" s="5">
        <v>120</v>
      </c>
      <c r="F9" s="6">
        <v>405.54</v>
      </c>
      <c r="G9" s="7">
        <f t="shared" si="0"/>
        <v>48664.800000000003</v>
      </c>
      <c r="H9" s="4" t="s">
        <v>31</v>
      </c>
      <c r="I9" s="4" t="s">
        <v>47</v>
      </c>
      <c r="J9" s="4">
        <f t="shared" si="1"/>
        <v>16</v>
      </c>
      <c r="K9" s="4">
        <v>28</v>
      </c>
      <c r="L9" s="4">
        <v>43</v>
      </c>
      <c r="M9" s="7">
        <f t="shared" si="2"/>
        <v>3041.55</v>
      </c>
    </row>
    <row r="10" spans="1:13" ht="19.95" customHeight="1" x14ac:dyDescent="0.3">
      <c r="A10" s="2" t="s">
        <v>48</v>
      </c>
      <c r="B10" s="2" t="s">
        <v>49</v>
      </c>
      <c r="C10" s="3" t="s">
        <v>50</v>
      </c>
      <c r="D10" s="4" t="s">
        <v>21</v>
      </c>
      <c r="E10" s="5">
        <v>1000</v>
      </c>
      <c r="F10" s="6">
        <v>38.76</v>
      </c>
      <c r="G10" s="7">
        <f t="shared" si="0"/>
        <v>38760</v>
      </c>
      <c r="H10" s="4" t="s">
        <v>43</v>
      </c>
      <c r="I10" s="4" t="s">
        <v>47</v>
      </c>
      <c r="J10" s="4">
        <f t="shared" si="1"/>
        <v>22</v>
      </c>
      <c r="K10" s="4">
        <v>22</v>
      </c>
      <c r="L10" s="4">
        <v>43</v>
      </c>
      <c r="M10" s="7">
        <f t="shared" si="2"/>
        <v>1761.82</v>
      </c>
    </row>
    <row r="11" spans="1:13" ht="19.95" customHeight="1" x14ac:dyDescent="0.3">
      <c r="A11" s="2" t="s">
        <v>51</v>
      </c>
      <c r="B11" s="2" t="s">
        <v>49</v>
      </c>
      <c r="C11" s="3" t="s">
        <v>52</v>
      </c>
      <c r="D11" s="4" t="s">
        <v>42</v>
      </c>
      <c r="E11" s="5">
        <v>120</v>
      </c>
      <c r="F11" s="6">
        <v>156.71</v>
      </c>
      <c r="G11" s="7">
        <f t="shared" si="0"/>
        <v>18805.2</v>
      </c>
      <c r="H11" s="4" t="s">
        <v>53</v>
      </c>
      <c r="I11" s="4" t="s">
        <v>54</v>
      </c>
      <c r="J11" s="4">
        <f t="shared" si="1"/>
        <v>20</v>
      </c>
      <c r="K11" s="4">
        <v>32</v>
      </c>
      <c r="L11" s="4">
        <v>51</v>
      </c>
      <c r="M11" s="7">
        <f t="shared" si="2"/>
        <v>940.26</v>
      </c>
    </row>
    <row r="12" spans="1:13" ht="19.95" customHeight="1" x14ac:dyDescent="0.3">
      <c r="A12" s="2" t="s">
        <v>55</v>
      </c>
      <c r="B12" s="2" t="s">
        <v>56</v>
      </c>
      <c r="C12" s="3" t="s">
        <v>57</v>
      </c>
      <c r="D12" s="4" t="s">
        <v>16</v>
      </c>
      <c r="E12" s="5">
        <v>1</v>
      </c>
      <c r="F12" s="6">
        <v>9348.06</v>
      </c>
      <c r="G12" s="7">
        <f t="shared" si="0"/>
        <v>9348.06</v>
      </c>
      <c r="H12" s="4" t="s">
        <v>58</v>
      </c>
      <c r="I12" s="4" t="s">
        <v>59</v>
      </c>
      <c r="J12" s="4">
        <f t="shared" si="1"/>
        <v>13</v>
      </c>
      <c r="K12" s="4">
        <v>48</v>
      </c>
      <c r="L12" s="4">
        <v>60</v>
      </c>
      <c r="M12" s="7">
        <f t="shared" si="2"/>
        <v>719.08</v>
      </c>
    </row>
    <row r="13" spans="1:13" ht="22.05" customHeight="1" x14ac:dyDescent="0.3">
      <c r="A13" s="8"/>
      <c r="B13" s="8"/>
      <c r="C13" s="9" t="s">
        <v>60</v>
      </c>
      <c r="D13" s="8"/>
      <c r="E13" s="8"/>
      <c r="F13" s="8"/>
      <c r="G13" s="10">
        <f>SUM(G2:G12)</f>
        <v>455296.22</v>
      </c>
      <c r="H13" s="8"/>
      <c r="I13" s="8"/>
      <c r="J13" s="8"/>
      <c r="K13" s="8"/>
      <c r="L13" s="8"/>
      <c r="M13" s="8"/>
    </row>
    <row r="14" spans="1:13" ht="22.05" customHeight="1" x14ac:dyDescent="0.3">
      <c r="A14" s="11"/>
      <c r="B14" s="11"/>
      <c r="C14" s="12" t="s">
        <v>61</v>
      </c>
      <c r="D14" s="11"/>
      <c r="E14" s="11"/>
      <c r="F14" s="11"/>
      <c r="G14" s="13">
        <f>ROUND(G13*0.1, 2)</f>
        <v>45529.62</v>
      </c>
      <c r="H14" s="11"/>
      <c r="I14" s="11"/>
      <c r="J14" s="11"/>
      <c r="K14" s="11"/>
      <c r="L14" s="11"/>
      <c r="M14" s="11"/>
    </row>
    <row r="15" spans="1:13" ht="22.05" customHeight="1" x14ac:dyDescent="0.3">
      <c r="A15" s="11"/>
      <c r="B15" s="11"/>
      <c r="C15" s="12" t="s">
        <v>62</v>
      </c>
      <c r="D15" s="11"/>
      <c r="E15" s="11"/>
      <c r="F15" s="11"/>
      <c r="G15" s="13">
        <f>ROUND(G13*0.08, 2)</f>
        <v>36423.699999999997</v>
      </c>
      <c r="H15" s="11"/>
      <c r="I15" s="11"/>
      <c r="J15" s="11"/>
      <c r="K15" s="11"/>
      <c r="L15" s="11"/>
      <c r="M15" s="11"/>
    </row>
    <row r="16" spans="1:13" ht="22.05" customHeight="1" x14ac:dyDescent="0.3">
      <c r="A16" s="8"/>
      <c r="B16" s="8"/>
      <c r="C16" s="14" t="s">
        <v>63</v>
      </c>
      <c r="D16" s="8"/>
      <c r="E16" s="8"/>
      <c r="F16" s="8"/>
      <c r="G16" s="15">
        <f>SUM(G13:G15)</f>
        <v>537249.53999999992</v>
      </c>
      <c r="H16" s="8"/>
      <c r="I16" s="8"/>
      <c r="J16" s="8"/>
      <c r="K16" s="8"/>
      <c r="L16" s="8"/>
      <c r="M16" s="8"/>
    </row>
    <row r="17" spans="1:13" ht="22.05" customHeight="1" x14ac:dyDescent="0.3">
      <c r="A17" s="11"/>
      <c r="B17" s="11"/>
      <c r="C17" s="12" t="s">
        <v>64</v>
      </c>
      <c r="D17" s="11"/>
      <c r="E17" s="11"/>
      <c r="F17" s="11"/>
      <c r="G17" s="13">
        <f>ROUND(G16*0.18, 2)</f>
        <v>96704.92</v>
      </c>
      <c r="H17" s="11"/>
      <c r="I17" s="11"/>
      <c r="J17" s="11"/>
      <c r="K17" s="11"/>
      <c r="L17" s="11"/>
      <c r="M17" s="11"/>
    </row>
    <row r="18" spans="1:13" ht="22.05" customHeight="1" x14ac:dyDescent="0.3">
      <c r="A18" s="8"/>
      <c r="B18" s="8"/>
      <c r="C18" s="16" t="s">
        <v>65</v>
      </c>
      <c r="D18" s="8"/>
      <c r="E18" s="8"/>
      <c r="F18" s="8"/>
      <c r="G18" s="17">
        <f>G16+G17</f>
        <v>633954.46</v>
      </c>
      <c r="H18" s="8"/>
      <c r="I18" s="8"/>
      <c r="J18" s="8"/>
      <c r="K18" s="8"/>
      <c r="L18" s="8"/>
      <c r="M18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1"/>
  <sheetViews>
    <sheetView topLeftCell="A135" workbookViewId="0"/>
  </sheetViews>
  <sheetFormatPr baseColWidth="10" defaultColWidth="8.88671875" defaultRowHeight="14.4" x14ac:dyDescent="0.3"/>
  <cols>
    <col min="1" max="2" width="12" customWidth="1"/>
    <col min="3" max="3" width="14" customWidth="1"/>
    <col min="4" max="4" width="36" customWidth="1"/>
    <col min="5" max="6" width="15" customWidth="1"/>
  </cols>
  <sheetData>
    <row r="1" spans="1:6" ht="36" customHeight="1" x14ac:dyDescent="0.3">
      <c r="A1" s="18" t="s">
        <v>66</v>
      </c>
      <c r="B1" s="18" t="s">
        <v>67</v>
      </c>
      <c r="C1" s="18" t="s">
        <v>1</v>
      </c>
      <c r="D1" s="18" t="s">
        <v>68</v>
      </c>
      <c r="E1" s="18" t="s">
        <v>69</v>
      </c>
      <c r="F1" s="18" t="s">
        <v>70</v>
      </c>
    </row>
    <row r="2" spans="1:6" ht="19.95" customHeight="1" x14ac:dyDescent="0.3">
      <c r="A2" s="4">
        <v>1</v>
      </c>
      <c r="B2" s="4" t="s">
        <v>17</v>
      </c>
      <c r="C2" s="2" t="s">
        <v>14</v>
      </c>
      <c r="D2" s="3" t="s">
        <v>71</v>
      </c>
      <c r="E2" s="7">
        <f>IF(AND(A2&gt;='01_PRESUPUESTO_CRONOGRAMA_BASE'!K2, A2&lt;='01_PRESUPUESTO_CRONOGRAMA_BASE'!L2), '01_PRESUPUESTO_CRONOGRAMA_BASE'!M2, 0) + IF(AND(A2&gt;='01_PRESUPUESTO_CRONOGRAMA_BASE'!K3, A2&lt;='01_PRESUPUESTO_CRONOGRAMA_BASE'!L3), '01_PRESUPUESTO_CRONOGRAMA_BASE'!M3, 0)</f>
        <v>1166.8899999999999</v>
      </c>
      <c r="F2" s="19">
        <f>SUMIFS(E$2:E2, C$2:C2, C2)</f>
        <v>1166.8899999999999</v>
      </c>
    </row>
    <row r="3" spans="1:6" ht="19.95" customHeight="1" x14ac:dyDescent="0.3">
      <c r="A3" s="4">
        <v>1</v>
      </c>
      <c r="B3" s="4" t="s">
        <v>17</v>
      </c>
      <c r="C3" s="2" t="s">
        <v>23</v>
      </c>
      <c r="D3" s="3" t="s">
        <v>72</v>
      </c>
      <c r="E3" s="7">
        <f>IF(AND(A3&gt;='01_PRESUPUESTO_CRONOGRAMA_BASE'!K4, A3&lt;='01_PRESUPUESTO_CRONOGRAMA_BASE'!L4), '01_PRESUPUESTO_CRONOGRAMA_BASE'!M4, 0) + IF(AND(A3&gt;='01_PRESUPUESTO_CRONOGRAMA_BASE'!K5, A3&lt;='01_PRESUPUESTO_CRONOGRAMA_BASE'!L5), '01_PRESUPUESTO_CRONOGRAMA_BASE'!M5, 0) + IF(AND(A3&gt;='01_PRESUPUESTO_CRONOGRAMA_BASE'!K6, A3&lt;='01_PRESUPUESTO_CRONOGRAMA_BASE'!L6), '01_PRESUPUESTO_CRONOGRAMA_BASE'!M6, 0) + IF(AND(A3&gt;='01_PRESUPUESTO_CRONOGRAMA_BASE'!K7, A3&lt;='01_PRESUPUESTO_CRONOGRAMA_BASE'!L7), '01_PRESUPUESTO_CRONOGRAMA_BASE'!M7, 0) + IF(AND(A3&gt;='01_PRESUPUESTO_CRONOGRAMA_BASE'!K8, A3&lt;='01_PRESUPUESTO_CRONOGRAMA_BASE'!L8), '01_PRESUPUESTO_CRONOGRAMA_BASE'!M8, 0) + IF(AND(A3&gt;='01_PRESUPUESTO_CRONOGRAMA_BASE'!K9, A3&lt;='01_PRESUPUESTO_CRONOGRAMA_BASE'!L9), '01_PRESUPUESTO_CRONOGRAMA_BASE'!M9, 0)</f>
        <v>0</v>
      </c>
      <c r="F3" s="19">
        <f>SUMIFS(E$2:E3, C$2:C3, C3)</f>
        <v>0</v>
      </c>
    </row>
    <row r="4" spans="1:6" ht="19.95" customHeight="1" x14ac:dyDescent="0.3">
      <c r="A4" s="4">
        <v>1</v>
      </c>
      <c r="B4" s="4" t="s">
        <v>17</v>
      </c>
      <c r="C4" s="2" t="s">
        <v>49</v>
      </c>
      <c r="D4" s="3" t="s">
        <v>73</v>
      </c>
      <c r="E4" s="7">
        <f>IF(AND(A4&gt;='01_PRESUPUESTO_CRONOGRAMA_BASE'!K10, A4&lt;='01_PRESUPUESTO_CRONOGRAMA_BASE'!L10), '01_PRESUPUESTO_CRONOGRAMA_BASE'!M10, 0) + IF(AND(A4&gt;='01_PRESUPUESTO_CRONOGRAMA_BASE'!K11, A4&lt;='01_PRESUPUESTO_CRONOGRAMA_BASE'!L11), '01_PRESUPUESTO_CRONOGRAMA_BASE'!M11, 0)</f>
        <v>0</v>
      </c>
      <c r="F4" s="19">
        <f>SUMIFS(E$2:E4, C$2:C4, C4)</f>
        <v>0</v>
      </c>
    </row>
    <row r="5" spans="1:6" ht="19.95" customHeight="1" x14ac:dyDescent="0.3">
      <c r="A5" s="4">
        <v>1</v>
      </c>
      <c r="B5" s="4" t="s">
        <v>17</v>
      </c>
      <c r="C5" s="2" t="s">
        <v>56</v>
      </c>
      <c r="D5" s="3" t="s">
        <v>74</v>
      </c>
      <c r="E5" s="7">
        <f>IF(AND(A5&gt;='01_PRESUPUESTO_CRONOGRAMA_BASE'!K12, A5&lt;='01_PRESUPUESTO_CRONOGRAMA_BASE'!L12), '01_PRESUPUESTO_CRONOGRAMA_BASE'!M12, 0)</f>
        <v>0</v>
      </c>
      <c r="F5" s="19">
        <f>SUMIFS(E$2:E5, C$2:C5, C5)</f>
        <v>0</v>
      </c>
    </row>
    <row r="6" spans="1:6" ht="19.95" customHeight="1" x14ac:dyDescent="0.3">
      <c r="A6" s="4">
        <v>2</v>
      </c>
      <c r="B6" s="4" t="s">
        <v>75</v>
      </c>
      <c r="C6" s="2" t="s">
        <v>14</v>
      </c>
      <c r="D6" s="3" t="s">
        <v>71</v>
      </c>
      <c r="E6" s="7">
        <f>IF(AND(A6&gt;='01_PRESUPUESTO_CRONOGRAMA_BASE'!K2, A6&lt;='01_PRESUPUESTO_CRONOGRAMA_BASE'!L2), '01_PRESUPUESTO_CRONOGRAMA_BASE'!M2, 0) + IF(AND(A6&gt;='01_PRESUPUESTO_CRONOGRAMA_BASE'!K3, A6&lt;='01_PRESUPUESTO_CRONOGRAMA_BASE'!L3), '01_PRESUPUESTO_CRONOGRAMA_BASE'!M3, 0)</f>
        <v>1166.8899999999999</v>
      </c>
      <c r="F6" s="19">
        <f>SUMIFS(E$2:E6, C$2:C6, C6)</f>
        <v>2333.7799999999997</v>
      </c>
    </row>
    <row r="7" spans="1:6" ht="19.95" customHeight="1" x14ac:dyDescent="0.3">
      <c r="A7" s="4">
        <v>2</v>
      </c>
      <c r="B7" s="4" t="s">
        <v>75</v>
      </c>
      <c r="C7" s="2" t="s">
        <v>23</v>
      </c>
      <c r="D7" s="3" t="s">
        <v>72</v>
      </c>
      <c r="E7" s="7">
        <f>IF(AND(A7&gt;='01_PRESUPUESTO_CRONOGRAMA_BASE'!K4, A7&lt;='01_PRESUPUESTO_CRONOGRAMA_BASE'!L4), '01_PRESUPUESTO_CRONOGRAMA_BASE'!M4, 0) + IF(AND(A7&gt;='01_PRESUPUESTO_CRONOGRAMA_BASE'!K5, A7&lt;='01_PRESUPUESTO_CRONOGRAMA_BASE'!L5), '01_PRESUPUESTO_CRONOGRAMA_BASE'!M5, 0) + IF(AND(A7&gt;='01_PRESUPUESTO_CRONOGRAMA_BASE'!K6, A7&lt;='01_PRESUPUESTO_CRONOGRAMA_BASE'!L6), '01_PRESUPUESTO_CRONOGRAMA_BASE'!M6, 0) + IF(AND(A7&gt;='01_PRESUPUESTO_CRONOGRAMA_BASE'!K7, A7&lt;='01_PRESUPUESTO_CRONOGRAMA_BASE'!L7), '01_PRESUPUESTO_CRONOGRAMA_BASE'!M7, 0) + IF(AND(A7&gt;='01_PRESUPUESTO_CRONOGRAMA_BASE'!K8, A7&lt;='01_PRESUPUESTO_CRONOGRAMA_BASE'!L8), '01_PRESUPUESTO_CRONOGRAMA_BASE'!M8, 0) + IF(AND(A7&gt;='01_PRESUPUESTO_CRONOGRAMA_BASE'!K9, A7&lt;='01_PRESUPUESTO_CRONOGRAMA_BASE'!L9), '01_PRESUPUESTO_CRONOGRAMA_BASE'!M9, 0)</f>
        <v>0</v>
      </c>
      <c r="F7" s="19">
        <f>SUMIFS(E$2:E7, C$2:C7, C7)</f>
        <v>0</v>
      </c>
    </row>
    <row r="8" spans="1:6" ht="19.95" customHeight="1" x14ac:dyDescent="0.3">
      <c r="A8" s="4">
        <v>2</v>
      </c>
      <c r="B8" s="4" t="s">
        <v>75</v>
      </c>
      <c r="C8" s="2" t="s">
        <v>49</v>
      </c>
      <c r="D8" s="3" t="s">
        <v>73</v>
      </c>
      <c r="E8" s="7">
        <f>IF(AND(A8&gt;='01_PRESUPUESTO_CRONOGRAMA_BASE'!K10, A8&lt;='01_PRESUPUESTO_CRONOGRAMA_BASE'!L10), '01_PRESUPUESTO_CRONOGRAMA_BASE'!M10, 0) + IF(AND(A8&gt;='01_PRESUPUESTO_CRONOGRAMA_BASE'!K11, A8&lt;='01_PRESUPUESTO_CRONOGRAMA_BASE'!L11), '01_PRESUPUESTO_CRONOGRAMA_BASE'!M11, 0)</f>
        <v>0</v>
      </c>
      <c r="F8" s="19">
        <f>SUMIFS(E$2:E8, C$2:C8, C8)</f>
        <v>0</v>
      </c>
    </row>
    <row r="9" spans="1:6" ht="19.95" customHeight="1" x14ac:dyDescent="0.3">
      <c r="A9" s="4">
        <v>2</v>
      </c>
      <c r="B9" s="4" t="s">
        <v>75</v>
      </c>
      <c r="C9" s="2" t="s">
        <v>56</v>
      </c>
      <c r="D9" s="3" t="s">
        <v>74</v>
      </c>
      <c r="E9" s="7">
        <f>IF(AND(A9&gt;='01_PRESUPUESTO_CRONOGRAMA_BASE'!K12, A9&lt;='01_PRESUPUESTO_CRONOGRAMA_BASE'!L12), '01_PRESUPUESTO_CRONOGRAMA_BASE'!M12, 0)</f>
        <v>0</v>
      </c>
      <c r="F9" s="19">
        <f>SUMIFS(E$2:E9, C$2:C9, C9)</f>
        <v>0</v>
      </c>
    </row>
    <row r="10" spans="1:6" ht="19.95" customHeight="1" x14ac:dyDescent="0.3">
      <c r="A10" s="4">
        <v>3</v>
      </c>
      <c r="B10" s="4" t="s">
        <v>76</v>
      </c>
      <c r="C10" s="2" t="s">
        <v>14</v>
      </c>
      <c r="D10" s="3" t="s">
        <v>71</v>
      </c>
      <c r="E10" s="7">
        <f>IF(AND(A10&gt;='01_PRESUPUESTO_CRONOGRAMA_BASE'!K2, A10&lt;='01_PRESUPUESTO_CRONOGRAMA_BASE'!L2), '01_PRESUPUESTO_CRONOGRAMA_BASE'!M2, 0) + IF(AND(A10&gt;='01_PRESUPUESTO_CRONOGRAMA_BASE'!K3, A10&lt;='01_PRESUPUESTO_CRONOGRAMA_BASE'!L3), '01_PRESUPUESTO_CRONOGRAMA_BASE'!M3, 0)</f>
        <v>1166.8899999999999</v>
      </c>
      <c r="F10" s="19">
        <f>SUMIFS(E$2:E10, C$2:C10, C10)</f>
        <v>3500.6699999999996</v>
      </c>
    </row>
    <row r="11" spans="1:6" ht="19.95" customHeight="1" x14ac:dyDescent="0.3">
      <c r="A11" s="4">
        <v>3</v>
      </c>
      <c r="B11" s="4" t="s">
        <v>76</v>
      </c>
      <c r="C11" s="2" t="s">
        <v>23</v>
      </c>
      <c r="D11" s="3" t="s">
        <v>72</v>
      </c>
      <c r="E11" s="7">
        <f>IF(AND(A11&gt;='01_PRESUPUESTO_CRONOGRAMA_BASE'!K4, A11&lt;='01_PRESUPUESTO_CRONOGRAMA_BASE'!L4), '01_PRESUPUESTO_CRONOGRAMA_BASE'!M4, 0) + IF(AND(A11&gt;='01_PRESUPUESTO_CRONOGRAMA_BASE'!K5, A11&lt;='01_PRESUPUESTO_CRONOGRAMA_BASE'!L5), '01_PRESUPUESTO_CRONOGRAMA_BASE'!M5, 0) + IF(AND(A11&gt;='01_PRESUPUESTO_CRONOGRAMA_BASE'!K6, A11&lt;='01_PRESUPUESTO_CRONOGRAMA_BASE'!L6), '01_PRESUPUESTO_CRONOGRAMA_BASE'!M6, 0) + IF(AND(A11&gt;='01_PRESUPUESTO_CRONOGRAMA_BASE'!K7, A11&lt;='01_PRESUPUESTO_CRONOGRAMA_BASE'!L7), '01_PRESUPUESTO_CRONOGRAMA_BASE'!M7, 0) + IF(AND(A11&gt;='01_PRESUPUESTO_CRONOGRAMA_BASE'!K8, A11&lt;='01_PRESUPUESTO_CRONOGRAMA_BASE'!L8), '01_PRESUPUESTO_CRONOGRAMA_BASE'!M8, 0) + IF(AND(A11&gt;='01_PRESUPUESTO_CRONOGRAMA_BASE'!K9, A11&lt;='01_PRESUPUESTO_CRONOGRAMA_BASE'!L9), '01_PRESUPUESTO_CRONOGRAMA_BASE'!M9, 0)</f>
        <v>0</v>
      </c>
      <c r="F11" s="19">
        <f>SUMIFS(E$2:E11, C$2:C11, C11)</f>
        <v>0</v>
      </c>
    </row>
    <row r="12" spans="1:6" ht="19.95" customHeight="1" x14ac:dyDescent="0.3">
      <c r="A12" s="4">
        <v>3</v>
      </c>
      <c r="B12" s="4" t="s">
        <v>76</v>
      </c>
      <c r="C12" s="2" t="s">
        <v>49</v>
      </c>
      <c r="D12" s="3" t="s">
        <v>73</v>
      </c>
      <c r="E12" s="7">
        <f>IF(AND(A12&gt;='01_PRESUPUESTO_CRONOGRAMA_BASE'!K10, A12&lt;='01_PRESUPUESTO_CRONOGRAMA_BASE'!L10), '01_PRESUPUESTO_CRONOGRAMA_BASE'!M10, 0) + IF(AND(A12&gt;='01_PRESUPUESTO_CRONOGRAMA_BASE'!K11, A12&lt;='01_PRESUPUESTO_CRONOGRAMA_BASE'!L11), '01_PRESUPUESTO_CRONOGRAMA_BASE'!M11, 0)</f>
        <v>0</v>
      </c>
      <c r="F12" s="19">
        <f>SUMIFS(E$2:E12, C$2:C12, C12)</f>
        <v>0</v>
      </c>
    </row>
    <row r="13" spans="1:6" ht="19.95" customHeight="1" x14ac:dyDescent="0.3">
      <c r="A13" s="4">
        <v>3</v>
      </c>
      <c r="B13" s="4" t="s">
        <v>76</v>
      </c>
      <c r="C13" s="2" t="s">
        <v>56</v>
      </c>
      <c r="D13" s="3" t="s">
        <v>74</v>
      </c>
      <c r="E13" s="7">
        <f>IF(AND(A13&gt;='01_PRESUPUESTO_CRONOGRAMA_BASE'!K12, A13&lt;='01_PRESUPUESTO_CRONOGRAMA_BASE'!L12), '01_PRESUPUESTO_CRONOGRAMA_BASE'!M12, 0)</f>
        <v>0</v>
      </c>
      <c r="F13" s="19">
        <f>SUMIFS(E$2:E13, C$2:C13, C13)</f>
        <v>0</v>
      </c>
    </row>
    <row r="14" spans="1:6" ht="19.95" customHeight="1" x14ac:dyDescent="0.3">
      <c r="A14" s="4">
        <v>4</v>
      </c>
      <c r="B14" s="4" t="s">
        <v>77</v>
      </c>
      <c r="C14" s="2" t="s">
        <v>14</v>
      </c>
      <c r="D14" s="3" t="s">
        <v>71</v>
      </c>
      <c r="E14" s="7">
        <f>IF(AND(A14&gt;='01_PRESUPUESTO_CRONOGRAMA_BASE'!K2, A14&lt;='01_PRESUPUESTO_CRONOGRAMA_BASE'!L2), '01_PRESUPUESTO_CRONOGRAMA_BASE'!M2, 0) + IF(AND(A14&gt;='01_PRESUPUESTO_CRONOGRAMA_BASE'!K3, A14&lt;='01_PRESUPUESTO_CRONOGRAMA_BASE'!L3), '01_PRESUPUESTO_CRONOGRAMA_BASE'!M3, 0)</f>
        <v>1166.8899999999999</v>
      </c>
      <c r="F14" s="19">
        <f>SUMIFS(E$2:E14, C$2:C14, C14)</f>
        <v>4667.5599999999995</v>
      </c>
    </row>
    <row r="15" spans="1:6" ht="19.95" customHeight="1" x14ac:dyDescent="0.3">
      <c r="A15" s="4">
        <v>4</v>
      </c>
      <c r="B15" s="4" t="s">
        <v>77</v>
      </c>
      <c r="C15" s="2" t="s">
        <v>23</v>
      </c>
      <c r="D15" s="3" t="s">
        <v>72</v>
      </c>
      <c r="E15" s="7">
        <f>IF(AND(A15&gt;='01_PRESUPUESTO_CRONOGRAMA_BASE'!K4, A15&lt;='01_PRESUPUESTO_CRONOGRAMA_BASE'!L4), '01_PRESUPUESTO_CRONOGRAMA_BASE'!M4, 0) + IF(AND(A15&gt;='01_PRESUPUESTO_CRONOGRAMA_BASE'!K5, A15&lt;='01_PRESUPUESTO_CRONOGRAMA_BASE'!L5), '01_PRESUPUESTO_CRONOGRAMA_BASE'!M5, 0) + IF(AND(A15&gt;='01_PRESUPUESTO_CRONOGRAMA_BASE'!K6, A15&lt;='01_PRESUPUESTO_CRONOGRAMA_BASE'!L6), '01_PRESUPUESTO_CRONOGRAMA_BASE'!M6, 0) + IF(AND(A15&gt;='01_PRESUPUESTO_CRONOGRAMA_BASE'!K7, A15&lt;='01_PRESUPUESTO_CRONOGRAMA_BASE'!L7), '01_PRESUPUESTO_CRONOGRAMA_BASE'!M7, 0) + IF(AND(A15&gt;='01_PRESUPUESTO_CRONOGRAMA_BASE'!K8, A15&lt;='01_PRESUPUESTO_CRONOGRAMA_BASE'!L8), '01_PRESUPUESTO_CRONOGRAMA_BASE'!M8, 0) + IF(AND(A15&gt;='01_PRESUPUESTO_CRONOGRAMA_BASE'!K9, A15&lt;='01_PRESUPUESTO_CRONOGRAMA_BASE'!L9), '01_PRESUPUESTO_CRONOGRAMA_BASE'!M9, 0)</f>
        <v>0</v>
      </c>
      <c r="F15" s="19">
        <f>SUMIFS(E$2:E15, C$2:C15, C15)</f>
        <v>0</v>
      </c>
    </row>
    <row r="16" spans="1:6" ht="19.95" customHeight="1" x14ac:dyDescent="0.3">
      <c r="A16" s="4">
        <v>4</v>
      </c>
      <c r="B16" s="4" t="s">
        <v>77</v>
      </c>
      <c r="C16" s="2" t="s">
        <v>49</v>
      </c>
      <c r="D16" s="3" t="s">
        <v>73</v>
      </c>
      <c r="E16" s="7">
        <f>IF(AND(A16&gt;='01_PRESUPUESTO_CRONOGRAMA_BASE'!K10, A16&lt;='01_PRESUPUESTO_CRONOGRAMA_BASE'!L10), '01_PRESUPUESTO_CRONOGRAMA_BASE'!M10, 0) + IF(AND(A16&gt;='01_PRESUPUESTO_CRONOGRAMA_BASE'!K11, A16&lt;='01_PRESUPUESTO_CRONOGRAMA_BASE'!L11), '01_PRESUPUESTO_CRONOGRAMA_BASE'!M11, 0)</f>
        <v>0</v>
      </c>
      <c r="F16" s="19">
        <f>SUMIFS(E$2:E16, C$2:C16, C16)</f>
        <v>0</v>
      </c>
    </row>
    <row r="17" spans="1:6" ht="19.95" customHeight="1" x14ac:dyDescent="0.3">
      <c r="A17" s="4">
        <v>4</v>
      </c>
      <c r="B17" s="4" t="s">
        <v>77</v>
      </c>
      <c r="C17" s="2" t="s">
        <v>56</v>
      </c>
      <c r="D17" s="3" t="s">
        <v>74</v>
      </c>
      <c r="E17" s="7">
        <f>IF(AND(A17&gt;='01_PRESUPUESTO_CRONOGRAMA_BASE'!K12, A17&lt;='01_PRESUPUESTO_CRONOGRAMA_BASE'!L12), '01_PRESUPUESTO_CRONOGRAMA_BASE'!M12, 0)</f>
        <v>0</v>
      </c>
      <c r="F17" s="19">
        <f>SUMIFS(E$2:E17, C$2:C17, C17)</f>
        <v>0</v>
      </c>
    </row>
    <row r="18" spans="1:6" ht="19.95" customHeight="1" x14ac:dyDescent="0.3">
      <c r="A18" s="4">
        <v>5</v>
      </c>
      <c r="B18" s="4" t="s">
        <v>78</v>
      </c>
      <c r="C18" s="2" t="s">
        <v>14</v>
      </c>
      <c r="D18" s="3" t="s">
        <v>71</v>
      </c>
      <c r="E18" s="7">
        <f>IF(AND(A18&gt;='01_PRESUPUESTO_CRONOGRAMA_BASE'!K2, A18&lt;='01_PRESUPUESTO_CRONOGRAMA_BASE'!L2), '01_PRESUPUESTO_CRONOGRAMA_BASE'!M2, 0) + IF(AND(A18&gt;='01_PRESUPUESTO_CRONOGRAMA_BASE'!K3, A18&lt;='01_PRESUPUESTO_CRONOGRAMA_BASE'!L3), '01_PRESUPUESTO_CRONOGRAMA_BASE'!M3, 0)</f>
        <v>1166.8899999999999</v>
      </c>
      <c r="F18" s="19">
        <f>SUMIFS(E$2:E18, C$2:C18, C18)</f>
        <v>5834.4499999999989</v>
      </c>
    </row>
    <row r="19" spans="1:6" ht="19.95" customHeight="1" x14ac:dyDescent="0.3">
      <c r="A19" s="4">
        <v>5</v>
      </c>
      <c r="B19" s="4" t="s">
        <v>78</v>
      </c>
      <c r="C19" s="2" t="s">
        <v>23</v>
      </c>
      <c r="D19" s="3" t="s">
        <v>72</v>
      </c>
      <c r="E19" s="7">
        <f>IF(AND(A19&gt;='01_PRESUPUESTO_CRONOGRAMA_BASE'!K4, A19&lt;='01_PRESUPUESTO_CRONOGRAMA_BASE'!L4), '01_PRESUPUESTO_CRONOGRAMA_BASE'!M4, 0) + IF(AND(A19&gt;='01_PRESUPUESTO_CRONOGRAMA_BASE'!K5, A19&lt;='01_PRESUPUESTO_CRONOGRAMA_BASE'!L5), '01_PRESUPUESTO_CRONOGRAMA_BASE'!M5, 0) + IF(AND(A19&gt;='01_PRESUPUESTO_CRONOGRAMA_BASE'!K6, A19&lt;='01_PRESUPUESTO_CRONOGRAMA_BASE'!L6), '01_PRESUPUESTO_CRONOGRAMA_BASE'!M6, 0) + IF(AND(A19&gt;='01_PRESUPUESTO_CRONOGRAMA_BASE'!K7, A19&lt;='01_PRESUPUESTO_CRONOGRAMA_BASE'!L7), '01_PRESUPUESTO_CRONOGRAMA_BASE'!M7, 0) + IF(AND(A19&gt;='01_PRESUPUESTO_CRONOGRAMA_BASE'!K8, A19&lt;='01_PRESUPUESTO_CRONOGRAMA_BASE'!L8), '01_PRESUPUESTO_CRONOGRAMA_BASE'!M8, 0) + IF(AND(A19&gt;='01_PRESUPUESTO_CRONOGRAMA_BASE'!K9, A19&lt;='01_PRESUPUESTO_CRONOGRAMA_BASE'!L9), '01_PRESUPUESTO_CRONOGRAMA_BASE'!M9, 0)</f>
        <v>0</v>
      </c>
      <c r="F19" s="19">
        <f>SUMIFS(E$2:E19, C$2:C19, C19)</f>
        <v>0</v>
      </c>
    </row>
    <row r="20" spans="1:6" ht="19.95" customHeight="1" x14ac:dyDescent="0.3">
      <c r="A20" s="4">
        <v>5</v>
      </c>
      <c r="B20" s="4" t="s">
        <v>78</v>
      </c>
      <c r="C20" s="2" t="s">
        <v>49</v>
      </c>
      <c r="D20" s="3" t="s">
        <v>73</v>
      </c>
      <c r="E20" s="7">
        <f>IF(AND(A20&gt;='01_PRESUPUESTO_CRONOGRAMA_BASE'!K10, A20&lt;='01_PRESUPUESTO_CRONOGRAMA_BASE'!L10), '01_PRESUPUESTO_CRONOGRAMA_BASE'!M10, 0) + IF(AND(A20&gt;='01_PRESUPUESTO_CRONOGRAMA_BASE'!K11, A20&lt;='01_PRESUPUESTO_CRONOGRAMA_BASE'!L11), '01_PRESUPUESTO_CRONOGRAMA_BASE'!M11, 0)</f>
        <v>0</v>
      </c>
      <c r="F20" s="19">
        <f>SUMIFS(E$2:E20, C$2:C20, C20)</f>
        <v>0</v>
      </c>
    </row>
    <row r="21" spans="1:6" ht="19.95" customHeight="1" x14ac:dyDescent="0.3">
      <c r="A21" s="4">
        <v>5</v>
      </c>
      <c r="B21" s="4" t="s">
        <v>78</v>
      </c>
      <c r="C21" s="2" t="s">
        <v>56</v>
      </c>
      <c r="D21" s="3" t="s">
        <v>74</v>
      </c>
      <c r="E21" s="7">
        <f>IF(AND(A21&gt;='01_PRESUPUESTO_CRONOGRAMA_BASE'!K12, A21&lt;='01_PRESUPUESTO_CRONOGRAMA_BASE'!L12), '01_PRESUPUESTO_CRONOGRAMA_BASE'!M12, 0)</f>
        <v>0</v>
      </c>
      <c r="F21" s="19">
        <f>SUMIFS(E$2:E21, C$2:C21, C21)</f>
        <v>0</v>
      </c>
    </row>
    <row r="22" spans="1:6" ht="19.95" customHeight="1" x14ac:dyDescent="0.3">
      <c r="A22" s="4">
        <v>6</v>
      </c>
      <c r="B22" s="4" t="s">
        <v>79</v>
      </c>
      <c r="C22" s="2" t="s">
        <v>14</v>
      </c>
      <c r="D22" s="3" t="s">
        <v>71</v>
      </c>
      <c r="E22" s="7">
        <f>IF(AND(A22&gt;='01_PRESUPUESTO_CRONOGRAMA_BASE'!K2, A22&lt;='01_PRESUPUESTO_CRONOGRAMA_BASE'!L2), '01_PRESUPUESTO_CRONOGRAMA_BASE'!M2, 0) + IF(AND(A22&gt;='01_PRESUPUESTO_CRONOGRAMA_BASE'!K3, A22&lt;='01_PRESUPUESTO_CRONOGRAMA_BASE'!L3), '01_PRESUPUESTO_CRONOGRAMA_BASE'!M3, 0)</f>
        <v>1166.8899999999999</v>
      </c>
      <c r="F22" s="19">
        <f>SUMIFS(E$2:E22, C$2:C22, C22)</f>
        <v>7001.3399999999983</v>
      </c>
    </row>
    <row r="23" spans="1:6" ht="19.95" customHeight="1" x14ac:dyDescent="0.3">
      <c r="A23" s="4">
        <v>6</v>
      </c>
      <c r="B23" s="4" t="s">
        <v>79</v>
      </c>
      <c r="C23" s="2" t="s">
        <v>23</v>
      </c>
      <c r="D23" s="3" t="s">
        <v>72</v>
      </c>
      <c r="E23" s="7">
        <f>IF(AND(A23&gt;='01_PRESUPUESTO_CRONOGRAMA_BASE'!K4, A23&lt;='01_PRESUPUESTO_CRONOGRAMA_BASE'!L4), '01_PRESUPUESTO_CRONOGRAMA_BASE'!M4, 0) + IF(AND(A23&gt;='01_PRESUPUESTO_CRONOGRAMA_BASE'!K5, A23&lt;='01_PRESUPUESTO_CRONOGRAMA_BASE'!L5), '01_PRESUPUESTO_CRONOGRAMA_BASE'!M5, 0) + IF(AND(A23&gt;='01_PRESUPUESTO_CRONOGRAMA_BASE'!K6, A23&lt;='01_PRESUPUESTO_CRONOGRAMA_BASE'!L6), '01_PRESUPUESTO_CRONOGRAMA_BASE'!M6, 0) + IF(AND(A23&gt;='01_PRESUPUESTO_CRONOGRAMA_BASE'!K7, A23&lt;='01_PRESUPUESTO_CRONOGRAMA_BASE'!L7), '01_PRESUPUESTO_CRONOGRAMA_BASE'!M7, 0) + IF(AND(A23&gt;='01_PRESUPUESTO_CRONOGRAMA_BASE'!K8, A23&lt;='01_PRESUPUESTO_CRONOGRAMA_BASE'!L8), '01_PRESUPUESTO_CRONOGRAMA_BASE'!M8, 0) + IF(AND(A23&gt;='01_PRESUPUESTO_CRONOGRAMA_BASE'!K9, A23&lt;='01_PRESUPUESTO_CRONOGRAMA_BASE'!L9), '01_PRESUPUESTO_CRONOGRAMA_BASE'!M9, 0)</f>
        <v>0</v>
      </c>
      <c r="F23" s="19">
        <f>SUMIFS(E$2:E23, C$2:C23, C23)</f>
        <v>0</v>
      </c>
    </row>
    <row r="24" spans="1:6" ht="19.95" customHeight="1" x14ac:dyDescent="0.3">
      <c r="A24" s="4">
        <v>6</v>
      </c>
      <c r="B24" s="4" t="s">
        <v>79</v>
      </c>
      <c r="C24" s="2" t="s">
        <v>49</v>
      </c>
      <c r="D24" s="3" t="s">
        <v>73</v>
      </c>
      <c r="E24" s="7">
        <f>IF(AND(A24&gt;='01_PRESUPUESTO_CRONOGRAMA_BASE'!K10, A24&lt;='01_PRESUPUESTO_CRONOGRAMA_BASE'!L10), '01_PRESUPUESTO_CRONOGRAMA_BASE'!M10, 0) + IF(AND(A24&gt;='01_PRESUPUESTO_CRONOGRAMA_BASE'!K11, A24&lt;='01_PRESUPUESTO_CRONOGRAMA_BASE'!L11), '01_PRESUPUESTO_CRONOGRAMA_BASE'!M11, 0)</f>
        <v>0</v>
      </c>
      <c r="F24" s="19">
        <f>SUMIFS(E$2:E24, C$2:C24, C24)</f>
        <v>0</v>
      </c>
    </row>
    <row r="25" spans="1:6" ht="19.95" customHeight="1" x14ac:dyDescent="0.3">
      <c r="A25" s="4">
        <v>6</v>
      </c>
      <c r="B25" s="4" t="s">
        <v>79</v>
      </c>
      <c r="C25" s="2" t="s">
        <v>56</v>
      </c>
      <c r="D25" s="3" t="s">
        <v>74</v>
      </c>
      <c r="E25" s="7">
        <f>IF(AND(A25&gt;='01_PRESUPUESTO_CRONOGRAMA_BASE'!K12, A25&lt;='01_PRESUPUESTO_CRONOGRAMA_BASE'!L12), '01_PRESUPUESTO_CRONOGRAMA_BASE'!M12, 0)</f>
        <v>0</v>
      </c>
      <c r="F25" s="19">
        <f>SUMIFS(E$2:E25, C$2:C25, C25)</f>
        <v>0</v>
      </c>
    </row>
    <row r="26" spans="1:6" ht="19.95" customHeight="1" x14ac:dyDescent="0.3">
      <c r="A26" s="4">
        <v>7</v>
      </c>
      <c r="B26" s="4" t="s">
        <v>80</v>
      </c>
      <c r="C26" s="2" t="s">
        <v>14</v>
      </c>
      <c r="D26" s="3" t="s">
        <v>71</v>
      </c>
      <c r="E26" s="7">
        <f>IF(AND(A26&gt;='01_PRESUPUESTO_CRONOGRAMA_BASE'!K2, A26&lt;='01_PRESUPUESTO_CRONOGRAMA_BASE'!L2), '01_PRESUPUESTO_CRONOGRAMA_BASE'!M2, 0) + IF(AND(A26&gt;='01_PRESUPUESTO_CRONOGRAMA_BASE'!K3, A26&lt;='01_PRESUPUESTO_CRONOGRAMA_BASE'!L3), '01_PRESUPUESTO_CRONOGRAMA_BASE'!M3, 0)</f>
        <v>1166.8899999999999</v>
      </c>
      <c r="F26" s="19">
        <f>SUMIFS(E$2:E26, C$2:C26, C26)</f>
        <v>8168.2299999999977</v>
      </c>
    </row>
    <row r="27" spans="1:6" ht="19.95" customHeight="1" x14ac:dyDescent="0.3">
      <c r="A27" s="4">
        <v>7</v>
      </c>
      <c r="B27" s="4" t="s">
        <v>80</v>
      </c>
      <c r="C27" s="2" t="s">
        <v>23</v>
      </c>
      <c r="D27" s="3" t="s">
        <v>72</v>
      </c>
      <c r="E27" s="7">
        <f>IF(AND(A27&gt;='01_PRESUPUESTO_CRONOGRAMA_BASE'!K4, A27&lt;='01_PRESUPUESTO_CRONOGRAMA_BASE'!L4), '01_PRESUPUESTO_CRONOGRAMA_BASE'!M4, 0) + IF(AND(A27&gt;='01_PRESUPUESTO_CRONOGRAMA_BASE'!K5, A27&lt;='01_PRESUPUESTO_CRONOGRAMA_BASE'!L5), '01_PRESUPUESTO_CRONOGRAMA_BASE'!M5, 0) + IF(AND(A27&gt;='01_PRESUPUESTO_CRONOGRAMA_BASE'!K6, A27&lt;='01_PRESUPUESTO_CRONOGRAMA_BASE'!L6), '01_PRESUPUESTO_CRONOGRAMA_BASE'!M6, 0) + IF(AND(A27&gt;='01_PRESUPUESTO_CRONOGRAMA_BASE'!K7, A27&lt;='01_PRESUPUESTO_CRONOGRAMA_BASE'!L7), '01_PRESUPUESTO_CRONOGRAMA_BASE'!M7, 0) + IF(AND(A27&gt;='01_PRESUPUESTO_CRONOGRAMA_BASE'!K8, A27&lt;='01_PRESUPUESTO_CRONOGRAMA_BASE'!L8), '01_PRESUPUESTO_CRONOGRAMA_BASE'!M8, 0) + IF(AND(A27&gt;='01_PRESUPUESTO_CRONOGRAMA_BASE'!K9, A27&lt;='01_PRESUPUESTO_CRONOGRAMA_BASE'!L9), '01_PRESUPUESTO_CRONOGRAMA_BASE'!M9, 0)</f>
        <v>0</v>
      </c>
      <c r="F27" s="19">
        <f>SUMIFS(E$2:E27, C$2:C27, C27)</f>
        <v>0</v>
      </c>
    </row>
    <row r="28" spans="1:6" ht="19.95" customHeight="1" x14ac:dyDescent="0.3">
      <c r="A28" s="4">
        <v>7</v>
      </c>
      <c r="B28" s="4" t="s">
        <v>80</v>
      </c>
      <c r="C28" s="2" t="s">
        <v>49</v>
      </c>
      <c r="D28" s="3" t="s">
        <v>73</v>
      </c>
      <c r="E28" s="7">
        <f>IF(AND(A28&gt;='01_PRESUPUESTO_CRONOGRAMA_BASE'!K10, A28&lt;='01_PRESUPUESTO_CRONOGRAMA_BASE'!L10), '01_PRESUPUESTO_CRONOGRAMA_BASE'!M10, 0) + IF(AND(A28&gt;='01_PRESUPUESTO_CRONOGRAMA_BASE'!K11, A28&lt;='01_PRESUPUESTO_CRONOGRAMA_BASE'!L11), '01_PRESUPUESTO_CRONOGRAMA_BASE'!M11, 0)</f>
        <v>0</v>
      </c>
      <c r="F28" s="19">
        <f>SUMIFS(E$2:E28, C$2:C28, C28)</f>
        <v>0</v>
      </c>
    </row>
    <row r="29" spans="1:6" ht="19.95" customHeight="1" x14ac:dyDescent="0.3">
      <c r="A29" s="4">
        <v>7</v>
      </c>
      <c r="B29" s="4" t="s">
        <v>80</v>
      </c>
      <c r="C29" s="2" t="s">
        <v>56</v>
      </c>
      <c r="D29" s="3" t="s">
        <v>74</v>
      </c>
      <c r="E29" s="7">
        <f>IF(AND(A29&gt;='01_PRESUPUESTO_CRONOGRAMA_BASE'!K12, A29&lt;='01_PRESUPUESTO_CRONOGRAMA_BASE'!L12), '01_PRESUPUESTO_CRONOGRAMA_BASE'!M12, 0)</f>
        <v>0</v>
      </c>
      <c r="F29" s="19">
        <f>SUMIFS(E$2:E29, C$2:C29, C29)</f>
        <v>0</v>
      </c>
    </row>
    <row r="30" spans="1:6" ht="19.95" customHeight="1" x14ac:dyDescent="0.3">
      <c r="A30" s="4">
        <v>8</v>
      </c>
      <c r="B30" s="4" t="s">
        <v>81</v>
      </c>
      <c r="C30" s="2" t="s">
        <v>14</v>
      </c>
      <c r="D30" s="3" t="s">
        <v>71</v>
      </c>
      <c r="E30" s="7">
        <f>IF(AND(A30&gt;='01_PRESUPUESTO_CRONOGRAMA_BASE'!K2, A30&lt;='01_PRESUPUESTO_CRONOGRAMA_BASE'!L2), '01_PRESUPUESTO_CRONOGRAMA_BASE'!M2, 0) + IF(AND(A30&gt;='01_PRESUPUESTO_CRONOGRAMA_BASE'!K3, A30&lt;='01_PRESUPUESTO_CRONOGRAMA_BASE'!L3), '01_PRESUPUESTO_CRONOGRAMA_BASE'!M3, 0)</f>
        <v>1166.8899999999999</v>
      </c>
      <c r="F30" s="19">
        <f>SUMIFS(E$2:E30, C$2:C30, C30)</f>
        <v>9335.1199999999972</v>
      </c>
    </row>
    <row r="31" spans="1:6" ht="19.95" customHeight="1" x14ac:dyDescent="0.3">
      <c r="A31" s="4">
        <v>8</v>
      </c>
      <c r="B31" s="4" t="s">
        <v>81</v>
      </c>
      <c r="C31" s="2" t="s">
        <v>23</v>
      </c>
      <c r="D31" s="3" t="s">
        <v>72</v>
      </c>
      <c r="E31" s="7">
        <f>IF(AND(A31&gt;='01_PRESUPUESTO_CRONOGRAMA_BASE'!K4, A31&lt;='01_PRESUPUESTO_CRONOGRAMA_BASE'!L4), '01_PRESUPUESTO_CRONOGRAMA_BASE'!M4, 0) + IF(AND(A31&gt;='01_PRESUPUESTO_CRONOGRAMA_BASE'!K5, A31&lt;='01_PRESUPUESTO_CRONOGRAMA_BASE'!L5), '01_PRESUPUESTO_CRONOGRAMA_BASE'!M5, 0) + IF(AND(A31&gt;='01_PRESUPUESTO_CRONOGRAMA_BASE'!K6, A31&lt;='01_PRESUPUESTO_CRONOGRAMA_BASE'!L6), '01_PRESUPUESTO_CRONOGRAMA_BASE'!M6, 0) + IF(AND(A31&gt;='01_PRESUPUESTO_CRONOGRAMA_BASE'!K7, A31&lt;='01_PRESUPUESTO_CRONOGRAMA_BASE'!L7), '01_PRESUPUESTO_CRONOGRAMA_BASE'!M7, 0) + IF(AND(A31&gt;='01_PRESUPUESTO_CRONOGRAMA_BASE'!K8, A31&lt;='01_PRESUPUESTO_CRONOGRAMA_BASE'!L8), '01_PRESUPUESTO_CRONOGRAMA_BASE'!M8, 0) + IF(AND(A31&gt;='01_PRESUPUESTO_CRONOGRAMA_BASE'!K9, A31&lt;='01_PRESUPUESTO_CRONOGRAMA_BASE'!L9), '01_PRESUPUESTO_CRONOGRAMA_BASE'!M9, 0)</f>
        <v>0</v>
      </c>
      <c r="F31" s="19">
        <f>SUMIFS(E$2:E31, C$2:C31, C31)</f>
        <v>0</v>
      </c>
    </row>
    <row r="32" spans="1:6" ht="19.95" customHeight="1" x14ac:dyDescent="0.3">
      <c r="A32" s="4">
        <v>8</v>
      </c>
      <c r="B32" s="4" t="s">
        <v>81</v>
      </c>
      <c r="C32" s="2" t="s">
        <v>49</v>
      </c>
      <c r="D32" s="3" t="s">
        <v>73</v>
      </c>
      <c r="E32" s="7">
        <f>IF(AND(A32&gt;='01_PRESUPUESTO_CRONOGRAMA_BASE'!K10, A32&lt;='01_PRESUPUESTO_CRONOGRAMA_BASE'!L10), '01_PRESUPUESTO_CRONOGRAMA_BASE'!M10, 0) + IF(AND(A32&gt;='01_PRESUPUESTO_CRONOGRAMA_BASE'!K11, A32&lt;='01_PRESUPUESTO_CRONOGRAMA_BASE'!L11), '01_PRESUPUESTO_CRONOGRAMA_BASE'!M11, 0)</f>
        <v>0</v>
      </c>
      <c r="F32" s="19">
        <f>SUMIFS(E$2:E32, C$2:C32, C32)</f>
        <v>0</v>
      </c>
    </row>
    <row r="33" spans="1:6" ht="19.95" customHeight="1" x14ac:dyDescent="0.3">
      <c r="A33" s="4">
        <v>8</v>
      </c>
      <c r="B33" s="4" t="s">
        <v>81</v>
      </c>
      <c r="C33" s="2" t="s">
        <v>56</v>
      </c>
      <c r="D33" s="3" t="s">
        <v>74</v>
      </c>
      <c r="E33" s="7">
        <f>IF(AND(A33&gt;='01_PRESUPUESTO_CRONOGRAMA_BASE'!K12, A33&lt;='01_PRESUPUESTO_CRONOGRAMA_BASE'!L12), '01_PRESUPUESTO_CRONOGRAMA_BASE'!M12, 0)</f>
        <v>0</v>
      </c>
      <c r="F33" s="19">
        <f>SUMIFS(E$2:E33, C$2:C33, C33)</f>
        <v>0</v>
      </c>
    </row>
    <row r="34" spans="1:6" ht="19.95" customHeight="1" x14ac:dyDescent="0.3">
      <c r="A34" s="4">
        <v>9</v>
      </c>
      <c r="B34" s="4" t="s">
        <v>82</v>
      </c>
      <c r="C34" s="2" t="s">
        <v>14</v>
      </c>
      <c r="D34" s="3" t="s">
        <v>71</v>
      </c>
      <c r="E34" s="7">
        <f>IF(AND(A34&gt;='01_PRESUPUESTO_CRONOGRAMA_BASE'!K2, A34&lt;='01_PRESUPUESTO_CRONOGRAMA_BASE'!L2), '01_PRESUPUESTO_CRONOGRAMA_BASE'!M2, 0) + IF(AND(A34&gt;='01_PRESUPUESTO_CRONOGRAMA_BASE'!K3, A34&lt;='01_PRESUPUESTO_CRONOGRAMA_BASE'!L3), '01_PRESUPUESTO_CRONOGRAMA_BASE'!M3, 0)</f>
        <v>1166.8899999999999</v>
      </c>
      <c r="F34" s="19">
        <f>SUMIFS(E$2:E34, C$2:C34, C34)</f>
        <v>10502.009999999997</v>
      </c>
    </row>
    <row r="35" spans="1:6" ht="19.95" customHeight="1" x14ac:dyDescent="0.3">
      <c r="A35" s="4">
        <v>9</v>
      </c>
      <c r="B35" s="4" t="s">
        <v>82</v>
      </c>
      <c r="C35" s="2" t="s">
        <v>23</v>
      </c>
      <c r="D35" s="3" t="s">
        <v>72</v>
      </c>
      <c r="E35" s="7">
        <f>IF(AND(A35&gt;='01_PRESUPUESTO_CRONOGRAMA_BASE'!K4, A35&lt;='01_PRESUPUESTO_CRONOGRAMA_BASE'!L4), '01_PRESUPUESTO_CRONOGRAMA_BASE'!M4, 0) + IF(AND(A35&gt;='01_PRESUPUESTO_CRONOGRAMA_BASE'!K5, A35&lt;='01_PRESUPUESTO_CRONOGRAMA_BASE'!L5), '01_PRESUPUESTO_CRONOGRAMA_BASE'!M5, 0) + IF(AND(A35&gt;='01_PRESUPUESTO_CRONOGRAMA_BASE'!K6, A35&lt;='01_PRESUPUESTO_CRONOGRAMA_BASE'!L6), '01_PRESUPUESTO_CRONOGRAMA_BASE'!M6, 0) + IF(AND(A35&gt;='01_PRESUPUESTO_CRONOGRAMA_BASE'!K7, A35&lt;='01_PRESUPUESTO_CRONOGRAMA_BASE'!L7), '01_PRESUPUESTO_CRONOGRAMA_BASE'!M7, 0) + IF(AND(A35&gt;='01_PRESUPUESTO_CRONOGRAMA_BASE'!K8, A35&lt;='01_PRESUPUESTO_CRONOGRAMA_BASE'!L8), '01_PRESUPUESTO_CRONOGRAMA_BASE'!M8, 0) + IF(AND(A35&gt;='01_PRESUPUESTO_CRONOGRAMA_BASE'!K9, A35&lt;='01_PRESUPUESTO_CRONOGRAMA_BASE'!L9), '01_PRESUPUESTO_CRONOGRAMA_BASE'!M9, 0)</f>
        <v>0</v>
      </c>
      <c r="F35" s="19">
        <f>SUMIFS(E$2:E35, C$2:C35, C35)</f>
        <v>0</v>
      </c>
    </row>
    <row r="36" spans="1:6" ht="19.95" customHeight="1" x14ac:dyDescent="0.3">
      <c r="A36" s="4">
        <v>9</v>
      </c>
      <c r="B36" s="4" t="s">
        <v>82</v>
      </c>
      <c r="C36" s="2" t="s">
        <v>49</v>
      </c>
      <c r="D36" s="3" t="s">
        <v>73</v>
      </c>
      <c r="E36" s="7">
        <f>IF(AND(A36&gt;='01_PRESUPUESTO_CRONOGRAMA_BASE'!K10, A36&lt;='01_PRESUPUESTO_CRONOGRAMA_BASE'!L10), '01_PRESUPUESTO_CRONOGRAMA_BASE'!M10, 0) + IF(AND(A36&gt;='01_PRESUPUESTO_CRONOGRAMA_BASE'!K11, A36&lt;='01_PRESUPUESTO_CRONOGRAMA_BASE'!L11), '01_PRESUPUESTO_CRONOGRAMA_BASE'!M11, 0)</f>
        <v>0</v>
      </c>
      <c r="F36" s="19">
        <f>SUMIFS(E$2:E36, C$2:C36, C36)</f>
        <v>0</v>
      </c>
    </row>
    <row r="37" spans="1:6" ht="19.95" customHeight="1" x14ac:dyDescent="0.3">
      <c r="A37" s="4">
        <v>9</v>
      </c>
      <c r="B37" s="4" t="s">
        <v>82</v>
      </c>
      <c r="C37" s="2" t="s">
        <v>56</v>
      </c>
      <c r="D37" s="3" t="s">
        <v>74</v>
      </c>
      <c r="E37" s="7">
        <f>IF(AND(A37&gt;='01_PRESUPUESTO_CRONOGRAMA_BASE'!K12, A37&lt;='01_PRESUPUESTO_CRONOGRAMA_BASE'!L12), '01_PRESUPUESTO_CRONOGRAMA_BASE'!M12, 0)</f>
        <v>0</v>
      </c>
      <c r="F37" s="19">
        <f>SUMIFS(E$2:E37, C$2:C37, C37)</f>
        <v>0</v>
      </c>
    </row>
    <row r="38" spans="1:6" ht="19.95" customHeight="1" x14ac:dyDescent="0.3">
      <c r="A38" s="4">
        <v>10</v>
      </c>
      <c r="B38" s="4" t="s">
        <v>26</v>
      </c>
      <c r="C38" s="2" t="s">
        <v>14</v>
      </c>
      <c r="D38" s="3" t="s">
        <v>71</v>
      </c>
      <c r="E38" s="7">
        <f>IF(AND(A38&gt;='01_PRESUPUESTO_CRONOGRAMA_BASE'!K2, A38&lt;='01_PRESUPUESTO_CRONOGRAMA_BASE'!L2), '01_PRESUPUESTO_CRONOGRAMA_BASE'!M2, 0) + IF(AND(A38&gt;='01_PRESUPUESTO_CRONOGRAMA_BASE'!K3, A38&lt;='01_PRESUPUESTO_CRONOGRAMA_BASE'!L3), '01_PRESUPUESTO_CRONOGRAMA_BASE'!M3, 0)</f>
        <v>1166.8899999999999</v>
      </c>
      <c r="F38" s="19">
        <f>SUMIFS(E$2:E38, C$2:C38, C38)</f>
        <v>11668.899999999996</v>
      </c>
    </row>
    <row r="39" spans="1:6" ht="19.95" customHeight="1" x14ac:dyDescent="0.3">
      <c r="A39" s="4">
        <v>10</v>
      </c>
      <c r="B39" s="4" t="s">
        <v>26</v>
      </c>
      <c r="C39" s="2" t="s">
        <v>23</v>
      </c>
      <c r="D39" s="3" t="s">
        <v>72</v>
      </c>
      <c r="E39" s="7">
        <f>IF(AND(A39&gt;='01_PRESUPUESTO_CRONOGRAMA_BASE'!K4, A39&lt;='01_PRESUPUESTO_CRONOGRAMA_BASE'!L4), '01_PRESUPUESTO_CRONOGRAMA_BASE'!M4, 0) + IF(AND(A39&gt;='01_PRESUPUESTO_CRONOGRAMA_BASE'!K5, A39&lt;='01_PRESUPUESTO_CRONOGRAMA_BASE'!L5), '01_PRESUPUESTO_CRONOGRAMA_BASE'!M5, 0) + IF(AND(A39&gt;='01_PRESUPUESTO_CRONOGRAMA_BASE'!K6, A39&lt;='01_PRESUPUESTO_CRONOGRAMA_BASE'!L6), '01_PRESUPUESTO_CRONOGRAMA_BASE'!M6, 0) + IF(AND(A39&gt;='01_PRESUPUESTO_CRONOGRAMA_BASE'!K7, A39&lt;='01_PRESUPUESTO_CRONOGRAMA_BASE'!L7), '01_PRESUPUESTO_CRONOGRAMA_BASE'!M7, 0) + IF(AND(A39&gt;='01_PRESUPUESTO_CRONOGRAMA_BASE'!K8, A39&lt;='01_PRESUPUESTO_CRONOGRAMA_BASE'!L8), '01_PRESUPUESTO_CRONOGRAMA_BASE'!M8, 0) + IF(AND(A39&gt;='01_PRESUPUESTO_CRONOGRAMA_BASE'!K9, A39&lt;='01_PRESUPUESTO_CRONOGRAMA_BASE'!L9), '01_PRESUPUESTO_CRONOGRAMA_BASE'!M9, 0)</f>
        <v>2798.4</v>
      </c>
      <c r="F39" s="19">
        <f>SUMIFS(E$2:E39, C$2:C39, C39)</f>
        <v>2798.4</v>
      </c>
    </row>
    <row r="40" spans="1:6" ht="19.95" customHeight="1" x14ac:dyDescent="0.3">
      <c r="A40" s="4">
        <v>10</v>
      </c>
      <c r="B40" s="4" t="s">
        <v>26</v>
      </c>
      <c r="C40" s="2" t="s">
        <v>49</v>
      </c>
      <c r="D40" s="3" t="s">
        <v>73</v>
      </c>
      <c r="E40" s="7">
        <f>IF(AND(A40&gt;='01_PRESUPUESTO_CRONOGRAMA_BASE'!K10, A40&lt;='01_PRESUPUESTO_CRONOGRAMA_BASE'!L10), '01_PRESUPUESTO_CRONOGRAMA_BASE'!M10, 0) + IF(AND(A40&gt;='01_PRESUPUESTO_CRONOGRAMA_BASE'!K11, A40&lt;='01_PRESUPUESTO_CRONOGRAMA_BASE'!L11), '01_PRESUPUESTO_CRONOGRAMA_BASE'!M11, 0)</f>
        <v>0</v>
      </c>
      <c r="F40" s="19">
        <f>SUMIFS(E$2:E40, C$2:C40, C40)</f>
        <v>0</v>
      </c>
    </row>
    <row r="41" spans="1:6" ht="19.95" customHeight="1" x14ac:dyDescent="0.3">
      <c r="A41" s="4">
        <v>10</v>
      </c>
      <c r="B41" s="4" t="s">
        <v>26</v>
      </c>
      <c r="C41" s="2" t="s">
        <v>56</v>
      </c>
      <c r="D41" s="3" t="s">
        <v>74</v>
      </c>
      <c r="E41" s="7">
        <f>IF(AND(A41&gt;='01_PRESUPUESTO_CRONOGRAMA_BASE'!K12, A41&lt;='01_PRESUPUESTO_CRONOGRAMA_BASE'!L12), '01_PRESUPUESTO_CRONOGRAMA_BASE'!M12, 0)</f>
        <v>0</v>
      </c>
      <c r="F41" s="19">
        <f>SUMIFS(E$2:E41, C$2:C41, C41)</f>
        <v>0</v>
      </c>
    </row>
    <row r="42" spans="1:6" ht="19.95" customHeight="1" x14ac:dyDescent="0.3">
      <c r="A42" s="4">
        <v>11</v>
      </c>
      <c r="B42" s="4" t="s">
        <v>83</v>
      </c>
      <c r="C42" s="2" t="s">
        <v>14</v>
      </c>
      <c r="D42" s="3" t="s">
        <v>71</v>
      </c>
      <c r="E42" s="7">
        <f>IF(AND(A42&gt;='01_PRESUPUESTO_CRONOGRAMA_BASE'!K2, A42&lt;='01_PRESUPUESTO_CRONOGRAMA_BASE'!L2), '01_PRESUPUESTO_CRONOGRAMA_BASE'!M2, 0) + IF(AND(A42&gt;='01_PRESUPUESTO_CRONOGRAMA_BASE'!K3, A42&lt;='01_PRESUPUESTO_CRONOGRAMA_BASE'!L3), '01_PRESUPUESTO_CRONOGRAMA_BASE'!M3, 0)</f>
        <v>1166.8899999999999</v>
      </c>
      <c r="F42" s="19">
        <f>SUMIFS(E$2:E42, C$2:C42, C42)</f>
        <v>12835.789999999995</v>
      </c>
    </row>
    <row r="43" spans="1:6" ht="19.95" customHeight="1" x14ac:dyDescent="0.3">
      <c r="A43" s="4">
        <v>11</v>
      </c>
      <c r="B43" s="4" t="s">
        <v>83</v>
      </c>
      <c r="C43" s="2" t="s">
        <v>23</v>
      </c>
      <c r="D43" s="3" t="s">
        <v>72</v>
      </c>
      <c r="E43" s="7">
        <f>IF(AND(A43&gt;='01_PRESUPUESTO_CRONOGRAMA_BASE'!K4, A43&lt;='01_PRESUPUESTO_CRONOGRAMA_BASE'!L4), '01_PRESUPUESTO_CRONOGRAMA_BASE'!M4, 0) + IF(AND(A43&gt;='01_PRESUPUESTO_CRONOGRAMA_BASE'!K5, A43&lt;='01_PRESUPUESTO_CRONOGRAMA_BASE'!L5), '01_PRESUPUESTO_CRONOGRAMA_BASE'!M5, 0) + IF(AND(A43&gt;='01_PRESUPUESTO_CRONOGRAMA_BASE'!K6, A43&lt;='01_PRESUPUESTO_CRONOGRAMA_BASE'!L6), '01_PRESUPUESTO_CRONOGRAMA_BASE'!M6, 0) + IF(AND(A43&gt;='01_PRESUPUESTO_CRONOGRAMA_BASE'!K7, A43&lt;='01_PRESUPUESTO_CRONOGRAMA_BASE'!L7), '01_PRESUPUESTO_CRONOGRAMA_BASE'!M7, 0) + IF(AND(A43&gt;='01_PRESUPUESTO_CRONOGRAMA_BASE'!K8, A43&lt;='01_PRESUPUESTO_CRONOGRAMA_BASE'!L8), '01_PRESUPUESTO_CRONOGRAMA_BASE'!M8, 0) + IF(AND(A43&gt;='01_PRESUPUESTO_CRONOGRAMA_BASE'!K9, A43&lt;='01_PRESUPUESTO_CRONOGRAMA_BASE'!L9), '01_PRESUPUESTO_CRONOGRAMA_BASE'!M9, 0)</f>
        <v>2798.4</v>
      </c>
      <c r="F43" s="19">
        <f>SUMIFS(E$2:E43, C$2:C43, C43)</f>
        <v>5596.8</v>
      </c>
    </row>
    <row r="44" spans="1:6" ht="19.95" customHeight="1" x14ac:dyDescent="0.3">
      <c r="A44" s="4">
        <v>11</v>
      </c>
      <c r="B44" s="4" t="s">
        <v>83</v>
      </c>
      <c r="C44" s="2" t="s">
        <v>49</v>
      </c>
      <c r="D44" s="3" t="s">
        <v>73</v>
      </c>
      <c r="E44" s="7">
        <f>IF(AND(A44&gt;='01_PRESUPUESTO_CRONOGRAMA_BASE'!K10, A44&lt;='01_PRESUPUESTO_CRONOGRAMA_BASE'!L10), '01_PRESUPUESTO_CRONOGRAMA_BASE'!M10, 0) + IF(AND(A44&gt;='01_PRESUPUESTO_CRONOGRAMA_BASE'!K11, A44&lt;='01_PRESUPUESTO_CRONOGRAMA_BASE'!L11), '01_PRESUPUESTO_CRONOGRAMA_BASE'!M11, 0)</f>
        <v>0</v>
      </c>
      <c r="F44" s="19">
        <f>SUMIFS(E$2:E44, C$2:C44, C44)</f>
        <v>0</v>
      </c>
    </row>
    <row r="45" spans="1:6" ht="19.95" customHeight="1" x14ac:dyDescent="0.3">
      <c r="A45" s="4">
        <v>11</v>
      </c>
      <c r="B45" s="4" t="s">
        <v>83</v>
      </c>
      <c r="C45" s="2" t="s">
        <v>56</v>
      </c>
      <c r="D45" s="3" t="s">
        <v>74</v>
      </c>
      <c r="E45" s="7">
        <f>IF(AND(A45&gt;='01_PRESUPUESTO_CRONOGRAMA_BASE'!K12, A45&lt;='01_PRESUPUESTO_CRONOGRAMA_BASE'!L12), '01_PRESUPUESTO_CRONOGRAMA_BASE'!M12, 0)</f>
        <v>0</v>
      </c>
      <c r="F45" s="19">
        <f>SUMIFS(E$2:E45, C$2:C45, C45)</f>
        <v>0</v>
      </c>
    </row>
    <row r="46" spans="1:6" ht="19.95" customHeight="1" x14ac:dyDescent="0.3">
      <c r="A46" s="4">
        <v>12</v>
      </c>
      <c r="B46" s="4" t="s">
        <v>30</v>
      </c>
      <c r="C46" s="2" t="s">
        <v>14</v>
      </c>
      <c r="D46" s="3" t="s">
        <v>71</v>
      </c>
      <c r="E46" s="7">
        <f>IF(AND(A46&gt;='01_PRESUPUESTO_CRONOGRAMA_BASE'!K2, A46&lt;='01_PRESUPUESTO_CRONOGRAMA_BASE'!L2), '01_PRESUPUESTO_CRONOGRAMA_BASE'!M2, 0) + IF(AND(A46&gt;='01_PRESUPUESTO_CRONOGRAMA_BASE'!K3, A46&lt;='01_PRESUPUESTO_CRONOGRAMA_BASE'!L3), '01_PRESUPUESTO_CRONOGRAMA_BASE'!M3, 0)</f>
        <v>1166.8899999999999</v>
      </c>
      <c r="F46" s="19">
        <f>SUMIFS(E$2:E46, C$2:C46, C46)</f>
        <v>14002.679999999995</v>
      </c>
    </row>
    <row r="47" spans="1:6" ht="19.95" customHeight="1" x14ac:dyDescent="0.3">
      <c r="A47" s="4">
        <v>12</v>
      </c>
      <c r="B47" s="4" t="s">
        <v>30</v>
      </c>
      <c r="C47" s="2" t="s">
        <v>23</v>
      </c>
      <c r="D47" s="3" t="s">
        <v>72</v>
      </c>
      <c r="E47" s="7">
        <f>IF(AND(A47&gt;='01_PRESUPUESTO_CRONOGRAMA_BASE'!K4, A47&lt;='01_PRESUPUESTO_CRONOGRAMA_BASE'!L4), '01_PRESUPUESTO_CRONOGRAMA_BASE'!M4, 0) + IF(AND(A47&gt;='01_PRESUPUESTO_CRONOGRAMA_BASE'!K5, A47&lt;='01_PRESUPUESTO_CRONOGRAMA_BASE'!L5), '01_PRESUPUESTO_CRONOGRAMA_BASE'!M5, 0) + IF(AND(A47&gt;='01_PRESUPUESTO_CRONOGRAMA_BASE'!K6, A47&lt;='01_PRESUPUESTO_CRONOGRAMA_BASE'!L6), '01_PRESUPUESTO_CRONOGRAMA_BASE'!M6, 0) + IF(AND(A47&gt;='01_PRESUPUESTO_CRONOGRAMA_BASE'!K7, A47&lt;='01_PRESUPUESTO_CRONOGRAMA_BASE'!L7), '01_PRESUPUESTO_CRONOGRAMA_BASE'!M7, 0) + IF(AND(A47&gt;='01_PRESUPUESTO_CRONOGRAMA_BASE'!K8, A47&lt;='01_PRESUPUESTO_CRONOGRAMA_BASE'!L8), '01_PRESUPUESTO_CRONOGRAMA_BASE'!M8, 0) + IF(AND(A47&gt;='01_PRESUPUESTO_CRONOGRAMA_BASE'!K9, A47&lt;='01_PRESUPUESTO_CRONOGRAMA_BASE'!L9), '01_PRESUPUESTO_CRONOGRAMA_BASE'!M9, 0)</f>
        <v>4368.2800000000007</v>
      </c>
      <c r="F47" s="19">
        <f>SUMIFS(E$2:E47, C$2:C47, C47)</f>
        <v>9965.0800000000017</v>
      </c>
    </row>
    <row r="48" spans="1:6" ht="19.95" customHeight="1" x14ac:dyDescent="0.3">
      <c r="A48" s="4">
        <v>12</v>
      </c>
      <c r="B48" s="4" t="s">
        <v>30</v>
      </c>
      <c r="C48" s="2" t="s">
        <v>49</v>
      </c>
      <c r="D48" s="3" t="s">
        <v>73</v>
      </c>
      <c r="E48" s="7">
        <f>IF(AND(A48&gt;='01_PRESUPUESTO_CRONOGRAMA_BASE'!K10, A48&lt;='01_PRESUPUESTO_CRONOGRAMA_BASE'!L10), '01_PRESUPUESTO_CRONOGRAMA_BASE'!M10, 0) + IF(AND(A48&gt;='01_PRESUPUESTO_CRONOGRAMA_BASE'!K11, A48&lt;='01_PRESUPUESTO_CRONOGRAMA_BASE'!L11), '01_PRESUPUESTO_CRONOGRAMA_BASE'!M11, 0)</f>
        <v>0</v>
      </c>
      <c r="F48" s="19">
        <f>SUMIFS(E$2:E48, C$2:C48, C48)</f>
        <v>0</v>
      </c>
    </row>
    <row r="49" spans="1:6" ht="19.95" customHeight="1" x14ac:dyDescent="0.3">
      <c r="A49" s="4">
        <v>12</v>
      </c>
      <c r="B49" s="4" t="s">
        <v>30</v>
      </c>
      <c r="C49" s="2" t="s">
        <v>56</v>
      </c>
      <c r="D49" s="3" t="s">
        <v>74</v>
      </c>
      <c r="E49" s="7">
        <f>IF(AND(A49&gt;='01_PRESUPUESTO_CRONOGRAMA_BASE'!K12, A49&lt;='01_PRESUPUESTO_CRONOGRAMA_BASE'!L12), '01_PRESUPUESTO_CRONOGRAMA_BASE'!M12, 0)</f>
        <v>0</v>
      </c>
      <c r="F49" s="19">
        <f>SUMIFS(E$2:E49, C$2:C49, C49)</f>
        <v>0</v>
      </c>
    </row>
    <row r="50" spans="1:6" ht="19.95" customHeight="1" x14ac:dyDescent="0.3">
      <c r="A50" s="4">
        <v>13</v>
      </c>
      <c r="B50" s="4" t="s">
        <v>84</v>
      </c>
      <c r="C50" s="2" t="s">
        <v>14</v>
      </c>
      <c r="D50" s="3" t="s">
        <v>71</v>
      </c>
      <c r="E50" s="7">
        <f>IF(AND(A50&gt;='01_PRESUPUESTO_CRONOGRAMA_BASE'!K2, A50&lt;='01_PRESUPUESTO_CRONOGRAMA_BASE'!L2), '01_PRESUPUESTO_CRONOGRAMA_BASE'!M2, 0) + IF(AND(A50&gt;='01_PRESUPUESTO_CRONOGRAMA_BASE'!K3, A50&lt;='01_PRESUPUESTO_CRONOGRAMA_BASE'!L3), '01_PRESUPUESTO_CRONOGRAMA_BASE'!M3, 0)</f>
        <v>1166.8899999999999</v>
      </c>
      <c r="F50" s="19">
        <f>SUMIFS(E$2:E50, C$2:C50, C50)</f>
        <v>15169.569999999994</v>
      </c>
    </row>
    <row r="51" spans="1:6" ht="19.95" customHeight="1" x14ac:dyDescent="0.3">
      <c r="A51" s="4">
        <v>13</v>
      </c>
      <c r="B51" s="4" t="s">
        <v>84</v>
      </c>
      <c r="C51" s="2" t="s">
        <v>23</v>
      </c>
      <c r="D51" s="3" t="s">
        <v>72</v>
      </c>
      <c r="E51" s="7">
        <f>IF(AND(A51&gt;='01_PRESUPUESTO_CRONOGRAMA_BASE'!K4, A51&lt;='01_PRESUPUESTO_CRONOGRAMA_BASE'!L4), '01_PRESUPUESTO_CRONOGRAMA_BASE'!M4, 0) + IF(AND(A51&gt;='01_PRESUPUESTO_CRONOGRAMA_BASE'!K5, A51&lt;='01_PRESUPUESTO_CRONOGRAMA_BASE'!L5), '01_PRESUPUESTO_CRONOGRAMA_BASE'!M5, 0) + IF(AND(A51&gt;='01_PRESUPUESTO_CRONOGRAMA_BASE'!K6, A51&lt;='01_PRESUPUESTO_CRONOGRAMA_BASE'!L6), '01_PRESUPUESTO_CRONOGRAMA_BASE'!M6, 0) + IF(AND(A51&gt;='01_PRESUPUESTO_CRONOGRAMA_BASE'!K7, A51&lt;='01_PRESUPUESTO_CRONOGRAMA_BASE'!L7), '01_PRESUPUESTO_CRONOGRAMA_BASE'!M7, 0) + IF(AND(A51&gt;='01_PRESUPUESTO_CRONOGRAMA_BASE'!K8, A51&lt;='01_PRESUPUESTO_CRONOGRAMA_BASE'!L8), '01_PRESUPUESTO_CRONOGRAMA_BASE'!M8, 0) + IF(AND(A51&gt;='01_PRESUPUESTO_CRONOGRAMA_BASE'!K9, A51&lt;='01_PRESUPUESTO_CRONOGRAMA_BASE'!L9), '01_PRESUPUESTO_CRONOGRAMA_BASE'!M9, 0)</f>
        <v>4368.2800000000007</v>
      </c>
      <c r="F51" s="19">
        <f>SUMIFS(E$2:E51, C$2:C51, C51)</f>
        <v>14333.360000000002</v>
      </c>
    </row>
    <row r="52" spans="1:6" ht="19.95" customHeight="1" x14ac:dyDescent="0.3">
      <c r="A52" s="4">
        <v>13</v>
      </c>
      <c r="B52" s="4" t="s">
        <v>84</v>
      </c>
      <c r="C52" s="2" t="s">
        <v>49</v>
      </c>
      <c r="D52" s="3" t="s">
        <v>73</v>
      </c>
      <c r="E52" s="7">
        <f>IF(AND(A52&gt;='01_PRESUPUESTO_CRONOGRAMA_BASE'!K10, A52&lt;='01_PRESUPUESTO_CRONOGRAMA_BASE'!L10), '01_PRESUPUESTO_CRONOGRAMA_BASE'!M10, 0) + IF(AND(A52&gt;='01_PRESUPUESTO_CRONOGRAMA_BASE'!K11, A52&lt;='01_PRESUPUESTO_CRONOGRAMA_BASE'!L11), '01_PRESUPUESTO_CRONOGRAMA_BASE'!M11, 0)</f>
        <v>0</v>
      </c>
      <c r="F52" s="19">
        <f>SUMIFS(E$2:E52, C$2:C52, C52)</f>
        <v>0</v>
      </c>
    </row>
    <row r="53" spans="1:6" ht="19.95" customHeight="1" x14ac:dyDescent="0.3">
      <c r="A53" s="4">
        <v>13</v>
      </c>
      <c r="B53" s="4" t="s">
        <v>84</v>
      </c>
      <c r="C53" s="2" t="s">
        <v>56</v>
      </c>
      <c r="D53" s="3" t="s">
        <v>74</v>
      </c>
      <c r="E53" s="7">
        <f>IF(AND(A53&gt;='01_PRESUPUESTO_CRONOGRAMA_BASE'!K12, A53&lt;='01_PRESUPUESTO_CRONOGRAMA_BASE'!L12), '01_PRESUPUESTO_CRONOGRAMA_BASE'!M12, 0)</f>
        <v>0</v>
      </c>
      <c r="F53" s="19">
        <f>SUMIFS(E$2:E53, C$2:C53, C53)</f>
        <v>0</v>
      </c>
    </row>
    <row r="54" spans="1:6" ht="19.95" customHeight="1" x14ac:dyDescent="0.3">
      <c r="A54" s="4">
        <v>14</v>
      </c>
      <c r="B54" s="4" t="s">
        <v>18</v>
      </c>
      <c r="C54" s="2" t="s">
        <v>14</v>
      </c>
      <c r="D54" s="3" t="s">
        <v>71</v>
      </c>
      <c r="E54" s="7">
        <f>IF(AND(A54&gt;='01_PRESUPUESTO_CRONOGRAMA_BASE'!K2, A54&lt;='01_PRESUPUESTO_CRONOGRAMA_BASE'!L2), '01_PRESUPUESTO_CRONOGRAMA_BASE'!M2, 0) + IF(AND(A54&gt;='01_PRESUPUESTO_CRONOGRAMA_BASE'!K3, A54&lt;='01_PRESUPUESTO_CRONOGRAMA_BASE'!L3), '01_PRESUPUESTO_CRONOGRAMA_BASE'!M3, 0)</f>
        <v>1166.8899999999999</v>
      </c>
      <c r="F54" s="19">
        <f>SUMIFS(E$2:E54, C$2:C54, C54)</f>
        <v>16336.459999999994</v>
      </c>
    </row>
    <row r="55" spans="1:6" ht="19.95" customHeight="1" x14ac:dyDescent="0.3">
      <c r="A55" s="4">
        <v>14</v>
      </c>
      <c r="B55" s="4" t="s">
        <v>18</v>
      </c>
      <c r="C55" s="2" t="s">
        <v>23</v>
      </c>
      <c r="D55" s="3" t="s">
        <v>72</v>
      </c>
      <c r="E55" s="7">
        <f>IF(AND(A55&gt;='01_PRESUPUESTO_CRONOGRAMA_BASE'!K4, A55&lt;='01_PRESUPUESTO_CRONOGRAMA_BASE'!L4), '01_PRESUPUESTO_CRONOGRAMA_BASE'!M4, 0) + IF(AND(A55&gt;='01_PRESUPUESTO_CRONOGRAMA_BASE'!K5, A55&lt;='01_PRESUPUESTO_CRONOGRAMA_BASE'!L5), '01_PRESUPUESTO_CRONOGRAMA_BASE'!M5, 0) + IF(AND(A55&gt;='01_PRESUPUESTO_CRONOGRAMA_BASE'!K6, A55&lt;='01_PRESUPUESTO_CRONOGRAMA_BASE'!L6), '01_PRESUPUESTO_CRONOGRAMA_BASE'!M6, 0) + IF(AND(A55&gt;='01_PRESUPUESTO_CRONOGRAMA_BASE'!K7, A55&lt;='01_PRESUPUESTO_CRONOGRAMA_BASE'!L7), '01_PRESUPUESTO_CRONOGRAMA_BASE'!M7, 0) + IF(AND(A55&gt;='01_PRESUPUESTO_CRONOGRAMA_BASE'!K8, A55&lt;='01_PRESUPUESTO_CRONOGRAMA_BASE'!L8), '01_PRESUPUESTO_CRONOGRAMA_BASE'!M8, 0) + IF(AND(A55&gt;='01_PRESUPUESTO_CRONOGRAMA_BASE'!K9, A55&lt;='01_PRESUPUESTO_CRONOGRAMA_BASE'!L9), '01_PRESUPUESTO_CRONOGRAMA_BASE'!M9, 0)</f>
        <v>4368.2800000000007</v>
      </c>
      <c r="F55" s="19">
        <f>SUMIFS(E$2:E55, C$2:C55, C55)</f>
        <v>18701.640000000003</v>
      </c>
    </row>
    <row r="56" spans="1:6" ht="19.95" customHeight="1" x14ac:dyDescent="0.3">
      <c r="A56" s="4">
        <v>14</v>
      </c>
      <c r="B56" s="4" t="s">
        <v>18</v>
      </c>
      <c r="C56" s="2" t="s">
        <v>49</v>
      </c>
      <c r="D56" s="3" t="s">
        <v>73</v>
      </c>
      <c r="E56" s="7">
        <f>IF(AND(A56&gt;='01_PRESUPUESTO_CRONOGRAMA_BASE'!K10, A56&lt;='01_PRESUPUESTO_CRONOGRAMA_BASE'!L10), '01_PRESUPUESTO_CRONOGRAMA_BASE'!M10, 0) + IF(AND(A56&gt;='01_PRESUPUESTO_CRONOGRAMA_BASE'!K11, A56&lt;='01_PRESUPUESTO_CRONOGRAMA_BASE'!L11), '01_PRESUPUESTO_CRONOGRAMA_BASE'!M11, 0)</f>
        <v>0</v>
      </c>
      <c r="F56" s="19">
        <f>SUMIFS(E$2:E56, C$2:C56, C56)</f>
        <v>0</v>
      </c>
    </row>
    <row r="57" spans="1:6" ht="19.95" customHeight="1" x14ac:dyDescent="0.3">
      <c r="A57" s="4">
        <v>14</v>
      </c>
      <c r="B57" s="4" t="s">
        <v>18</v>
      </c>
      <c r="C57" s="2" t="s">
        <v>56</v>
      </c>
      <c r="D57" s="3" t="s">
        <v>74</v>
      </c>
      <c r="E57" s="7">
        <f>IF(AND(A57&gt;='01_PRESUPUESTO_CRONOGRAMA_BASE'!K12, A57&lt;='01_PRESUPUESTO_CRONOGRAMA_BASE'!L12), '01_PRESUPUESTO_CRONOGRAMA_BASE'!M12, 0)</f>
        <v>0</v>
      </c>
      <c r="F57" s="19">
        <f>SUMIFS(E$2:E57, C$2:C57, C57)</f>
        <v>0</v>
      </c>
    </row>
    <row r="58" spans="1:6" ht="19.95" customHeight="1" x14ac:dyDescent="0.3">
      <c r="A58" s="4">
        <v>15</v>
      </c>
      <c r="B58" s="4" t="s">
        <v>34</v>
      </c>
      <c r="C58" s="2" t="s">
        <v>14</v>
      </c>
      <c r="D58" s="3" t="s">
        <v>71</v>
      </c>
      <c r="E58" s="7">
        <f>IF(AND(A58&gt;='01_PRESUPUESTO_CRONOGRAMA_BASE'!K2, A58&lt;='01_PRESUPUESTO_CRONOGRAMA_BASE'!L2), '01_PRESUPUESTO_CRONOGRAMA_BASE'!M2, 0) + IF(AND(A58&gt;='01_PRESUPUESTO_CRONOGRAMA_BASE'!K3, A58&lt;='01_PRESUPUESTO_CRONOGRAMA_BASE'!L3), '01_PRESUPUESTO_CRONOGRAMA_BASE'!M3, 0)</f>
        <v>0</v>
      </c>
      <c r="F58" s="19">
        <f>SUMIFS(E$2:E58, C$2:C58, C58)</f>
        <v>16336.459999999994</v>
      </c>
    </row>
    <row r="59" spans="1:6" ht="19.95" customHeight="1" x14ac:dyDescent="0.3">
      <c r="A59" s="4">
        <v>15</v>
      </c>
      <c r="B59" s="4" t="s">
        <v>34</v>
      </c>
      <c r="C59" s="2" t="s">
        <v>23</v>
      </c>
      <c r="D59" s="3" t="s">
        <v>72</v>
      </c>
      <c r="E59" s="7">
        <f>IF(AND(A59&gt;='01_PRESUPUESTO_CRONOGRAMA_BASE'!K4, A59&lt;='01_PRESUPUESTO_CRONOGRAMA_BASE'!L4), '01_PRESUPUESTO_CRONOGRAMA_BASE'!M4, 0) + IF(AND(A59&gt;='01_PRESUPUESTO_CRONOGRAMA_BASE'!K5, A59&lt;='01_PRESUPUESTO_CRONOGRAMA_BASE'!L5), '01_PRESUPUESTO_CRONOGRAMA_BASE'!M5, 0) + IF(AND(A59&gt;='01_PRESUPUESTO_CRONOGRAMA_BASE'!K6, A59&lt;='01_PRESUPUESTO_CRONOGRAMA_BASE'!L6), '01_PRESUPUESTO_CRONOGRAMA_BASE'!M6, 0) + IF(AND(A59&gt;='01_PRESUPUESTO_CRONOGRAMA_BASE'!K7, A59&lt;='01_PRESUPUESTO_CRONOGRAMA_BASE'!L7), '01_PRESUPUESTO_CRONOGRAMA_BASE'!M7, 0) + IF(AND(A59&gt;='01_PRESUPUESTO_CRONOGRAMA_BASE'!K8, A59&lt;='01_PRESUPUESTO_CRONOGRAMA_BASE'!L8), '01_PRESUPUESTO_CRONOGRAMA_BASE'!M8, 0) + IF(AND(A59&gt;='01_PRESUPUESTO_CRONOGRAMA_BASE'!K9, A59&lt;='01_PRESUPUESTO_CRONOGRAMA_BASE'!L9), '01_PRESUPUESTO_CRONOGRAMA_BASE'!M9, 0)</f>
        <v>8939.69</v>
      </c>
      <c r="F59" s="19">
        <f>SUMIFS(E$2:E59, C$2:C59, C59)</f>
        <v>27641.33</v>
      </c>
    </row>
    <row r="60" spans="1:6" ht="19.95" customHeight="1" x14ac:dyDescent="0.3">
      <c r="A60" s="4">
        <v>15</v>
      </c>
      <c r="B60" s="4" t="s">
        <v>34</v>
      </c>
      <c r="C60" s="2" t="s">
        <v>49</v>
      </c>
      <c r="D60" s="3" t="s">
        <v>73</v>
      </c>
      <c r="E60" s="7">
        <f>IF(AND(A60&gt;='01_PRESUPUESTO_CRONOGRAMA_BASE'!K10, A60&lt;='01_PRESUPUESTO_CRONOGRAMA_BASE'!L10), '01_PRESUPUESTO_CRONOGRAMA_BASE'!M10, 0) + IF(AND(A60&gt;='01_PRESUPUESTO_CRONOGRAMA_BASE'!K11, A60&lt;='01_PRESUPUESTO_CRONOGRAMA_BASE'!L11), '01_PRESUPUESTO_CRONOGRAMA_BASE'!M11, 0)</f>
        <v>0</v>
      </c>
      <c r="F60" s="19">
        <f>SUMIFS(E$2:E60, C$2:C60, C60)</f>
        <v>0</v>
      </c>
    </row>
    <row r="61" spans="1:6" ht="19.95" customHeight="1" x14ac:dyDescent="0.3">
      <c r="A61" s="4">
        <v>15</v>
      </c>
      <c r="B61" s="4" t="s">
        <v>34</v>
      </c>
      <c r="C61" s="2" t="s">
        <v>56</v>
      </c>
      <c r="D61" s="3" t="s">
        <v>74</v>
      </c>
      <c r="E61" s="7">
        <f>IF(AND(A61&gt;='01_PRESUPUESTO_CRONOGRAMA_BASE'!K12, A61&lt;='01_PRESUPUESTO_CRONOGRAMA_BASE'!L12), '01_PRESUPUESTO_CRONOGRAMA_BASE'!M12, 0)</f>
        <v>0</v>
      </c>
      <c r="F61" s="19">
        <f>SUMIFS(E$2:E61, C$2:C61, C61)</f>
        <v>0</v>
      </c>
    </row>
    <row r="62" spans="1:6" ht="19.95" customHeight="1" x14ac:dyDescent="0.3">
      <c r="A62" s="4">
        <v>16</v>
      </c>
      <c r="B62" s="4" t="s">
        <v>85</v>
      </c>
      <c r="C62" s="2" t="s">
        <v>14</v>
      </c>
      <c r="D62" s="3" t="s">
        <v>71</v>
      </c>
      <c r="E62" s="7">
        <f>IF(AND(A62&gt;='01_PRESUPUESTO_CRONOGRAMA_BASE'!K2, A62&lt;='01_PRESUPUESTO_CRONOGRAMA_BASE'!L2), '01_PRESUPUESTO_CRONOGRAMA_BASE'!M2, 0) + IF(AND(A62&gt;='01_PRESUPUESTO_CRONOGRAMA_BASE'!K3, A62&lt;='01_PRESUPUESTO_CRONOGRAMA_BASE'!L3), '01_PRESUPUESTO_CRONOGRAMA_BASE'!M3, 0)</f>
        <v>0</v>
      </c>
      <c r="F62" s="19">
        <f>SUMIFS(E$2:E62, C$2:C62, C62)</f>
        <v>16336.459999999994</v>
      </c>
    </row>
    <row r="63" spans="1:6" ht="19.95" customHeight="1" x14ac:dyDescent="0.3">
      <c r="A63" s="4">
        <v>16</v>
      </c>
      <c r="B63" s="4" t="s">
        <v>85</v>
      </c>
      <c r="C63" s="2" t="s">
        <v>23</v>
      </c>
      <c r="D63" s="3" t="s">
        <v>72</v>
      </c>
      <c r="E63" s="7">
        <f>IF(AND(A63&gt;='01_PRESUPUESTO_CRONOGRAMA_BASE'!K4, A63&lt;='01_PRESUPUESTO_CRONOGRAMA_BASE'!L4), '01_PRESUPUESTO_CRONOGRAMA_BASE'!M4, 0) + IF(AND(A63&gt;='01_PRESUPUESTO_CRONOGRAMA_BASE'!K5, A63&lt;='01_PRESUPUESTO_CRONOGRAMA_BASE'!L5), '01_PRESUPUESTO_CRONOGRAMA_BASE'!M5, 0) + IF(AND(A63&gt;='01_PRESUPUESTO_CRONOGRAMA_BASE'!K6, A63&lt;='01_PRESUPUESTO_CRONOGRAMA_BASE'!L6), '01_PRESUPUESTO_CRONOGRAMA_BASE'!M6, 0) + IF(AND(A63&gt;='01_PRESUPUESTO_CRONOGRAMA_BASE'!K7, A63&lt;='01_PRESUPUESTO_CRONOGRAMA_BASE'!L7), '01_PRESUPUESTO_CRONOGRAMA_BASE'!M7, 0) + IF(AND(A63&gt;='01_PRESUPUESTO_CRONOGRAMA_BASE'!K8, A63&lt;='01_PRESUPUESTO_CRONOGRAMA_BASE'!L8), '01_PRESUPUESTO_CRONOGRAMA_BASE'!M8, 0) + IF(AND(A63&gt;='01_PRESUPUESTO_CRONOGRAMA_BASE'!K9, A63&lt;='01_PRESUPUESTO_CRONOGRAMA_BASE'!L9), '01_PRESUPUESTO_CRONOGRAMA_BASE'!M9, 0)</f>
        <v>8939.69</v>
      </c>
      <c r="F63" s="19">
        <f>SUMIFS(E$2:E63, C$2:C63, C63)</f>
        <v>36581.020000000004</v>
      </c>
    </row>
    <row r="64" spans="1:6" ht="19.95" customHeight="1" x14ac:dyDescent="0.3">
      <c r="A64" s="4">
        <v>16</v>
      </c>
      <c r="B64" s="4" t="s">
        <v>85</v>
      </c>
      <c r="C64" s="2" t="s">
        <v>49</v>
      </c>
      <c r="D64" s="3" t="s">
        <v>73</v>
      </c>
      <c r="E64" s="7">
        <f>IF(AND(A64&gt;='01_PRESUPUESTO_CRONOGRAMA_BASE'!K10, A64&lt;='01_PRESUPUESTO_CRONOGRAMA_BASE'!L10), '01_PRESUPUESTO_CRONOGRAMA_BASE'!M10, 0) + IF(AND(A64&gt;='01_PRESUPUESTO_CRONOGRAMA_BASE'!K11, A64&lt;='01_PRESUPUESTO_CRONOGRAMA_BASE'!L11), '01_PRESUPUESTO_CRONOGRAMA_BASE'!M11, 0)</f>
        <v>0</v>
      </c>
      <c r="F64" s="19">
        <f>SUMIFS(E$2:E64, C$2:C64, C64)</f>
        <v>0</v>
      </c>
    </row>
    <row r="65" spans="1:6" ht="19.95" customHeight="1" x14ac:dyDescent="0.3">
      <c r="A65" s="4">
        <v>16</v>
      </c>
      <c r="B65" s="4" t="s">
        <v>85</v>
      </c>
      <c r="C65" s="2" t="s">
        <v>56</v>
      </c>
      <c r="D65" s="3" t="s">
        <v>74</v>
      </c>
      <c r="E65" s="7">
        <f>IF(AND(A65&gt;='01_PRESUPUESTO_CRONOGRAMA_BASE'!K12, A65&lt;='01_PRESUPUESTO_CRONOGRAMA_BASE'!L12), '01_PRESUPUESTO_CRONOGRAMA_BASE'!M12, 0)</f>
        <v>0</v>
      </c>
      <c r="F65" s="19">
        <f>SUMIFS(E$2:E65, C$2:C65, C65)</f>
        <v>0</v>
      </c>
    </row>
    <row r="66" spans="1:6" ht="19.95" customHeight="1" x14ac:dyDescent="0.3">
      <c r="A66" s="4">
        <v>17</v>
      </c>
      <c r="B66" s="4" t="s">
        <v>86</v>
      </c>
      <c r="C66" s="2" t="s">
        <v>14</v>
      </c>
      <c r="D66" s="3" t="s">
        <v>71</v>
      </c>
      <c r="E66" s="7">
        <f>IF(AND(A66&gt;='01_PRESUPUESTO_CRONOGRAMA_BASE'!K2, A66&lt;='01_PRESUPUESTO_CRONOGRAMA_BASE'!L2), '01_PRESUPUESTO_CRONOGRAMA_BASE'!M2, 0) + IF(AND(A66&gt;='01_PRESUPUESTO_CRONOGRAMA_BASE'!K3, A66&lt;='01_PRESUPUESTO_CRONOGRAMA_BASE'!L3), '01_PRESUPUESTO_CRONOGRAMA_BASE'!M3, 0)</f>
        <v>0</v>
      </c>
      <c r="F66" s="19">
        <f>SUMIFS(E$2:E66, C$2:C66, C66)</f>
        <v>16336.459999999994</v>
      </c>
    </row>
    <row r="67" spans="1:6" ht="19.95" customHeight="1" x14ac:dyDescent="0.3">
      <c r="A67" s="4">
        <v>17</v>
      </c>
      <c r="B67" s="4" t="s">
        <v>86</v>
      </c>
      <c r="C67" s="2" t="s">
        <v>23</v>
      </c>
      <c r="D67" s="3" t="s">
        <v>72</v>
      </c>
      <c r="E67" s="7">
        <f>IF(AND(A67&gt;='01_PRESUPUESTO_CRONOGRAMA_BASE'!K4, A67&lt;='01_PRESUPUESTO_CRONOGRAMA_BASE'!L4), '01_PRESUPUESTO_CRONOGRAMA_BASE'!M4, 0) + IF(AND(A67&gt;='01_PRESUPUESTO_CRONOGRAMA_BASE'!K5, A67&lt;='01_PRESUPUESTO_CRONOGRAMA_BASE'!L5), '01_PRESUPUESTO_CRONOGRAMA_BASE'!M5, 0) + IF(AND(A67&gt;='01_PRESUPUESTO_CRONOGRAMA_BASE'!K6, A67&lt;='01_PRESUPUESTO_CRONOGRAMA_BASE'!L6), '01_PRESUPUESTO_CRONOGRAMA_BASE'!M6, 0) + IF(AND(A67&gt;='01_PRESUPUESTO_CRONOGRAMA_BASE'!K7, A67&lt;='01_PRESUPUESTO_CRONOGRAMA_BASE'!L7), '01_PRESUPUESTO_CRONOGRAMA_BASE'!M7, 0) + IF(AND(A67&gt;='01_PRESUPUESTO_CRONOGRAMA_BASE'!K8, A67&lt;='01_PRESUPUESTO_CRONOGRAMA_BASE'!L8), '01_PRESUPUESTO_CRONOGRAMA_BASE'!M8, 0) + IF(AND(A67&gt;='01_PRESUPUESTO_CRONOGRAMA_BASE'!K9, A67&lt;='01_PRESUPUESTO_CRONOGRAMA_BASE'!L9), '01_PRESUPUESTO_CRONOGRAMA_BASE'!M9, 0)</f>
        <v>8939.69</v>
      </c>
      <c r="F67" s="19">
        <f>SUMIFS(E$2:E67, C$2:C67, C67)</f>
        <v>45520.710000000006</v>
      </c>
    </row>
    <row r="68" spans="1:6" ht="19.95" customHeight="1" x14ac:dyDescent="0.3">
      <c r="A68" s="4">
        <v>17</v>
      </c>
      <c r="B68" s="4" t="s">
        <v>86</v>
      </c>
      <c r="C68" s="2" t="s">
        <v>49</v>
      </c>
      <c r="D68" s="3" t="s">
        <v>73</v>
      </c>
      <c r="E68" s="7">
        <f>IF(AND(A68&gt;='01_PRESUPUESTO_CRONOGRAMA_BASE'!K10, A68&lt;='01_PRESUPUESTO_CRONOGRAMA_BASE'!L10), '01_PRESUPUESTO_CRONOGRAMA_BASE'!M10, 0) + IF(AND(A68&gt;='01_PRESUPUESTO_CRONOGRAMA_BASE'!K11, A68&lt;='01_PRESUPUESTO_CRONOGRAMA_BASE'!L11), '01_PRESUPUESTO_CRONOGRAMA_BASE'!M11, 0)</f>
        <v>0</v>
      </c>
      <c r="F68" s="19">
        <f>SUMIFS(E$2:E68, C$2:C68, C68)</f>
        <v>0</v>
      </c>
    </row>
    <row r="69" spans="1:6" ht="19.95" customHeight="1" x14ac:dyDescent="0.3">
      <c r="A69" s="4">
        <v>17</v>
      </c>
      <c r="B69" s="4" t="s">
        <v>86</v>
      </c>
      <c r="C69" s="2" t="s">
        <v>56</v>
      </c>
      <c r="D69" s="3" t="s">
        <v>74</v>
      </c>
      <c r="E69" s="7">
        <f>IF(AND(A69&gt;='01_PRESUPUESTO_CRONOGRAMA_BASE'!K12, A69&lt;='01_PRESUPUESTO_CRONOGRAMA_BASE'!L12), '01_PRESUPUESTO_CRONOGRAMA_BASE'!M12, 0)</f>
        <v>0</v>
      </c>
      <c r="F69" s="19">
        <f>SUMIFS(E$2:E69, C$2:C69, C69)</f>
        <v>0</v>
      </c>
    </row>
    <row r="70" spans="1:6" ht="19.95" customHeight="1" x14ac:dyDescent="0.3">
      <c r="A70" s="4">
        <v>18</v>
      </c>
      <c r="B70" s="4" t="s">
        <v>38</v>
      </c>
      <c r="C70" s="2" t="s">
        <v>14</v>
      </c>
      <c r="D70" s="3" t="s">
        <v>71</v>
      </c>
      <c r="E70" s="7">
        <f>IF(AND(A70&gt;='01_PRESUPUESTO_CRONOGRAMA_BASE'!K2, A70&lt;='01_PRESUPUESTO_CRONOGRAMA_BASE'!L2), '01_PRESUPUESTO_CRONOGRAMA_BASE'!M2, 0) + IF(AND(A70&gt;='01_PRESUPUESTO_CRONOGRAMA_BASE'!K3, A70&lt;='01_PRESUPUESTO_CRONOGRAMA_BASE'!L3), '01_PRESUPUESTO_CRONOGRAMA_BASE'!M3, 0)</f>
        <v>0</v>
      </c>
      <c r="F70" s="19">
        <f>SUMIFS(E$2:E70, C$2:C70, C70)</f>
        <v>16336.459999999994</v>
      </c>
    </row>
    <row r="71" spans="1:6" ht="19.95" customHeight="1" x14ac:dyDescent="0.3">
      <c r="A71" s="4">
        <v>18</v>
      </c>
      <c r="B71" s="4" t="s">
        <v>38</v>
      </c>
      <c r="C71" s="2" t="s">
        <v>23</v>
      </c>
      <c r="D71" s="3" t="s">
        <v>72</v>
      </c>
      <c r="E71" s="7">
        <f>IF(AND(A71&gt;='01_PRESUPUESTO_CRONOGRAMA_BASE'!K4, A71&lt;='01_PRESUPUESTO_CRONOGRAMA_BASE'!L4), '01_PRESUPUESTO_CRONOGRAMA_BASE'!M4, 0) + IF(AND(A71&gt;='01_PRESUPUESTO_CRONOGRAMA_BASE'!K5, A71&lt;='01_PRESUPUESTO_CRONOGRAMA_BASE'!L5), '01_PRESUPUESTO_CRONOGRAMA_BASE'!M5, 0) + IF(AND(A71&gt;='01_PRESUPUESTO_CRONOGRAMA_BASE'!K6, A71&lt;='01_PRESUPUESTO_CRONOGRAMA_BASE'!L6), '01_PRESUPUESTO_CRONOGRAMA_BASE'!M6, 0) + IF(AND(A71&gt;='01_PRESUPUESTO_CRONOGRAMA_BASE'!K7, A71&lt;='01_PRESUPUESTO_CRONOGRAMA_BASE'!L7), '01_PRESUPUESTO_CRONOGRAMA_BASE'!M7, 0) + IF(AND(A71&gt;='01_PRESUPUESTO_CRONOGRAMA_BASE'!K8, A71&lt;='01_PRESUPUESTO_CRONOGRAMA_BASE'!L8), '01_PRESUPUESTO_CRONOGRAMA_BASE'!M8, 0) + IF(AND(A71&gt;='01_PRESUPUESTO_CRONOGRAMA_BASE'!K9, A71&lt;='01_PRESUPUESTO_CRONOGRAMA_BASE'!L9), '01_PRESUPUESTO_CRONOGRAMA_BASE'!M9, 0)</f>
        <v>13896.64</v>
      </c>
      <c r="F71" s="19">
        <f>SUMIFS(E$2:E71, C$2:C71, C71)</f>
        <v>59417.350000000006</v>
      </c>
    </row>
    <row r="72" spans="1:6" ht="19.95" customHeight="1" x14ac:dyDescent="0.3">
      <c r="A72" s="4">
        <v>18</v>
      </c>
      <c r="B72" s="4" t="s">
        <v>38</v>
      </c>
      <c r="C72" s="2" t="s">
        <v>49</v>
      </c>
      <c r="D72" s="3" t="s">
        <v>73</v>
      </c>
      <c r="E72" s="7">
        <f>IF(AND(A72&gt;='01_PRESUPUESTO_CRONOGRAMA_BASE'!K10, A72&lt;='01_PRESUPUESTO_CRONOGRAMA_BASE'!L10), '01_PRESUPUESTO_CRONOGRAMA_BASE'!M10, 0) + IF(AND(A72&gt;='01_PRESUPUESTO_CRONOGRAMA_BASE'!K11, A72&lt;='01_PRESUPUESTO_CRONOGRAMA_BASE'!L11), '01_PRESUPUESTO_CRONOGRAMA_BASE'!M11, 0)</f>
        <v>0</v>
      </c>
      <c r="F72" s="19">
        <f>SUMIFS(E$2:E72, C$2:C72, C72)</f>
        <v>0</v>
      </c>
    </row>
    <row r="73" spans="1:6" ht="19.95" customHeight="1" x14ac:dyDescent="0.3">
      <c r="A73" s="4">
        <v>18</v>
      </c>
      <c r="B73" s="4" t="s">
        <v>38</v>
      </c>
      <c r="C73" s="2" t="s">
        <v>56</v>
      </c>
      <c r="D73" s="3" t="s">
        <v>74</v>
      </c>
      <c r="E73" s="7">
        <f>IF(AND(A73&gt;='01_PRESUPUESTO_CRONOGRAMA_BASE'!K12, A73&lt;='01_PRESUPUESTO_CRONOGRAMA_BASE'!L12), '01_PRESUPUESTO_CRONOGRAMA_BASE'!M12, 0)</f>
        <v>0</v>
      </c>
      <c r="F73" s="19">
        <f>SUMIFS(E$2:E73, C$2:C73, C73)</f>
        <v>0</v>
      </c>
    </row>
    <row r="74" spans="1:6" ht="19.95" customHeight="1" x14ac:dyDescent="0.3">
      <c r="A74" s="4">
        <v>19</v>
      </c>
      <c r="B74" s="4" t="s">
        <v>87</v>
      </c>
      <c r="C74" s="2" t="s">
        <v>14</v>
      </c>
      <c r="D74" s="3" t="s">
        <v>71</v>
      </c>
      <c r="E74" s="7">
        <f>IF(AND(A74&gt;='01_PRESUPUESTO_CRONOGRAMA_BASE'!K2, A74&lt;='01_PRESUPUESTO_CRONOGRAMA_BASE'!L2), '01_PRESUPUESTO_CRONOGRAMA_BASE'!M2, 0) + IF(AND(A74&gt;='01_PRESUPUESTO_CRONOGRAMA_BASE'!K3, A74&lt;='01_PRESUPUESTO_CRONOGRAMA_BASE'!L3), '01_PRESUPUESTO_CRONOGRAMA_BASE'!M3, 0)</f>
        <v>0</v>
      </c>
      <c r="F74" s="19">
        <f>SUMIFS(E$2:E74, C$2:C74, C74)</f>
        <v>16336.459999999994</v>
      </c>
    </row>
    <row r="75" spans="1:6" ht="19.95" customHeight="1" x14ac:dyDescent="0.3">
      <c r="A75" s="4">
        <v>19</v>
      </c>
      <c r="B75" s="4" t="s">
        <v>87</v>
      </c>
      <c r="C75" s="2" t="s">
        <v>23</v>
      </c>
      <c r="D75" s="3" t="s">
        <v>72</v>
      </c>
      <c r="E75" s="7">
        <f>IF(AND(A75&gt;='01_PRESUPUESTO_CRONOGRAMA_BASE'!K4, A75&lt;='01_PRESUPUESTO_CRONOGRAMA_BASE'!L4), '01_PRESUPUESTO_CRONOGRAMA_BASE'!M4, 0) + IF(AND(A75&gt;='01_PRESUPUESTO_CRONOGRAMA_BASE'!K5, A75&lt;='01_PRESUPUESTO_CRONOGRAMA_BASE'!L5), '01_PRESUPUESTO_CRONOGRAMA_BASE'!M5, 0) + IF(AND(A75&gt;='01_PRESUPUESTO_CRONOGRAMA_BASE'!K6, A75&lt;='01_PRESUPUESTO_CRONOGRAMA_BASE'!L6), '01_PRESUPUESTO_CRONOGRAMA_BASE'!M6, 0) + IF(AND(A75&gt;='01_PRESUPUESTO_CRONOGRAMA_BASE'!K7, A75&lt;='01_PRESUPUESTO_CRONOGRAMA_BASE'!L7), '01_PRESUPUESTO_CRONOGRAMA_BASE'!M7, 0) + IF(AND(A75&gt;='01_PRESUPUESTO_CRONOGRAMA_BASE'!K8, A75&lt;='01_PRESUPUESTO_CRONOGRAMA_BASE'!L8), '01_PRESUPUESTO_CRONOGRAMA_BASE'!M8, 0) + IF(AND(A75&gt;='01_PRESUPUESTO_CRONOGRAMA_BASE'!K9, A75&lt;='01_PRESUPUESTO_CRONOGRAMA_BASE'!L9), '01_PRESUPUESTO_CRONOGRAMA_BASE'!M9, 0)</f>
        <v>13896.64</v>
      </c>
      <c r="F75" s="19">
        <f>SUMIFS(E$2:E75, C$2:C75, C75)</f>
        <v>73313.990000000005</v>
      </c>
    </row>
    <row r="76" spans="1:6" ht="19.95" customHeight="1" x14ac:dyDescent="0.3">
      <c r="A76" s="4">
        <v>19</v>
      </c>
      <c r="B76" s="4" t="s">
        <v>87</v>
      </c>
      <c r="C76" s="2" t="s">
        <v>49</v>
      </c>
      <c r="D76" s="3" t="s">
        <v>73</v>
      </c>
      <c r="E76" s="7">
        <f>IF(AND(A76&gt;='01_PRESUPUESTO_CRONOGRAMA_BASE'!K10, A76&lt;='01_PRESUPUESTO_CRONOGRAMA_BASE'!L10), '01_PRESUPUESTO_CRONOGRAMA_BASE'!M10, 0) + IF(AND(A76&gt;='01_PRESUPUESTO_CRONOGRAMA_BASE'!K11, A76&lt;='01_PRESUPUESTO_CRONOGRAMA_BASE'!L11), '01_PRESUPUESTO_CRONOGRAMA_BASE'!M11, 0)</f>
        <v>0</v>
      </c>
      <c r="F76" s="19">
        <f>SUMIFS(E$2:E76, C$2:C76, C76)</f>
        <v>0</v>
      </c>
    </row>
    <row r="77" spans="1:6" ht="19.95" customHeight="1" x14ac:dyDescent="0.3">
      <c r="A77" s="4">
        <v>19</v>
      </c>
      <c r="B77" s="4" t="s">
        <v>87</v>
      </c>
      <c r="C77" s="2" t="s">
        <v>56</v>
      </c>
      <c r="D77" s="3" t="s">
        <v>74</v>
      </c>
      <c r="E77" s="7">
        <f>IF(AND(A77&gt;='01_PRESUPUESTO_CRONOGRAMA_BASE'!K12, A77&lt;='01_PRESUPUESTO_CRONOGRAMA_BASE'!L12), '01_PRESUPUESTO_CRONOGRAMA_BASE'!M12, 0)</f>
        <v>0</v>
      </c>
      <c r="F77" s="19">
        <f>SUMIFS(E$2:E77, C$2:C77, C77)</f>
        <v>0</v>
      </c>
    </row>
    <row r="78" spans="1:6" ht="19.95" customHeight="1" x14ac:dyDescent="0.3">
      <c r="A78" s="4">
        <v>20</v>
      </c>
      <c r="B78" s="4" t="s">
        <v>88</v>
      </c>
      <c r="C78" s="2" t="s">
        <v>14</v>
      </c>
      <c r="D78" s="3" t="s">
        <v>71</v>
      </c>
      <c r="E78" s="7">
        <f>IF(AND(A78&gt;='01_PRESUPUESTO_CRONOGRAMA_BASE'!K2, A78&lt;='01_PRESUPUESTO_CRONOGRAMA_BASE'!L2), '01_PRESUPUESTO_CRONOGRAMA_BASE'!M2, 0) + IF(AND(A78&gt;='01_PRESUPUESTO_CRONOGRAMA_BASE'!K3, A78&lt;='01_PRESUPUESTO_CRONOGRAMA_BASE'!L3), '01_PRESUPUESTO_CRONOGRAMA_BASE'!M3, 0)</f>
        <v>0</v>
      </c>
      <c r="F78" s="19">
        <f>SUMIFS(E$2:E78, C$2:C78, C78)</f>
        <v>16336.459999999994</v>
      </c>
    </row>
    <row r="79" spans="1:6" ht="19.95" customHeight="1" x14ac:dyDescent="0.3">
      <c r="A79" s="4">
        <v>20</v>
      </c>
      <c r="B79" s="4" t="s">
        <v>88</v>
      </c>
      <c r="C79" s="2" t="s">
        <v>23</v>
      </c>
      <c r="D79" s="3" t="s">
        <v>72</v>
      </c>
      <c r="E79" s="7">
        <f>IF(AND(A79&gt;='01_PRESUPUESTO_CRONOGRAMA_BASE'!K4, A79&lt;='01_PRESUPUESTO_CRONOGRAMA_BASE'!L4), '01_PRESUPUESTO_CRONOGRAMA_BASE'!M4, 0) + IF(AND(A79&gt;='01_PRESUPUESTO_CRONOGRAMA_BASE'!K5, A79&lt;='01_PRESUPUESTO_CRONOGRAMA_BASE'!L5), '01_PRESUPUESTO_CRONOGRAMA_BASE'!M5, 0) + IF(AND(A79&gt;='01_PRESUPUESTO_CRONOGRAMA_BASE'!K6, A79&lt;='01_PRESUPUESTO_CRONOGRAMA_BASE'!L6), '01_PRESUPUESTO_CRONOGRAMA_BASE'!M6, 0) + IF(AND(A79&gt;='01_PRESUPUESTO_CRONOGRAMA_BASE'!K7, A79&lt;='01_PRESUPUESTO_CRONOGRAMA_BASE'!L7), '01_PRESUPUESTO_CRONOGRAMA_BASE'!M7, 0) + IF(AND(A79&gt;='01_PRESUPUESTO_CRONOGRAMA_BASE'!K8, A79&lt;='01_PRESUPUESTO_CRONOGRAMA_BASE'!L8), '01_PRESUPUESTO_CRONOGRAMA_BASE'!M8, 0) + IF(AND(A79&gt;='01_PRESUPUESTO_CRONOGRAMA_BASE'!K9, A79&lt;='01_PRESUPUESTO_CRONOGRAMA_BASE'!L9), '01_PRESUPUESTO_CRONOGRAMA_BASE'!M9, 0)</f>
        <v>13896.64</v>
      </c>
      <c r="F79" s="19">
        <f>SUMIFS(E$2:E79, C$2:C79, C79)</f>
        <v>87210.63</v>
      </c>
    </row>
    <row r="80" spans="1:6" ht="19.95" customHeight="1" x14ac:dyDescent="0.3">
      <c r="A80" s="4">
        <v>20</v>
      </c>
      <c r="B80" s="4" t="s">
        <v>88</v>
      </c>
      <c r="C80" s="2" t="s">
        <v>49</v>
      </c>
      <c r="D80" s="3" t="s">
        <v>73</v>
      </c>
      <c r="E80" s="7">
        <f>IF(AND(A80&gt;='01_PRESUPUESTO_CRONOGRAMA_BASE'!K10, A80&lt;='01_PRESUPUESTO_CRONOGRAMA_BASE'!L10), '01_PRESUPUESTO_CRONOGRAMA_BASE'!M10, 0) + IF(AND(A80&gt;='01_PRESUPUESTO_CRONOGRAMA_BASE'!K11, A80&lt;='01_PRESUPUESTO_CRONOGRAMA_BASE'!L11), '01_PRESUPUESTO_CRONOGRAMA_BASE'!M11, 0)</f>
        <v>0</v>
      </c>
      <c r="F80" s="19">
        <f>SUMIFS(E$2:E80, C$2:C80, C80)</f>
        <v>0</v>
      </c>
    </row>
    <row r="81" spans="1:6" ht="19.95" customHeight="1" x14ac:dyDescent="0.3">
      <c r="A81" s="4">
        <v>20</v>
      </c>
      <c r="B81" s="4" t="s">
        <v>88</v>
      </c>
      <c r="C81" s="2" t="s">
        <v>56</v>
      </c>
      <c r="D81" s="3" t="s">
        <v>74</v>
      </c>
      <c r="E81" s="7">
        <f>IF(AND(A81&gt;='01_PRESUPUESTO_CRONOGRAMA_BASE'!K12, A81&lt;='01_PRESUPUESTO_CRONOGRAMA_BASE'!L12), '01_PRESUPUESTO_CRONOGRAMA_BASE'!M12, 0)</f>
        <v>0</v>
      </c>
      <c r="F81" s="19">
        <f>SUMIFS(E$2:E81, C$2:C81, C81)</f>
        <v>0</v>
      </c>
    </row>
    <row r="82" spans="1:6" ht="19.95" customHeight="1" x14ac:dyDescent="0.3">
      <c r="A82" s="4">
        <v>21</v>
      </c>
      <c r="B82" s="4" t="s">
        <v>89</v>
      </c>
      <c r="C82" s="2" t="s">
        <v>14</v>
      </c>
      <c r="D82" s="3" t="s">
        <v>71</v>
      </c>
      <c r="E82" s="7">
        <f>IF(AND(A82&gt;='01_PRESUPUESTO_CRONOGRAMA_BASE'!K2, A82&lt;='01_PRESUPUESTO_CRONOGRAMA_BASE'!L2), '01_PRESUPUESTO_CRONOGRAMA_BASE'!M2, 0) + IF(AND(A82&gt;='01_PRESUPUESTO_CRONOGRAMA_BASE'!K3, A82&lt;='01_PRESUPUESTO_CRONOGRAMA_BASE'!L3), '01_PRESUPUESTO_CRONOGRAMA_BASE'!M3, 0)</f>
        <v>0</v>
      </c>
      <c r="F82" s="19">
        <f>SUMIFS(E$2:E82, C$2:C82, C82)</f>
        <v>16336.459999999994</v>
      </c>
    </row>
    <row r="83" spans="1:6" ht="19.95" customHeight="1" x14ac:dyDescent="0.3">
      <c r="A83" s="4">
        <v>21</v>
      </c>
      <c r="B83" s="4" t="s">
        <v>89</v>
      </c>
      <c r="C83" s="2" t="s">
        <v>23</v>
      </c>
      <c r="D83" s="3" t="s">
        <v>72</v>
      </c>
      <c r="E83" s="7">
        <f>IF(AND(A83&gt;='01_PRESUPUESTO_CRONOGRAMA_BASE'!K4, A83&lt;='01_PRESUPUESTO_CRONOGRAMA_BASE'!L4), '01_PRESUPUESTO_CRONOGRAMA_BASE'!M4, 0) + IF(AND(A83&gt;='01_PRESUPUESTO_CRONOGRAMA_BASE'!K5, A83&lt;='01_PRESUPUESTO_CRONOGRAMA_BASE'!L5), '01_PRESUPUESTO_CRONOGRAMA_BASE'!M5, 0) + IF(AND(A83&gt;='01_PRESUPUESTO_CRONOGRAMA_BASE'!K6, A83&lt;='01_PRESUPUESTO_CRONOGRAMA_BASE'!L6), '01_PRESUPUESTO_CRONOGRAMA_BASE'!M6, 0) + IF(AND(A83&gt;='01_PRESUPUESTO_CRONOGRAMA_BASE'!K7, A83&lt;='01_PRESUPUESTO_CRONOGRAMA_BASE'!L7), '01_PRESUPUESTO_CRONOGRAMA_BASE'!M7, 0) + IF(AND(A83&gt;='01_PRESUPUESTO_CRONOGRAMA_BASE'!K8, A83&lt;='01_PRESUPUESTO_CRONOGRAMA_BASE'!L8), '01_PRESUPUESTO_CRONOGRAMA_BASE'!M8, 0) + IF(AND(A83&gt;='01_PRESUPUESTO_CRONOGRAMA_BASE'!K9, A83&lt;='01_PRESUPUESTO_CRONOGRAMA_BASE'!L9), '01_PRESUPUESTO_CRONOGRAMA_BASE'!M9, 0)</f>
        <v>13896.64</v>
      </c>
      <c r="F83" s="19">
        <f>SUMIFS(E$2:E83, C$2:C83, C83)</f>
        <v>101107.27</v>
      </c>
    </row>
    <row r="84" spans="1:6" ht="19.95" customHeight="1" x14ac:dyDescent="0.3">
      <c r="A84" s="4">
        <v>21</v>
      </c>
      <c r="B84" s="4" t="s">
        <v>89</v>
      </c>
      <c r="C84" s="2" t="s">
        <v>49</v>
      </c>
      <c r="D84" s="3" t="s">
        <v>73</v>
      </c>
      <c r="E84" s="7">
        <f>IF(AND(A84&gt;='01_PRESUPUESTO_CRONOGRAMA_BASE'!K10, A84&lt;='01_PRESUPUESTO_CRONOGRAMA_BASE'!L10), '01_PRESUPUESTO_CRONOGRAMA_BASE'!M10, 0) + IF(AND(A84&gt;='01_PRESUPUESTO_CRONOGRAMA_BASE'!K11, A84&lt;='01_PRESUPUESTO_CRONOGRAMA_BASE'!L11), '01_PRESUPUESTO_CRONOGRAMA_BASE'!M11, 0)</f>
        <v>0</v>
      </c>
      <c r="F84" s="19">
        <f>SUMIFS(E$2:E84, C$2:C84, C84)</f>
        <v>0</v>
      </c>
    </row>
    <row r="85" spans="1:6" ht="19.95" customHeight="1" x14ac:dyDescent="0.3">
      <c r="A85" s="4">
        <v>21</v>
      </c>
      <c r="B85" s="4" t="s">
        <v>89</v>
      </c>
      <c r="C85" s="2" t="s">
        <v>56</v>
      </c>
      <c r="D85" s="3" t="s">
        <v>74</v>
      </c>
      <c r="E85" s="7">
        <f>IF(AND(A85&gt;='01_PRESUPUESTO_CRONOGRAMA_BASE'!K12, A85&lt;='01_PRESUPUESTO_CRONOGRAMA_BASE'!L12), '01_PRESUPUESTO_CRONOGRAMA_BASE'!M12, 0)</f>
        <v>0</v>
      </c>
      <c r="F85" s="19">
        <f>SUMIFS(E$2:E85, C$2:C85, C85)</f>
        <v>0</v>
      </c>
    </row>
    <row r="86" spans="1:6" ht="19.95" customHeight="1" x14ac:dyDescent="0.3">
      <c r="A86" s="4">
        <v>22</v>
      </c>
      <c r="B86" s="4" t="s">
        <v>43</v>
      </c>
      <c r="C86" s="2" t="s">
        <v>14</v>
      </c>
      <c r="D86" s="3" t="s">
        <v>71</v>
      </c>
      <c r="E86" s="7">
        <f>IF(AND(A86&gt;='01_PRESUPUESTO_CRONOGRAMA_BASE'!K2, A86&lt;='01_PRESUPUESTO_CRONOGRAMA_BASE'!L2), '01_PRESUPUESTO_CRONOGRAMA_BASE'!M2, 0) + IF(AND(A86&gt;='01_PRESUPUESTO_CRONOGRAMA_BASE'!K3, A86&lt;='01_PRESUPUESTO_CRONOGRAMA_BASE'!L3), '01_PRESUPUESTO_CRONOGRAMA_BASE'!M3, 0)</f>
        <v>0</v>
      </c>
      <c r="F86" s="19">
        <f>SUMIFS(E$2:E86, C$2:C86, C86)</f>
        <v>16336.459999999994</v>
      </c>
    </row>
    <row r="87" spans="1:6" ht="19.95" customHeight="1" x14ac:dyDescent="0.3">
      <c r="A87" s="4">
        <v>22</v>
      </c>
      <c r="B87" s="4" t="s">
        <v>43</v>
      </c>
      <c r="C87" s="2" t="s">
        <v>23</v>
      </c>
      <c r="D87" s="3" t="s">
        <v>72</v>
      </c>
      <c r="E87" s="7">
        <f>IF(AND(A87&gt;='01_PRESUPUESTO_CRONOGRAMA_BASE'!K4, A87&lt;='01_PRESUPUESTO_CRONOGRAMA_BASE'!L4), '01_PRESUPUESTO_CRONOGRAMA_BASE'!M4, 0) + IF(AND(A87&gt;='01_PRESUPUESTO_CRONOGRAMA_BASE'!K5, A87&lt;='01_PRESUPUESTO_CRONOGRAMA_BASE'!L5), '01_PRESUPUESTO_CRONOGRAMA_BASE'!M5, 0) + IF(AND(A87&gt;='01_PRESUPUESTO_CRONOGRAMA_BASE'!K6, A87&lt;='01_PRESUPUESTO_CRONOGRAMA_BASE'!L6), '01_PRESUPUESTO_CRONOGRAMA_BASE'!M6, 0) + IF(AND(A87&gt;='01_PRESUPUESTO_CRONOGRAMA_BASE'!K7, A87&lt;='01_PRESUPUESTO_CRONOGRAMA_BASE'!L7), '01_PRESUPUESTO_CRONOGRAMA_BASE'!M7, 0) + IF(AND(A87&gt;='01_PRESUPUESTO_CRONOGRAMA_BASE'!K8, A87&lt;='01_PRESUPUESTO_CRONOGRAMA_BASE'!L8), '01_PRESUPUESTO_CRONOGRAMA_BASE'!M8, 0) + IF(AND(A87&gt;='01_PRESUPUESTO_CRONOGRAMA_BASE'!K9, A87&lt;='01_PRESUPUESTO_CRONOGRAMA_BASE'!L9), '01_PRESUPUESTO_CRONOGRAMA_BASE'!M9, 0)</f>
        <v>17897.809999999998</v>
      </c>
      <c r="F87" s="19">
        <f>SUMIFS(E$2:E87, C$2:C87, C87)</f>
        <v>119005.08</v>
      </c>
    </row>
    <row r="88" spans="1:6" ht="19.95" customHeight="1" x14ac:dyDescent="0.3">
      <c r="A88" s="4">
        <v>22</v>
      </c>
      <c r="B88" s="4" t="s">
        <v>43</v>
      </c>
      <c r="C88" s="2" t="s">
        <v>49</v>
      </c>
      <c r="D88" s="3" t="s">
        <v>73</v>
      </c>
      <c r="E88" s="7">
        <f>IF(AND(A88&gt;='01_PRESUPUESTO_CRONOGRAMA_BASE'!K10, A88&lt;='01_PRESUPUESTO_CRONOGRAMA_BASE'!L10), '01_PRESUPUESTO_CRONOGRAMA_BASE'!M10, 0) + IF(AND(A88&gt;='01_PRESUPUESTO_CRONOGRAMA_BASE'!K11, A88&lt;='01_PRESUPUESTO_CRONOGRAMA_BASE'!L11), '01_PRESUPUESTO_CRONOGRAMA_BASE'!M11, 0)</f>
        <v>1761.82</v>
      </c>
      <c r="F88" s="19">
        <f>SUMIFS(E$2:E88, C$2:C88, C88)</f>
        <v>1761.82</v>
      </c>
    </row>
    <row r="89" spans="1:6" ht="19.95" customHeight="1" x14ac:dyDescent="0.3">
      <c r="A89" s="4">
        <v>22</v>
      </c>
      <c r="B89" s="4" t="s">
        <v>43</v>
      </c>
      <c r="C89" s="2" t="s">
        <v>56</v>
      </c>
      <c r="D89" s="3" t="s">
        <v>74</v>
      </c>
      <c r="E89" s="7">
        <f>IF(AND(A89&gt;='01_PRESUPUESTO_CRONOGRAMA_BASE'!K12, A89&lt;='01_PRESUPUESTO_CRONOGRAMA_BASE'!L12), '01_PRESUPUESTO_CRONOGRAMA_BASE'!M12, 0)</f>
        <v>0</v>
      </c>
      <c r="F89" s="19">
        <f>SUMIFS(E$2:E89, C$2:C89, C89)</f>
        <v>0</v>
      </c>
    </row>
    <row r="90" spans="1:6" ht="19.95" customHeight="1" x14ac:dyDescent="0.3">
      <c r="A90" s="4">
        <v>23</v>
      </c>
      <c r="B90" s="4" t="s">
        <v>90</v>
      </c>
      <c r="C90" s="2" t="s">
        <v>14</v>
      </c>
      <c r="D90" s="3" t="s">
        <v>71</v>
      </c>
      <c r="E90" s="7">
        <f>IF(AND(A90&gt;='01_PRESUPUESTO_CRONOGRAMA_BASE'!K2, A90&lt;='01_PRESUPUESTO_CRONOGRAMA_BASE'!L2), '01_PRESUPUESTO_CRONOGRAMA_BASE'!M2, 0) + IF(AND(A90&gt;='01_PRESUPUESTO_CRONOGRAMA_BASE'!K3, A90&lt;='01_PRESUPUESTO_CRONOGRAMA_BASE'!L3), '01_PRESUPUESTO_CRONOGRAMA_BASE'!M3, 0)</f>
        <v>0</v>
      </c>
      <c r="F90" s="19">
        <f>SUMIFS(E$2:E90, C$2:C90, C90)</f>
        <v>16336.459999999994</v>
      </c>
    </row>
    <row r="91" spans="1:6" ht="19.95" customHeight="1" x14ac:dyDescent="0.3">
      <c r="A91" s="4">
        <v>23</v>
      </c>
      <c r="B91" s="4" t="s">
        <v>90</v>
      </c>
      <c r="C91" s="2" t="s">
        <v>23</v>
      </c>
      <c r="D91" s="3" t="s">
        <v>72</v>
      </c>
      <c r="E91" s="7">
        <f>IF(AND(A91&gt;='01_PRESUPUESTO_CRONOGRAMA_BASE'!K4, A91&lt;='01_PRESUPUESTO_CRONOGRAMA_BASE'!L4), '01_PRESUPUESTO_CRONOGRAMA_BASE'!M4, 0) + IF(AND(A91&gt;='01_PRESUPUESTO_CRONOGRAMA_BASE'!K5, A91&lt;='01_PRESUPUESTO_CRONOGRAMA_BASE'!L5), '01_PRESUPUESTO_CRONOGRAMA_BASE'!M5, 0) + IF(AND(A91&gt;='01_PRESUPUESTO_CRONOGRAMA_BASE'!K6, A91&lt;='01_PRESUPUESTO_CRONOGRAMA_BASE'!L6), '01_PRESUPUESTO_CRONOGRAMA_BASE'!M6, 0) + IF(AND(A91&gt;='01_PRESUPUESTO_CRONOGRAMA_BASE'!K7, A91&lt;='01_PRESUPUESTO_CRONOGRAMA_BASE'!L7), '01_PRESUPUESTO_CRONOGRAMA_BASE'!M7, 0) + IF(AND(A91&gt;='01_PRESUPUESTO_CRONOGRAMA_BASE'!K8, A91&lt;='01_PRESUPUESTO_CRONOGRAMA_BASE'!L8), '01_PRESUPUESTO_CRONOGRAMA_BASE'!M8, 0) + IF(AND(A91&gt;='01_PRESUPUESTO_CRONOGRAMA_BASE'!K9, A91&lt;='01_PRESUPUESTO_CRONOGRAMA_BASE'!L9), '01_PRESUPUESTO_CRONOGRAMA_BASE'!M9, 0)</f>
        <v>17897.809999999998</v>
      </c>
      <c r="F91" s="19">
        <f>SUMIFS(E$2:E91, C$2:C91, C91)</f>
        <v>136902.89000000001</v>
      </c>
    </row>
    <row r="92" spans="1:6" ht="19.95" customHeight="1" x14ac:dyDescent="0.3">
      <c r="A92" s="4">
        <v>23</v>
      </c>
      <c r="B92" s="4" t="s">
        <v>90</v>
      </c>
      <c r="C92" s="2" t="s">
        <v>49</v>
      </c>
      <c r="D92" s="3" t="s">
        <v>73</v>
      </c>
      <c r="E92" s="7">
        <f>IF(AND(A92&gt;='01_PRESUPUESTO_CRONOGRAMA_BASE'!K10, A92&lt;='01_PRESUPUESTO_CRONOGRAMA_BASE'!L10), '01_PRESUPUESTO_CRONOGRAMA_BASE'!M10, 0) + IF(AND(A92&gt;='01_PRESUPUESTO_CRONOGRAMA_BASE'!K11, A92&lt;='01_PRESUPUESTO_CRONOGRAMA_BASE'!L11), '01_PRESUPUESTO_CRONOGRAMA_BASE'!M11, 0)</f>
        <v>1761.82</v>
      </c>
      <c r="F92" s="19">
        <f>SUMIFS(E$2:E92, C$2:C92, C92)</f>
        <v>3523.64</v>
      </c>
    </row>
    <row r="93" spans="1:6" ht="19.95" customHeight="1" x14ac:dyDescent="0.3">
      <c r="A93" s="4">
        <v>23</v>
      </c>
      <c r="B93" s="4" t="s">
        <v>90</v>
      </c>
      <c r="C93" s="2" t="s">
        <v>56</v>
      </c>
      <c r="D93" s="3" t="s">
        <v>74</v>
      </c>
      <c r="E93" s="7">
        <f>IF(AND(A93&gt;='01_PRESUPUESTO_CRONOGRAMA_BASE'!K12, A93&lt;='01_PRESUPUESTO_CRONOGRAMA_BASE'!L12), '01_PRESUPUESTO_CRONOGRAMA_BASE'!M12, 0)</f>
        <v>0</v>
      </c>
      <c r="F93" s="19">
        <f>SUMIFS(E$2:E93, C$2:C93, C93)</f>
        <v>0</v>
      </c>
    </row>
    <row r="94" spans="1:6" ht="19.95" customHeight="1" x14ac:dyDescent="0.3">
      <c r="A94" s="4">
        <v>24</v>
      </c>
      <c r="B94" s="4" t="s">
        <v>91</v>
      </c>
      <c r="C94" s="2" t="s">
        <v>14</v>
      </c>
      <c r="D94" s="3" t="s">
        <v>71</v>
      </c>
      <c r="E94" s="7">
        <f>IF(AND(A94&gt;='01_PRESUPUESTO_CRONOGRAMA_BASE'!K2, A94&lt;='01_PRESUPUESTO_CRONOGRAMA_BASE'!L2), '01_PRESUPUESTO_CRONOGRAMA_BASE'!M2, 0) + IF(AND(A94&gt;='01_PRESUPUESTO_CRONOGRAMA_BASE'!K3, A94&lt;='01_PRESUPUESTO_CRONOGRAMA_BASE'!L3), '01_PRESUPUESTO_CRONOGRAMA_BASE'!M3, 0)</f>
        <v>0</v>
      </c>
      <c r="F94" s="19">
        <f>SUMIFS(E$2:E94, C$2:C94, C94)</f>
        <v>16336.459999999994</v>
      </c>
    </row>
    <row r="95" spans="1:6" ht="19.95" customHeight="1" x14ac:dyDescent="0.3">
      <c r="A95" s="4">
        <v>24</v>
      </c>
      <c r="B95" s="4" t="s">
        <v>91</v>
      </c>
      <c r="C95" s="2" t="s">
        <v>23</v>
      </c>
      <c r="D95" s="3" t="s">
        <v>72</v>
      </c>
      <c r="E95" s="7">
        <f>IF(AND(A95&gt;='01_PRESUPUESTO_CRONOGRAMA_BASE'!K4, A95&lt;='01_PRESUPUESTO_CRONOGRAMA_BASE'!L4), '01_PRESUPUESTO_CRONOGRAMA_BASE'!M4, 0) + IF(AND(A95&gt;='01_PRESUPUESTO_CRONOGRAMA_BASE'!K5, A95&lt;='01_PRESUPUESTO_CRONOGRAMA_BASE'!L5), '01_PRESUPUESTO_CRONOGRAMA_BASE'!M5, 0) + IF(AND(A95&gt;='01_PRESUPUESTO_CRONOGRAMA_BASE'!K6, A95&lt;='01_PRESUPUESTO_CRONOGRAMA_BASE'!L6), '01_PRESUPUESTO_CRONOGRAMA_BASE'!M6, 0) + IF(AND(A95&gt;='01_PRESUPUESTO_CRONOGRAMA_BASE'!K7, A95&lt;='01_PRESUPUESTO_CRONOGRAMA_BASE'!L7), '01_PRESUPUESTO_CRONOGRAMA_BASE'!M7, 0) + IF(AND(A95&gt;='01_PRESUPUESTO_CRONOGRAMA_BASE'!K8, A95&lt;='01_PRESUPUESTO_CRONOGRAMA_BASE'!L8), '01_PRESUPUESTO_CRONOGRAMA_BASE'!M8, 0) + IF(AND(A95&gt;='01_PRESUPUESTO_CRONOGRAMA_BASE'!K9, A95&lt;='01_PRESUPUESTO_CRONOGRAMA_BASE'!L9), '01_PRESUPUESTO_CRONOGRAMA_BASE'!M9, 0)</f>
        <v>17897.809999999998</v>
      </c>
      <c r="F95" s="19">
        <f>SUMIFS(E$2:E95, C$2:C95, C95)</f>
        <v>154800.70000000001</v>
      </c>
    </row>
    <row r="96" spans="1:6" ht="19.95" customHeight="1" x14ac:dyDescent="0.3">
      <c r="A96" s="4">
        <v>24</v>
      </c>
      <c r="B96" s="4" t="s">
        <v>91</v>
      </c>
      <c r="C96" s="2" t="s">
        <v>49</v>
      </c>
      <c r="D96" s="3" t="s">
        <v>73</v>
      </c>
      <c r="E96" s="7">
        <f>IF(AND(A96&gt;='01_PRESUPUESTO_CRONOGRAMA_BASE'!K10, A96&lt;='01_PRESUPUESTO_CRONOGRAMA_BASE'!L10), '01_PRESUPUESTO_CRONOGRAMA_BASE'!M10, 0) + IF(AND(A96&gt;='01_PRESUPUESTO_CRONOGRAMA_BASE'!K11, A96&lt;='01_PRESUPUESTO_CRONOGRAMA_BASE'!L11), '01_PRESUPUESTO_CRONOGRAMA_BASE'!M11, 0)</f>
        <v>1761.82</v>
      </c>
      <c r="F96" s="19">
        <f>SUMIFS(E$2:E96, C$2:C96, C96)</f>
        <v>5285.46</v>
      </c>
    </row>
    <row r="97" spans="1:6" ht="19.95" customHeight="1" x14ac:dyDescent="0.3">
      <c r="A97" s="4">
        <v>24</v>
      </c>
      <c r="B97" s="4" t="s">
        <v>91</v>
      </c>
      <c r="C97" s="2" t="s">
        <v>56</v>
      </c>
      <c r="D97" s="3" t="s">
        <v>74</v>
      </c>
      <c r="E97" s="7">
        <f>IF(AND(A97&gt;='01_PRESUPUESTO_CRONOGRAMA_BASE'!K12, A97&lt;='01_PRESUPUESTO_CRONOGRAMA_BASE'!L12), '01_PRESUPUESTO_CRONOGRAMA_BASE'!M12, 0)</f>
        <v>0</v>
      </c>
      <c r="F97" s="19">
        <f>SUMIFS(E$2:E97, C$2:C97, C97)</f>
        <v>0</v>
      </c>
    </row>
    <row r="98" spans="1:6" ht="19.95" customHeight="1" x14ac:dyDescent="0.3">
      <c r="A98" s="4">
        <v>25</v>
      </c>
      <c r="B98" s="4" t="s">
        <v>27</v>
      </c>
      <c r="C98" s="2" t="s">
        <v>14</v>
      </c>
      <c r="D98" s="3" t="s">
        <v>71</v>
      </c>
      <c r="E98" s="7">
        <f>IF(AND(A98&gt;='01_PRESUPUESTO_CRONOGRAMA_BASE'!K2, A98&lt;='01_PRESUPUESTO_CRONOGRAMA_BASE'!L2), '01_PRESUPUESTO_CRONOGRAMA_BASE'!M2, 0) + IF(AND(A98&gt;='01_PRESUPUESTO_CRONOGRAMA_BASE'!K3, A98&lt;='01_PRESUPUESTO_CRONOGRAMA_BASE'!L3), '01_PRESUPUESTO_CRONOGRAMA_BASE'!M3, 0)</f>
        <v>0</v>
      </c>
      <c r="F98" s="19">
        <f>SUMIFS(E$2:E98, C$2:C98, C98)</f>
        <v>16336.459999999994</v>
      </c>
    </row>
    <row r="99" spans="1:6" ht="19.95" customHeight="1" x14ac:dyDescent="0.3">
      <c r="A99" s="4">
        <v>25</v>
      </c>
      <c r="B99" s="4" t="s">
        <v>27</v>
      </c>
      <c r="C99" s="2" t="s">
        <v>23</v>
      </c>
      <c r="D99" s="3" t="s">
        <v>72</v>
      </c>
      <c r="E99" s="7">
        <f>IF(AND(A99&gt;='01_PRESUPUESTO_CRONOGRAMA_BASE'!K4, A99&lt;='01_PRESUPUESTO_CRONOGRAMA_BASE'!L4), '01_PRESUPUESTO_CRONOGRAMA_BASE'!M4, 0) + IF(AND(A99&gt;='01_PRESUPUESTO_CRONOGRAMA_BASE'!K5, A99&lt;='01_PRESUPUESTO_CRONOGRAMA_BASE'!L5), '01_PRESUPUESTO_CRONOGRAMA_BASE'!M5, 0) + IF(AND(A99&gt;='01_PRESUPUESTO_CRONOGRAMA_BASE'!K6, A99&lt;='01_PRESUPUESTO_CRONOGRAMA_BASE'!L6), '01_PRESUPUESTO_CRONOGRAMA_BASE'!M6, 0) + IF(AND(A99&gt;='01_PRESUPUESTO_CRONOGRAMA_BASE'!K7, A99&lt;='01_PRESUPUESTO_CRONOGRAMA_BASE'!L7), '01_PRESUPUESTO_CRONOGRAMA_BASE'!M7, 0) + IF(AND(A99&gt;='01_PRESUPUESTO_CRONOGRAMA_BASE'!K8, A99&lt;='01_PRESUPUESTO_CRONOGRAMA_BASE'!L8), '01_PRESUPUESTO_CRONOGRAMA_BASE'!M8, 0) + IF(AND(A99&gt;='01_PRESUPUESTO_CRONOGRAMA_BASE'!K9, A99&lt;='01_PRESUPUESTO_CRONOGRAMA_BASE'!L9), '01_PRESUPUESTO_CRONOGRAMA_BASE'!M9, 0)</f>
        <v>17897.809999999998</v>
      </c>
      <c r="F99" s="19">
        <f>SUMIFS(E$2:E99, C$2:C99, C99)</f>
        <v>172698.51</v>
      </c>
    </row>
    <row r="100" spans="1:6" ht="19.95" customHeight="1" x14ac:dyDescent="0.3">
      <c r="A100" s="4">
        <v>25</v>
      </c>
      <c r="B100" s="4" t="s">
        <v>27</v>
      </c>
      <c r="C100" s="2" t="s">
        <v>49</v>
      </c>
      <c r="D100" s="3" t="s">
        <v>73</v>
      </c>
      <c r="E100" s="7">
        <f>IF(AND(A100&gt;='01_PRESUPUESTO_CRONOGRAMA_BASE'!K10, A100&lt;='01_PRESUPUESTO_CRONOGRAMA_BASE'!L10), '01_PRESUPUESTO_CRONOGRAMA_BASE'!M10, 0) + IF(AND(A100&gt;='01_PRESUPUESTO_CRONOGRAMA_BASE'!K11, A100&lt;='01_PRESUPUESTO_CRONOGRAMA_BASE'!L11), '01_PRESUPUESTO_CRONOGRAMA_BASE'!M11, 0)</f>
        <v>1761.82</v>
      </c>
      <c r="F100" s="19">
        <f>SUMIFS(E$2:E100, C$2:C100, C100)</f>
        <v>7047.28</v>
      </c>
    </row>
    <row r="101" spans="1:6" ht="19.95" customHeight="1" x14ac:dyDescent="0.3">
      <c r="A101" s="4">
        <v>25</v>
      </c>
      <c r="B101" s="4" t="s">
        <v>27</v>
      </c>
      <c r="C101" s="2" t="s">
        <v>56</v>
      </c>
      <c r="D101" s="3" t="s">
        <v>74</v>
      </c>
      <c r="E101" s="7">
        <f>IF(AND(A101&gt;='01_PRESUPUESTO_CRONOGRAMA_BASE'!K12, A101&lt;='01_PRESUPUESTO_CRONOGRAMA_BASE'!L12), '01_PRESUPUESTO_CRONOGRAMA_BASE'!M12, 0)</f>
        <v>0</v>
      </c>
      <c r="F101" s="19">
        <f>SUMIFS(E$2:E101, C$2:C101, C101)</f>
        <v>0</v>
      </c>
    </row>
    <row r="102" spans="1:6" ht="19.95" customHeight="1" x14ac:dyDescent="0.3">
      <c r="A102" s="4">
        <v>26</v>
      </c>
      <c r="B102" s="4" t="s">
        <v>92</v>
      </c>
      <c r="C102" s="2" t="s">
        <v>14</v>
      </c>
      <c r="D102" s="3" t="s">
        <v>71</v>
      </c>
      <c r="E102" s="7">
        <f>IF(AND(A102&gt;='01_PRESUPUESTO_CRONOGRAMA_BASE'!K2, A102&lt;='01_PRESUPUESTO_CRONOGRAMA_BASE'!L2), '01_PRESUPUESTO_CRONOGRAMA_BASE'!M2, 0) + IF(AND(A102&gt;='01_PRESUPUESTO_CRONOGRAMA_BASE'!K3, A102&lt;='01_PRESUPUESTO_CRONOGRAMA_BASE'!L3), '01_PRESUPUESTO_CRONOGRAMA_BASE'!M3, 0)</f>
        <v>0</v>
      </c>
      <c r="F102" s="19">
        <f>SUMIFS(E$2:E102, C$2:C102, C102)</f>
        <v>16336.459999999994</v>
      </c>
    </row>
    <row r="103" spans="1:6" ht="19.95" customHeight="1" x14ac:dyDescent="0.3">
      <c r="A103" s="4">
        <v>26</v>
      </c>
      <c r="B103" s="4" t="s">
        <v>92</v>
      </c>
      <c r="C103" s="2" t="s">
        <v>23</v>
      </c>
      <c r="D103" s="3" t="s">
        <v>72</v>
      </c>
      <c r="E103" s="7">
        <f>IF(AND(A103&gt;='01_PRESUPUESTO_CRONOGRAMA_BASE'!K4, A103&lt;='01_PRESUPUESTO_CRONOGRAMA_BASE'!L4), '01_PRESUPUESTO_CRONOGRAMA_BASE'!M4, 0) + IF(AND(A103&gt;='01_PRESUPUESTO_CRONOGRAMA_BASE'!K5, A103&lt;='01_PRESUPUESTO_CRONOGRAMA_BASE'!L5), '01_PRESUPUESTO_CRONOGRAMA_BASE'!M5, 0) + IF(AND(A103&gt;='01_PRESUPUESTO_CRONOGRAMA_BASE'!K6, A103&lt;='01_PRESUPUESTO_CRONOGRAMA_BASE'!L6), '01_PRESUPUESTO_CRONOGRAMA_BASE'!M6, 0) + IF(AND(A103&gt;='01_PRESUPUESTO_CRONOGRAMA_BASE'!K7, A103&lt;='01_PRESUPUESTO_CRONOGRAMA_BASE'!L7), '01_PRESUPUESTO_CRONOGRAMA_BASE'!M7, 0) + IF(AND(A103&gt;='01_PRESUPUESTO_CRONOGRAMA_BASE'!K8, A103&lt;='01_PRESUPUESTO_CRONOGRAMA_BASE'!L8), '01_PRESUPUESTO_CRONOGRAMA_BASE'!M8, 0) + IF(AND(A103&gt;='01_PRESUPUESTO_CRONOGRAMA_BASE'!K9, A103&lt;='01_PRESUPUESTO_CRONOGRAMA_BASE'!L9), '01_PRESUPUESTO_CRONOGRAMA_BASE'!M9, 0)</f>
        <v>15099.41</v>
      </c>
      <c r="F103" s="19">
        <f>SUMIFS(E$2:E103, C$2:C103, C103)</f>
        <v>187797.92</v>
      </c>
    </row>
    <row r="104" spans="1:6" ht="19.95" customHeight="1" x14ac:dyDescent="0.3">
      <c r="A104" s="4">
        <v>26</v>
      </c>
      <c r="B104" s="4" t="s">
        <v>92</v>
      </c>
      <c r="C104" s="2" t="s">
        <v>49</v>
      </c>
      <c r="D104" s="3" t="s">
        <v>73</v>
      </c>
      <c r="E104" s="7">
        <f>IF(AND(A104&gt;='01_PRESUPUESTO_CRONOGRAMA_BASE'!K10, A104&lt;='01_PRESUPUESTO_CRONOGRAMA_BASE'!L10), '01_PRESUPUESTO_CRONOGRAMA_BASE'!M10, 0) + IF(AND(A104&gt;='01_PRESUPUESTO_CRONOGRAMA_BASE'!K11, A104&lt;='01_PRESUPUESTO_CRONOGRAMA_BASE'!L11), '01_PRESUPUESTO_CRONOGRAMA_BASE'!M11, 0)</f>
        <v>1761.82</v>
      </c>
      <c r="F104" s="19">
        <f>SUMIFS(E$2:E104, C$2:C104, C104)</f>
        <v>8809.1</v>
      </c>
    </row>
    <row r="105" spans="1:6" ht="19.95" customHeight="1" x14ac:dyDescent="0.3">
      <c r="A105" s="4">
        <v>26</v>
      </c>
      <c r="B105" s="4" t="s">
        <v>92</v>
      </c>
      <c r="C105" s="2" t="s">
        <v>56</v>
      </c>
      <c r="D105" s="3" t="s">
        <v>74</v>
      </c>
      <c r="E105" s="7">
        <f>IF(AND(A105&gt;='01_PRESUPUESTO_CRONOGRAMA_BASE'!K12, A105&lt;='01_PRESUPUESTO_CRONOGRAMA_BASE'!L12), '01_PRESUPUESTO_CRONOGRAMA_BASE'!M12, 0)</f>
        <v>0</v>
      </c>
      <c r="F105" s="19">
        <f>SUMIFS(E$2:E105, C$2:C105, C105)</f>
        <v>0</v>
      </c>
    </row>
    <row r="106" spans="1:6" ht="19.95" customHeight="1" x14ac:dyDescent="0.3">
      <c r="A106" s="4">
        <v>27</v>
      </c>
      <c r="B106" s="4" t="s">
        <v>93</v>
      </c>
      <c r="C106" s="2" t="s">
        <v>14</v>
      </c>
      <c r="D106" s="3" t="s">
        <v>71</v>
      </c>
      <c r="E106" s="7">
        <f>IF(AND(A106&gt;='01_PRESUPUESTO_CRONOGRAMA_BASE'!K2, A106&lt;='01_PRESUPUESTO_CRONOGRAMA_BASE'!L2), '01_PRESUPUESTO_CRONOGRAMA_BASE'!M2, 0) + IF(AND(A106&gt;='01_PRESUPUESTO_CRONOGRAMA_BASE'!K3, A106&lt;='01_PRESUPUESTO_CRONOGRAMA_BASE'!L3), '01_PRESUPUESTO_CRONOGRAMA_BASE'!M3, 0)</f>
        <v>0</v>
      </c>
      <c r="F106" s="19">
        <f>SUMIFS(E$2:E106, C$2:C106, C106)</f>
        <v>16336.459999999994</v>
      </c>
    </row>
    <row r="107" spans="1:6" ht="19.95" customHeight="1" x14ac:dyDescent="0.3">
      <c r="A107" s="4">
        <v>27</v>
      </c>
      <c r="B107" s="4" t="s">
        <v>93</v>
      </c>
      <c r="C107" s="2" t="s">
        <v>23</v>
      </c>
      <c r="D107" s="3" t="s">
        <v>72</v>
      </c>
      <c r="E107" s="7">
        <f>IF(AND(A107&gt;='01_PRESUPUESTO_CRONOGRAMA_BASE'!K4, A107&lt;='01_PRESUPUESTO_CRONOGRAMA_BASE'!L4), '01_PRESUPUESTO_CRONOGRAMA_BASE'!M4, 0) + IF(AND(A107&gt;='01_PRESUPUESTO_CRONOGRAMA_BASE'!K5, A107&lt;='01_PRESUPUESTO_CRONOGRAMA_BASE'!L5), '01_PRESUPUESTO_CRONOGRAMA_BASE'!M5, 0) + IF(AND(A107&gt;='01_PRESUPUESTO_CRONOGRAMA_BASE'!K6, A107&lt;='01_PRESUPUESTO_CRONOGRAMA_BASE'!L6), '01_PRESUPUESTO_CRONOGRAMA_BASE'!M6, 0) + IF(AND(A107&gt;='01_PRESUPUESTO_CRONOGRAMA_BASE'!K7, A107&lt;='01_PRESUPUESTO_CRONOGRAMA_BASE'!L7), '01_PRESUPUESTO_CRONOGRAMA_BASE'!M7, 0) + IF(AND(A107&gt;='01_PRESUPUESTO_CRONOGRAMA_BASE'!K8, A107&lt;='01_PRESUPUESTO_CRONOGRAMA_BASE'!L8), '01_PRESUPUESTO_CRONOGRAMA_BASE'!M8, 0) + IF(AND(A107&gt;='01_PRESUPUESTO_CRONOGRAMA_BASE'!K9, A107&lt;='01_PRESUPUESTO_CRONOGRAMA_BASE'!L9), '01_PRESUPUESTO_CRONOGRAMA_BASE'!M9, 0)</f>
        <v>15099.41</v>
      </c>
      <c r="F107" s="19">
        <f>SUMIFS(E$2:E107, C$2:C107, C107)</f>
        <v>202897.33000000002</v>
      </c>
    </row>
    <row r="108" spans="1:6" ht="19.95" customHeight="1" x14ac:dyDescent="0.3">
      <c r="A108" s="4">
        <v>27</v>
      </c>
      <c r="B108" s="4" t="s">
        <v>93</v>
      </c>
      <c r="C108" s="2" t="s">
        <v>49</v>
      </c>
      <c r="D108" s="3" t="s">
        <v>73</v>
      </c>
      <c r="E108" s="7">
        <f>IF(AND(A108&gt;='01_PRESUPUESTO_CRONOGRAMA_BASE'!K10, A108&lt;='01_PRESUPUESTO_CRONOGRAMA_BASE'!L10), '01_PRESUPUESTO_CRONOGRAMA_BASE'!M10, 0) + IF(AND(A108&gt;='01_PRESUPUESTO_CRONOGRAMA_BASE'!K11, A108&lt;='01_PRESUPUESTO_CRONOGRAMA_BASE'!L11), '01_PRESUPUESTO_CRONOGRAMA_BASE'!M11, 0)</f>
        <v>1761.82</v>
      </c>
      <c r="F108" s="19">
        <f>SUMIFS(E$2:E108, C$2:C108, C108)</f>
        <v>10570.92</v>
      </c>
    </row>
    <row r="109" spans="1:6" ht="19.95" customHeight="1" x14ac:dyDescent="0.3">
      <c r="A109" s="4">
        <v>27</v>
      </c>
      <c r="B109" s="4" t="s">
        <v>93</v>
      </c>
      <c r="C109" s="2" t="s">
        <v>56</v>
      </c>
      <c r="D109" s="3" t="s">
        <v>74</v>
      </c>
      <c r="E109" s="7">
        <f>IF(AND(A109&gt;='01_PRESUPUESTO_CRONOGRAMA_BASE'!K12, A109&lt;='01_PRESUPUESTO_CRONOGRAMA_BASE'!L12), '01_PRESUPUESTO_CRONOGRAMA_BASE'!M12, 0)</f>
        <v>0</v>
      </c>
      <c r="F109" s="19">
        <f>SUMIFS(E$2:E109, C$2:C109, C109)</f>
        <v>0</v>
      </c>
    </row>
    <row r="110" spans="1:6" ht="19.95" customHeight="1" x14ac:dyDescent="0.3">
      <c r="A110" s="4">
        <v>28</v>
      </c>
      <c r="B110" s="4" t="s">
        <v>31</v>
      </c>
      <c r="C110" s="2" t="s">
        <v>14</v>
      </c>
      <c r="D110" s="3" t="s">
        <v>71</v>
      </c>
      <c r="E110" s="7">
        <f>IF(AND(A110&gt;='01_PRESUPUESTO_CRONOGRAMA_BASE'!K2, A110&lt;='01_PRESUPUESTO_CRONOGRAMA_BASE'!L2), '01_PRESUPUESTO_CRONOGRAMA_BASE'!M2, 0) + IF(AND(A110&gt;='01_PRESUPUESTO_CRONOGRAMA_BASE'!K3, A110&lt;='01_PRESUPUESTO_CRONOGRAMA_BASE'!L3), '01_PRESUPUESTO_CRONOGRAMA_BASE'!M3, 0)</f>
        <v>0</v>
      </c>
      <c r="F110" s="19">
        <f>SUMIFS(E$2:E110, C$2:C110, C110)</f>
        <v>16336.459999999994</v>
      </c>
    </row>
    <row r="111" spans="1:6" ht="19.95" customHeight="1" x14ac:dyDescent="0.3">
      <c r="A111" s="4">
        <v>28</v>
      </c>
      <c r="B111" s="4" t="s">
        <v>31</v>
      </c>
      <c r="C111" s="2" t="s">
        <v>23</v>
      </c>
      <c r="D111" s="3" t="s">
        <v>72</v>
      </c>
      <c r="E111" s="7">
        <f>IF(AND(A111&gt;='01_PRESUPUESTO_CRONOGRAMA_BASE'!K4, A111&lt;='01_PRESUPUESTO_CRONOGRAMA_BASE'!L4), '01_PRESUPUESTO_CRONOGRAMA_BASE'!M4, 0) + IF(AND(A111&gt;='01_PRESUPUESTO_CRONOGRAMA_BASE'!K5, A111&lt;='01_PRESUPUESTO_CRONOGRAMA_BASE'!L5), '01_PRESUPUESTO_CRONOGRAMA_BASE'!M5, 0) + IF(AND(A111&gt;='01_PRESUPUESTO_CRONOGRAMA_BASE'!K6, A111&lt;='01_PRESUPUESTO_CRONOGRAMA_BASE'!L6), '01_PRESUPUESTO_CRONOGRAMA_BASE'!M6, 0) + IF(AND(A111&gt;='01_PRESUPUESTO_CRONOGRAMA_BASE'!K7, A111&lt;='01_PRESUPUESTO_CRONOGRAMA_BASE'!L7), '01_PRESUPUESTO_CRONOGRAMA_BASE'!M7, 0) + IF(AND(A111&gt;='01_PRESUPUESTO_CRONOGRAMA_BASE'!K8, A111&lt;='01_PRESUPUESTO_CRONOGRAMA_BASE'!L8), '01_PRESUPUESTO_CRONOGRAMA_BASE'!M8, 0) + IF(AND(A111&gt;='01_PRESUPUESTO_CRONOGRAMA_BASE'!K9, A111&lt;='01_PRESUPUESTO_CRONOGRAMA_BASE'!L9), '01_PRESUPUESTO_CRONOGRAMA_BASE'!M9, 0)</f>
        <v>18140.96</v>
      </c>
      <c r="F111" s="19">
        <f>SUMIFS(E$2:E111, C$2:C111, C111)</f>
        <v>221038.29</v>
      </c>
    </row>
    <row r="112" spans="1:6" ht="19.95" customHeight="1" x14ac:dyDescent="0.3">
      <c r="A112" s="4">
        <v>28</v>
      </c>
      <c r="B112" s="4" t="s">
        <v>31</v>
      </c>
      <c r="C112" s="2" t="s">
        <v>49</v>
      </c>
      <c r="D112" s="3" t="s">
        <v>73</v>
      </c>
      <c r="E112" s="7">
        <f>IF(AND(A112&gt;='01_PRESUPUESTO_CRONOGRAMA_BASE'!K10, A112&lt;='01_PRESUPUESTO_CRONOGRAMA_BASE'!L10), '01_PRESUPUESTO_CRONOGRAMA_BASE'!M10, 0) + IF(AND(A112&gt;='01_PRESUPUESTO_CRONOGRAMA_BASE'!K11, A112&lt;='01_PRESUPUESTO_CRONOGRAMA_BASE'!L11), '01_PRESUPUESTO_CRONOGRAMA_BASE'!M11, 0)</f>
        <v>1761.82</v>
      </c>
      <c r="F112" s="19">
        <f>SUMIFS(E$2:E112, C$2:C112, C112)</f>
        <v>12332.74</v>
      </c>
    </row>
    <row r="113" spans="1:6" ht="19.95" customHeight="1" x14ac:dyDescent="0.3">
      <c r="A113" s="4">
        <v>28</v>
      </c>
      <c r="B113" s="4" t="s">
        <v>31</v>
      </c>
      <c r="C113" s="2" t="s">
        <v>56</v>
      </c>
      <c r="D113" s="3" t="s">
        <v>74</v>
      </c>
      <c r="E113" s="7">
        <f>IF(AND(A113&gt;='01_PRESUPUESTO_CRONOGRAMA_BASE'!K12, A113&lt;='01_PRESUPUESTO_CRONOGRAMA_BASE'!L12), '01_PRESUPUESTO_CRONOGRAMA_BASE'!M12, 0)</f>
        <v>0</v>
      </c>
      <c r="F113" s="19">
        <f>SUMIFS(E$2:E113, C$2:C113, C113)</f>
        <v>0</v>
      </c>
    </row>
    <row r="114" spans="1:6" ht="19.95" customHeight="1" x14ac:dyDescent="0.3">
      <c r="A114" s="4">
        <v>29</v>
      </c>
      <c r="B114" s="4" t="s">
        <v>94</v>
      </c>
      <c r="C114" s="2" t="s">
        <v>14</v>
      </c>
      <c r="D114" s="3" t="s">
        <v>71</v>
      </c>
      <c r="E114" s="7">
        <f>IF(AND(A114&gt;='01_PRESUPUESTO_CRONOGRAMA_BASE'!K2, A114&lt;='01_PRESUPUESTO_CRONOGRAMA_BASE'!L2), '01_PRESUPUESTO_CRONOGRAMA_BASE'!M2, 0) + IF(AND(A114&gt;='01_PRESUPUESTO_CRONOGRAMA_BASE'!K3, A114&lt;='01_PRESUPUESTO_CRONOGRAMA_BASE'!L3), '01_PRESUPUESTO_CRONOGRAMA_BASE'!M3, 0)</f>
        <v>0</v>
      </c>
      <c r="F114" s="19">
        <f>SUMIFS(E$2:E114, C$2:C114, C114)</f>
        <v>16336.459999999994</v>
      </c>
    </row>
    <row r="115" spans="1:6" ht="19.95" customHeight="1" x14ac:dyDescent="0.3">
      <c r="A115" s="4">
        <v>29</v>
      </c>
      <c r="B115" s="4" t="s">
        <v>94</v>
      </c>
      <c r="C115" s="2" t="s">
        <v>23</v>
      </c>
      <c r="D115" s="3" t="s">
        <v>72</v>
      </c>
      <c r="E115" s="7">
        <f>IF(AND(A115&gt;='01_PRESUPUESTO_CRONOGRAMA_BASE'!K4, A115&lt;='01_PRESUPUESTO_CRONOGRAMA_BASE'!L4), '01_PRESUPUESTO_CRONOGRAMA_BASE'!M4, 0) + IF(AND(A115&gt;='01_PRESUPUESTO_CRONOGRAMA_BASE'!K5, A115&lt;='01_PRESUPUESTO_CRONOGRAMA_BASE'!L5), '01_PRESUPUESTO_CRONOGRAMA_BASE'!M5, 0) + IF(AND(A115&gt;='01_PRESUPUESTO_CRONOGRAMA_BASE'!K6, A115&lt;='01_PRESUPUESTO_CRONOGRAMA_BASE'!L6), '01_PRESUPUESTO_CRONOGRAMA_BASE'!M6, 0) + IF(AND(A115&gt;='01_PRESUPUESTO_CRONOGRAMA_BASE'!K7, A115&lt;='01_PRESUPUESTO_CRONOGRAMA_BASE'!L7), '01_PRESUPUESTO_CRONOGRAMA_BASE'!M7, 0) + IF(AND(A115&gt;='01_PRESUPUESTO_CRONOGRAMA_BASE'!K8, A115&lt;='01_PRESUPUESTO_CRONOGRAMA_BASE'!L8), '01_PRESUPUESTO_CRONOGRAMA_BASE'!M8, 0) + IF(AND(A115&gt;='01_PRESUPUESTO_CRONOGRAMA_BASE'!K9, A115&lt;='01_PRESUPUESTO_CRONOGRAMA_BASE'!L9), '01_PRESUPUESTO_CRONOGRAMA_BASE'!M9, 0)</f>
        <v>16571.080000000002</v>
      </c>
      <c r="F115" s="19">
        <f>SUMIFS(E$2:E115, C$2:C115, C115)</f>
        <v>237609.37</v>
      </c>
    </row>
    <row r="116" spans="1:6" ht="19.95" customHeight="1" x14ac:dyDescent="0.3">
      <c r="A116" s="4">
        <v>29</v>
      </c>
      <c r="B116" s="4" t="s">
        <v>94</v>
      </c>
      <c r="C116" s="2" t="s">
        <v>49</v>
      </c>
      <c r="D116" s="3" t="s">
        <v>73</v>
      </c>
      <c r="E116" s="7">
        <f>IF(AND(A116&gt;='01_PRESUPUESTO_CRONOGRAMA_BASE'!K10, A116&lt;='01_PRESUPUESTO_CRONOGRAMA_BASE'!L10), '01_PRESUPUESTO_CRONOGRAMA_BASE'!M10, 0) + IF(AND(A116&gt;='01_PRESUPUESTO_CRONOGRAMA_BASE'!K11, A116&lt;='01_PRESUPUESTO_CRONOGRAMA_BASE'!L11), '01_PRESUPUESTO_CRONOGRAMA_BASE'!M11, 0)</f>
        <v>1761.82</v>
      </c>
      <c r="F116" s="19">
        <f>SUMIFS(E$2:E116, C$2:C116, C116)</f>
        <v>14094.56</v>
      </c>
    </row>
    <row r="117" spans="1:6" ht="19.95" customHeight="1" x14ac:dyDescent="0.3">
      <c r="A117" s="4">
        <v>29</v>
      </c>
      <c r="B117" s="4" t="s">
        <v>94</v>
      </c>
      <c r="C117" s="2" t="s">
        <v>56</v>
      </c>
      <c r="D117" s="3" t="s">
        <v>74</v>
      </c>
      <c r="E117" s="7">
        <f>IF(AND(A117&gt;='01_PRESUPUESTO_CRONOGRAMA_BASE'!K12, A117&lt;='01_PRESUPUESTO_CRONOGRAMA_BASE'!L12), '01_PRESUPUESTO_CRONOGRAMA_BASE'!M12, 0)</f>
        <v>0</v>
      </c>
      <c r="F117" s="19">
        <f>SUMIFS(E$2:E117, C$2:C117, C117)</f>
        <v>0</v>
      </c>
    </row>
    <row r="118" spans="1:6" ht="19.95" customHeight="1" x14ac:dyDescent="0.3">
      <c r="A118" s="4">
        <v>30</v>
      </c>
      <c r="B118" s="4" t="s">
        <v>95</v>
      </c>
      <c r="C118" s="2" t="s">
        <v>14</v>
      </c>
      <c r="D118" s="3" t="s">
        <v>71</v>
      </c>
      <c r="E118" s="7">
        <f>IF(AND(A118&gt;='01_PRESUPUESTO_CRONOGRAMA_BASE'!K2, A118&lt;='01_PRESUPUESTO_CRONOGRAMA_BASE'!L2), '01_PRESUPUESTO_CRONOGRAMA_BASE'!M2, 0) + IF(AND(A118&gt;='01_PRESUPUESTO_CRONOGRAMA_BASE'!K3, A118&lt;='01_PRESUPUESTO_CRONOGRAMA_BASE'!L3), '01_PRESUPUESTO_CRONOGRAMA_BASE'!M3, 0)</f>
        <v>0</v>
      </c>
      <c r="F118" s="19">
        <f>SUMIFS(E$2:E118, C$2:C118, C118)</f>
        <v>16336.459999999994</v>
      </c>
    </row>
    <row r="119" spans="1:6" ht="19.95" customHeight="1" x14ac:dyDescent="0.3">
      <c r="A119" s="4">
        <v>30</v>
      </c>
      <c r="B119" s="4" t="s">
        <v>95</v>
      </c>
      <c r="C119" s="2" t="s">
        <v>23</v>
      </c>
      <c r="D119" s="3" t="s">
        <v>72</v>
      </c>
      <c r="E119" s="7">
        <f>IF(AND(A119&gt;='01_PRESUPUESTO_CRONOGRAMA_BASE'!K4, A119&lt;='01_PRESUPUESTO_CRONOGRAMA_BASE'!L4), '01_PRESUPUESTO_CRONOGRAMA_BASE'!M4, 0) + IF(AND(A119&gt;='01_PRESUPUESTO_CRONOGRAMA_BASE'!K5, A119&lt;='01_PRESUPUESTO_CRONOGRAMA_BASE'!L5), '01_PRESUPUESTO_CRONOGRAMA_BASE'!M5, 0) + IF(AND(A119&gt;='01_PRESUPUESTO_CRONOGRAMA_BASE'!K6, A119&lt;='01_PRESUPUESTO_CRONOGRAMA_BASE'!L6), '01_PRESUPUESTO_CRONOGRAMA_BASE'!M6, 0) + IF(AND(A119&gt;='01_PRESUPUESTO_CRONOGRAMA_BASE'!K7, A119&lt;='01_PRESUPUESTO_CRONOGRAMA_BASE'!L7), '01_PRESUPUESTO_CRONOGRAMA_BASE'!M7, 0) + IF(AND(A119&gt;='01_PRESUPUESTO_CRONOGRAMA_BASE'!K8, A119&lt;='01_PRESUPUESTO_CRONOGRAMA_BASE'!L8), '01_PRESUPUESTO_CRONOGRAMA_BASE'!M8, 0) + IF(AND(A119&gt;='01_PRESUPUESTO_CRONOGRAMA_BASE'!K9, A119&lt;='01_PRESUPUESTO_CRONOGRAMA_BASE'!L9), '01_PRESUPUESTO_CRONOGRAMA_BASE'!M9, 0)</f>
        <v>16571.080000000002</v>
      </c>
      <c r="F119" s="19">
        <f>SUMIFS(E$2:E119, C$2:C119, C119)</f>
        <v>254180.45</v>
      </c>
    </row>
    <row r="120" spans="1:6" ht="19.95" customHeight="1" x14ac:dyDescent="0.3">
      <c r="A120" s="4">
        <v>30</v>
      </c>
      <c r="B120" s="4" t="s">
        <v>95</v>
      </c>
      <c r="C120" s="2" t="s">
        <v>49</v>
      </c>
      <c r="D120" s="3" t="s">
        <v>73</v>
      </c>
      <c r="E120" s="7">
        <f>IF(AND(A120&gt;='01_PRESUPUESTO_CRONOGRAMA_BASE'!K10, A120&lt;='01_PRESUPUESTO_CRONOGRAMA_BASE'!L10), '01_PRESUPUESTO_CRONOGRAMA_BASE'!M10, 0) + IF(AND(A120&gt;='01_PRESUPUESTO_CRONOGRAMA_BASE'!K11, A120&lt;='01_PRESUPUESTO_CRONOGRAMA_BASE'!L11), '01_PRESUPUESTO_CRONOGRAMA_BASE'!M11, 0)</f>
        <v>1761.82</v>
      </c>
      <c r="F120" s="19">
        <f>SUMIFS(E$2:E120, C$2:C120, C120)</f>
        <v>15856.38</v>
      </c>
    </row>
    <row r="121" spans="1:6" ht="19.95" customHeight="1" x14ac:dyDescent="0.3">
      <c r="A121" s="4">
        <v>30</v>
      </c>
      <c r="B121" s="4" t="s">
        <v>95</v>
      </c>
      <c r="C121" s="2" t="s">
        <v>56</v>
      </c>
      <c r="D121" s="3" t="s">
        <v>74</v>
      </c>
      <c r="E121" s="7">
        <f>IF(AND(A121&gt;='01_PRESUPUESTO_CRONOGRAMA_BASE'!K12, A121&lt;='01_PRESUPUESTO_CRONOGRAMA_BASE'!L12), '01_PRESUPUESTO_CRONOGRAMA_BASE'!M12, 0)</f>
        <v>0</v>
      </c>
      <c r="F121" s="19">
        <f>SUMIFS(E$2:E121, C$2:C121, C121)</f>
        <v>0</v>
      </c>
    </row>
    <row r="122" spans="1:6" ht="19.95" customHeight="1" x14ac:dyDescent="0.3">
      <c r="A122" s="4">
        <v>31</v>
      </c>
      <c r="B122" s="4" t="s">
        <v>35</v>
      </c>
      <c r="C122" s="2" t="s">
        <v>14</v>
      </c>
      <c r="D122" s="3" t="s">
        <v>71</v>
      </c>
      <c r="E122" s="7">
        <f>IF(AND(A122&gt;='01_PRESUPUESTO_CRONOGRAMA_BASE'!K2, A122&lt;='01_PRESUPUESTO_CRONOGRAMA_BASE'!L2), '01_PRESUPUESTO_CRONOGRAMA_BASE'!M2, 0) + IF(AND(A122&gt;='01_PRESUPUESTO_CRONOGRAMA_BASE'!K3, A122&lt;='01_PRESUPUESTO_CRONOGRAMA_BASE'!L3), '01_PRESUPUESTO_CRONOGRAMA_BASE'!M3, 0)</f>
        <v>0</v>
      </c>
      <c r="F122" s="19">
        <f>SUMIFS(E$2:E122, C$2:C122, C122)</f>
        <v>16336.459999999994</v>
      </c>
    </row>
    <row r="123" spans="1:6" ht="19.95" customHeight="1" x14ac:dyDescent="0.3">
      <c r="A123" s="4">
        <v>31</v>
      </c>
      <c r="B123" s="4" t="s">
        <v>35</v>
      </c>
      <c r="C123" s="2" t="s">
        <v>23</v>
      </c>
      <c r="D123" s="3" t="s">
        <v>72</v>
      </c>
      <c r="E123" s="7">
        <f>IF(AND(A123&gt;='01_PRESUPUESTO_CRONOGRAMA_BASE'!K4, A123&lt;='01_PRESUPUESTO_CRONOGRAMA_BASE'!L4), '01_PRESUPUESTO_CRONOGRAMA_BASE'!M4, 0) + IF(AND(A123&gt;='01_PRESUPUESTO_CRONOGRAMA_BASE'!K5, A123&lt;='01_PRESUPUESTO_CRONOGRAMA_BASE'!L5), '01_PRESUPUESTO_CRONOGRAMA_BASE'!M5, 0) + IF(AND(A123&gt;='01_PRESUPUESTO_CRONOGRAMA_BASE'!K6, A123&lt;='01_PRESUPUESTO_CRONOGRAMA_BASE'!L6), '01_PRESUPUESTO_CRONOGRAMA_BASE'!M6, 0) + IF(AND(A123&gt;='01_PRESUPUESTO_CRONOGRAMA_BASE'!K7, A123&lt;='01_PRESUPUESTO_CRONOGRAMA_BASE'!L7), '01_PRESUPUESTO_CRONOGRAMA_BASE'!M7, 0) + IF(AND(A123&gt;='01_PRESUPUESTO_CRONOGRAMA_BASE'!K8, A123&lt;='01_PRESUPUESTO_CRONOGRAMA_BASE'!L8), '01_PRESUPUESTO_CRONOGRAMA_BASE'!M8, 0) + IF(AND(A123&gt;='01_PRESUPUESTO_CRONOGRAMA_BASE'!K9, A123&lt;='01_PRESUPUESTO_CRONOGRAMA_BASE'!L9), '01_PRESUPUESTO_CRONOGRAMA_BASE'!M9, 0)</f>
        <v>16571.080000000002</v>
      </c>
      <c r="F123" s="19">
        <f>SUMIFS(E$2:E123, C$2:C123, C123)</f>
        <v>270751.53000000003</v>
      </c>
    </row>
    <row r="124" spans="1:6" ht="19.95" customHeight="1" x14ac:dyDescent="0.3">
      <c r="A124" s="4">
        <v>31</v>
      </c>
      <c r="B124" s="4" t="s">
        <v>35</v>
      </c>
      <c r="C124" s="2" t="s">
        <v>49</v>
      </c>
      <c r="D124" s="3" t="s">
        <v>73</v>
      </c>
      <c r="E124" s="7">
        <f>IF(AND(A124&gt;='01_PRESUPUESTO_CRONOGRAMA_BASE'!K10, A124&lt;='01_PRESUPUESTO_CRONOGRAMA_BASE'!L10), '01_PRESUPUESTO_CRONOGRAMA_BASE'!M10, 0) + IF(AND(A124&gt;='01_PRESUPUESTO_CRONOGRAMA_BASE'!K11, A124&lt;='01_PRESUPUESTO_CRONOGRAMA_BASE'!L11), '01_PRESUPUESTO_CRONOGRAMA_BASE'!M11, 0)</f>
        <v>1761.82</v>
      </c>
      <c r="F124" s="19">
        <f>SUMIFS(E$2:E124, C$2:C124, C124)</f>
        <v>17618.2</v>
      </c>
    </row>
    <row r="125" spans="1:6" ht="19.95" customHeight="1" x14ac:dyDescent="0.3">
      <c r="A125" s="4">
        <v>31</v>
      </c>
      <c r="B125" s="4" t="s">
        <v>35</v>
      </c>
      <c r="C125" s="2" t="s">
        <v>56</v>
      </c>
      <c r="D125" s="3" t="s">
        <v>74</v>
      </c>
      <c r="E125" s="7">
        <f>IF(AND(A125&gt;='01_PRESUPUESTO_CRONOGRAMA_BASE'!K12, A125&lt;='01_PRESUPUESTO_CRONOGRAMA_BASE'!L12), '01_PRESUPUESTO_CRONOGRAMA_BASE'!M12, 0)</f>
        <v>0</v>
      </c>
      <c r="F125" s="19">
        <f>SUMIFS(E$2:E125, C$2:C125, C125)</f>
        <v>0</v>
      </c>
    </row>
    <row r="126" spans="1:6" ht="19.95" customHeight="1" x14ac:dyDescent="0.3">
      <c r="A126" s="4">
        <v>32</v>
      </c>
      <c r="B126" s="4" t="s">
        <v>53</v>
      </c>
      <c r="C126" s="2" t="s">
        <v>14</v>
      </c>
      <c r="D126" s="3" t="s">
        <v>71</v>
      </c>
      <c r="E126" s="7">
        <f>IF(AND(A126&gt;='01_PRESUPUESTO_CRONOGRAMA_BASE'!K2, A126&lt;='01_PRESUPUESTO_CRONOGRAMA_BASE'!L2), '01_PRESUPUESTO_CRONOGRAMA_BASE'!M2, 0) + IF(AND(A126&gt;='01_PRESUPUESTO_CRONOGRAMA_BASE'!K3, A126&lt;='01_PRESUPUESTO_CRONOGRAMA_BASE'!L3), '01_PRESUPUESTO_CRONOGRAMA_BASE'!M3, 0)</f>
        <v>0</v>
      </c>
      <c r="F126" s="19">
        <f>SUMIFS(E$2:E126, C$2:C126, C126)</f>
        <v>16336.459999999994</v>
      </c>
    </row>
    <row r="127" spans="1:6" ht="19.95" customHeight="1" x14ac:dyDescent="0.3">
      <c r="A127" s="4">
        <v>32</v>
      </c>
      <c r="B127" s="4" t="s">
        <v>53</v>
      </c>
      <c r="C127" s="2" t="s">
        <v>23</v>
      </c>
      <c r="D127" s="3" t="s">
        <v>72</v>
      </c>
      <c r="E127" s="7">
        <f>IF(AND(A127&gt;='01_PRESUPUESTO_CRONOGRAMA_BASE'!K4, A127&lt;='01_PRESUPUESTO_CRONOGRAMA_BASE'!L4), '01_PRESUPUESTO_CRONOGRAMA_BASE'!M4, 0) + IF(AND(A127&gt;='01_PRESUPUESTO_CRONOGRAMA_BASE'!K5, A127&lt;='01_PRESUPUESTO_CRONOGRAMA_BASE'!L5), '01_PRESUPUESTO_CRONOGRAMA_BASE'!M5, 0) + IF(AND(A127&gt;='01_PRESUPUESTO_CRONOGRAMA_BASE'!K6, A127&lt;='01_PRESUPUESTO_CRONOGRAMA_BASE'!L6), '01_PRESUPUESTO_CRONOGRAMA_BASE'!M6, 0) + IF(AND(A127&gt;='01_PRESUPUESTO_CRONOGRAMA_BASE'!K7, A127&lt;='01_PRESUPUESTO_CRONOGRAMA_BASE'!L7), '01_PRESUPUESTO_CRONOGRAMA_BASE'!M7, 0) + IF(AND(A127&gt;='01_PRESUPUESTO_CRONOGRAMA_BASE'!K8, A127&lt;='01_PRESUPUESTO_CRONOGRAMA_BASE'!L8), '01_PRESUPUESTO_CRONOGRAMA_BASE'!M8, 0) + IF(AND(A127&gt;='01_PRESUPUESTO_CRONOGRAMA_BASE'!K9, A127&lt;='01_PRESUPUESTO_CRONOGRAMA_BASE'!L9), '01_PRESUPUESTO_CRONOGRAMA_BASE'!M9, 0)</f>
        <v>11999.669999999998</v>
      </c>
      <c r="F127" s="19">
        <f>SUMIFS(E$2:E127, C$2:C127, C127)</f>
        <v>282751.2</v>
      </c>
    </row>
    <row r="128" spans="1:6" ht="19.95" customHeight="1" x14ac:dyDescent="0.3">
      <c r="A128" s="4">
        <v>32</v>
      </c>
      <c r="B128" s="4" t="s">
        <v>53</v>
      </c>
      <c r="C128" s="2" t="s">
        <v>49</v>
      </c>
      <c r="D128" s="3" t="s">
        <v>73</v>
      </c>
      <c r="E128" s="7">
        <f>IF(AND(A128&gt;='01_PRESUPUESTO_CRONOGRAMA_BASE'!K10, A128&lt;='01_PRESUPUESTO_CRONOGRAMA_BASE'!L10), '01_PRESUPUESTO_CRONOGRAMA_BASE'!M10, 0) + IF(AND(A128&gt;='01_PRESUPUESTO_CRONOGRAMA_BASE'!K11, A128&lt;='01_PRESUPUESTO_CRONOGRAMA_BASE'!L11), '01_PRESUPUESTO_CRONOGRAMA_BASE'!M11, 0)</f>
        <v>2702.08</v>
      </c>
      <c r="F128" s="19">
        <f>SUMIFS(E$2:E128, C$2:C128, C128)</f>
        <v>20320.28</v>
      </c>
    </row>
    <row r="129" spans="1:6" ht="19.95" customHeight="1" x14ac:dyDescent="0.3">
      <c r="A129" s="4">
        <v>32</v>
      </c>
      <c r="B129" s="4" t="s">
        <v>53</v>
      </c>
      <c r="C129" s="2" t="s">
        <v>56</v>
      </c>
      <c r="D129" s="3" t="s">
        <v>74</v>
      </c>
      <c r="E129" s="7">
        <f>IF(AND(A129&gt;='01_PRESUPUESTO_CRONOGRAMA_BASE'!K12, A129&lt;='01_PRESUPUESTO_CRONOGRAMA_BASE'!L12), '01_PRESUPUESTO_CRONOGRAMA_BASE'!M12, 0)</f>
        <v>0</v>
      </c>
      <c r="F129" s="19">
        <f>SUMIFS(E$2:E129, C$2:C129, C129)</f>
        <v>0</v>
      </c>
    </row>
    <row r="130" spans="1:6" ht="19.95" customHeight="1" x14ac:dyDescent="0.3">
      <c r="A130" s="4">
        <v>33</v>
      </c>
      <c r="B130" s="4" t="s">
        <v>96</v>
      </c>
      <c r="C130" s="2" t="s">
        <v>14</v>
      </c>
      <c r="D130" s="3" t="s">
        <v>71</v>
      </c>
      <c r="E130" s="7">
        <f>IF(AND(A130&gt;='01_PRESUPUESTO_CRONOGRAMA_BASE'!K2, A130&lt;='01_PRESUPUESTO_CRONOGRAMA_BASE'!L2), '01_PRESUPUESTO_CRONOGRAMA_BASE'!M2, 0) + IF(AND(A130&gt;='01_PRESUPUESTO_CRONOGRAMA_BASE'!K3, A130&lt;='01_PRESUPUESTO_CRONOGRAMA_BASE'!L3), '01_PRESUPUESTO_CRONOGRAMA_BASE'!M3, 0)</f>
        <v>0</v>
      </c>
      <c r="F130" s="19">
        <f>SUMIFS(E$2:E130, C$2:C130, C130)</f>
        <v>16336.459999999994</v>
      </c>
    </row>
    <row r="131" spans="1:6" ht="19.95" customHeight="1" x14ac:dyDescent="0.3">
      <c r="A131" s="4">
        <v>33</v>
      </c>
      <c r="B131" s="4" t="s">
        <v>96</v>
      </c>
      <c r="C131" s="2" t="s">
        <v>23</v>
      </c>
      <c r="D131" s="3" t="s">
        <v>72</v>
      </c>
      <c r="E131" s="7">
        <f>IF(AND(A131&gt;='01_PRESUPUESTO_CRONOGRAMA_BASE'!K4, A131&lt;='01_PRESUPUESTO_CRONOGRAMA_BASE'!L4), '01_PRESUPUESTO_CRONOGRAMA_BASE'!M4, 0) + IF(AND(A131&gt;='01_PRESUPUESTO_CRONOGRAMA_BASE'!K5, A131&lt;='01_PRESUPUESTO_CRONOGRAMA_BASE'!L5), '01_PRESUPUESTO_CRONOGRAMA_BASE'!M5, 0) + IF(AND(A131&gt;='01_PRESUPUESTO_CRONOGRAMA_BASE'!K6, A131&lt;='01_PRESUPUESTO_CRONOGRAMA_BASE'!L6), '01_PRESUPUESTO_CRONOGRAMA_BASE'!M6, 0) + IF(AND(A131&gt;='01_PRESUPUESTO_CRONOGRAMA_BASE'!K7, A131&lt;='01_PRESUPUESTO_CRONOGRAMA_BASE'!L7), '01_PRESUPUESTO_CRONOGRAMA_BASE'!M7, 0) + IF(AND(A131&gt;='01_PRESUPUESTO_CRONOGRAMA_BASE'!K8, A131&lt;='01_PRESUPUESTO_CRONOGRAMA_BASE'!L8), '01_PRESUPUESTO_CRONOGRAMA_BASE'!M8, 0) + IF(AND(A131&gt;='01_PRESUPUESTO_CRONOGRAMA_BASE'!K9, A131&lt;='01_PRESUPUESTO_CRONOGRAMA_BASE'!L9), '01_PRESUPUESTO_CRONOGRAMA_BASE'!M9, 0)</f>
        <v>11999.669999999998</v>
      </c>
      <c r="F131" s="19">
        <f>SUMIFS(E$2:E131, C$2:C131, C131)</f>
        <v>294750.87</v>
      </c>
    </row>
    <row r="132" spans="1:6" ht="19.95" customHeight="1" x14ac:dyDescent="0.3">
      <c r="A132" s="4">
        <v>33</v>
      </c>
      <c r="B132" s="4" t="s">
        <v>96</v>
      </c>
      <c r="C132" s="2" t="s">
        <v>49</v>
      </c>
      <c r="D132" s="3" t="s">
        <v>73</v>
      </c>
      <c r="E132" s="7">
        <f>IF(AND(A132&gt;='01_PRESUPUESTO_CRONOGRAMA_BASE'!K10, A132&lt;='01_PRESUPUESTO_CRONOGRAMA_BASE'!L10), '01_PRESUPUESTO_CRONOGRAMA_BASE'!M10, 0) + IF(AND(A132&gt;='01_PRESUPUESTO_CRONOGRAMA_BASE'!K11, A132&lt;='01_PRESUPUESTO_CRONOGRAMA_BASE'!L11), '01_PRESUPUESTO_CRONOGRAMA_BASE'!M11, 0)</f>
        <v>2702.08</v>
      </c>
      <c r="F132" s="19">
        <f>SUMIFS(E$2:E132, C$2:C132, C132)</f>
        <v>23022.36</v>
      </c>
    </row>
    <row r="133" spans="1:6" ht="19.95" customHeight="1" x14ac:dyDescent="0.3">
      <c r="A133" s="4">
        <v>33</v>
      </c>
      <c r="B133" s="4" t="s">
        <v>96</v>
      </c>
      <c r="C133" s="2" t="s">
        <v>56</v>
      </c>
      <c r="D133" s="3" t="s">
        <v>74</v>
      </c>
      <c r="E133" s="7">
        <f>IF(AND(A133&gt;='01_PRESUPUESTO_CRONOGRAMA_BASE'!K12, A133&lt;='01_PRESUPUESTO_CRONOGRAMA_BASE'!L12), '01_PRESUPUESTO_CRONOGRAMA_BASE'!M12, 0)</f>
        <v>0</v>
      </c>
      <c r="F133" s="19">
        <f>SUMIFS(E$2:E133, C$2:C133, C133)</f>
        <v>0</v>
      </c>
    </row>
    <row r="134" spans="1:6" ht="19.95" customHeight="1" x14ac:dyDescent="0.3">
      <c r="A134" s="4">
        <v>34</v>
      </c>
      <c r="B134" s="4" t="s">
        <v>97</v>
      </c>
      <c r="C134" s="2" t="s">
        <v>14</v>
      </c>
      <c r="D134" s="3" t="s">
        <v>71</v>
      </c>
      <c r="E134" s="7">
        <f>IF(AND(A134&gt;='01_PRESUPUESTO_CRONOGRAMA_BASE'!K2, A134&lt;='01_PRESUPUESTO_CRONOGRAMA_BASE'!L2), '01_PRESUPUESTO_CRONOGRAMA_BASE'!M2, 0) + IF(AND(A134&gt;='01_PRESUPUESTO_CRONOGRAMA_BASE'!K3, A134&lt;='01_PRESUPUESTO_CRONOGRAMA_BASE'!L3), '01_PRESUPUESTO_CRONOGRAMA_BASE'!M3, 0)</f>
        <v>0</v>
      </c>
      <c r="F134" s="19">
        <f>SUMIFS(E$2:E134, C$2:C134, C134)</f>
        <v>16336.459999999994</v>
      </c>
    </row>
    <row r="135" spans="1:6" ht="19.95" customHeight="1" x14ac:dyDescent="0.3">
      <c r="A135" s="4">
        <v>34</v>
      </c>
      <c r="B135" s="4" t="s">
        <v>97</v>
      </c>
      <c r="C135" s="2" t="s">
        <v>23</v>
      </c>
      <c r="D135" s="3" t="s">
        <v>72</v>
      </c>
      <c r="E135" s="7">
        <f>IF(AND(A135&gt;='01_PRESUPUESTO_CRONOGRAMA_BASE'!K4, A135&lt;='01_PRESUPUESTO_CRONOGRAMA_BASE'!L4), '01_PRESUPUESTO_CRONOGRAMA_BASE'!M4, 0) + IF(AND(A135&gt;='01_PRESUPUESTO_CRONOGRAMA_BASE'!K5, A135&lt;='01_PRESUPUESTO_CRONOGRAMA_BASE'!L5), '01_PRESUPUESTO_CRONOGRAMA_BASE'!M5, 0) + IF(AND(A135&gt;='01_PRESUPUESTO_CRONOGRAMA_BASE'!K6, A135&lt;='01_PRESUPUESTO_CRONOGRAMA_BASE'!L6), '01_PRESUPUESTO_CRONOGRAMA_BASE'!M6, 0) + IF(AND(A135&gt;='01_PRESUPUESTO_CRONOGRAMA_BASE'!K7, A135&lt;='01_PRESUPUESTO_CRONOGRAMA_BASE'!L7), '01_PRESUPUESTO_CRONOGRAMA_BASE'!M7, 0) + IF(AND(A135&gt;='01_PRESUPUESTO_CRONOGRAMA_BASE'!K8, A135&lt;='01_PRESUPUESTO_CRONOGRAMA_BASE'!L8), '01_PRESUPUESTO_CRONOGRAMA_BASE'!M8, 0) + IF(AND(A135&gt;='01_PRESUPUESTO_CRONOGRAMA_BASE'!K9, A135&lt;='01_PRESUPUESTO_CRONOGRAMA_BASE'!L9), '01_PRESUPUESTO_CRONOGRAMA_BASE'!M9, 0)</f>
        <v>11999.669999999998</v>
      </c>
      <c r="F135" s="19">
        <f>SUMIFS(E$2:E135, C$2:C135, C135)</f>
        <v>306750.53999999998</v>
      </c>
    </row>
    <row r="136" spans="1:6" ht="19.95" customHeight="1" x14ac:dyDescent="0.3">
      <c r="A136" s="4">
        <v>34</v>
      </c>
      <c r="B136" s="4" t="s">
        <v>97</v>
      </c>
      <c r="C136" s="2" t="s">
        <v>49</v>
      </c>
      <c r="D136" s="3" t="s">
        <v>73</v>
      </c>
      <c r="E136" s="7">
        <f>IF(AND(A136&gt;='01_PRESUPUESTO_CRONOGRAMA_BASE'!K10, A136&lt;='01_PRESUPUESTO_CRONOGRAMA_BASE'!L10), '01_PRESUPUESTO_CRONOGRAMA_BASE'!M10, 0) + IF(AND(A136&gt;='01_PRESUPUESTO_CRONOGRAMA_BASE'!K11, A136&lt;='01_PRESUPUESTO_CRONOGRAMA_BASE'!L11), '01_PRESUPUESTO_CRONOGRAMA_BASE'!M11, 0)</f>
        <v>2702.08</v>
      </c>
      <c r="F136" s="19">
        <f>SUMIFS(E$2:E136, C$2:C136, C136)</f>
        <v>25724.440000000002</v>
      </c>
    </row>
    <row r="137" spans="1:6" ht="19.95" customHeight="1" x14ac:dyDescent="0.3">
      <c r="A137" s="4">
        <v>34</v>
      </c>
      <c r="B137" s="4" t="s">
        <v>97</v>
      </c>
      <c r="C137" s="2" t="s">
        <v>56</v>
      </c>
      <c r="D137" s="3" t="s">
        <v>74</v>
      </c>
      <c r="E137" s="7">
        <f>IF(AND(A137&gt;='01_PRESUPUESTO_CRONOGRAMA_BASE'!K12, A137&lt;='01_PRESUPUESTO_CRONOGRAMA_BASE'!L12), '01_PRESUPUESTO_CRONOGRAMA_BASE'!M12, 0)</f>
        <v>0</v>
      </c>
      <c r="F137" s="19">
        <f>SUMIFS(E$2:E137, C$2:C137, C137)</f>
        <v>0</v>
      </c>
    </row>
    <row r="138" spans="1:6" ht="19.95" customHeight="1" x14ac:dyDescent="0.3">
      <c r="A138" s="4">
        <v>35</v>
      </c>
      <c r="B138" s="4" t="s">
        <v>98</v>
      </c>
      <c r="C138" s="2" t="s">
        <v>14</v>
      </c>
      <c r="D138" s="3" t="s">
        <v>71</v>
      </c>
      <c r="E138" s="7">
        <f>IF(AND(A138&gt;='01_PRESUPUESTO_CRONOGRAMA_BASE'!K2, A138&lt;='01_PRESUPUESTO_CRONOGRAMA_BASE'!L2), '01_PRESUPUESTO_CRONOGRAMA_BASE'!M2, 0) + IF(AND(A138&gt;='01_PRESUPUESTO_CRONOGRAMA_BASE'!K3, A138&lt;='01_PRESUPUESTO_CRONOGRAMA_BASE'!L3), '01_PRESUPUESTO_CRONOGRAMA_BASE'!M3, 0)</f>
        <v>0</v>
      </c>
      <c r="F138" s="19">
        <f>SUMIFS(E$2:E138, C$2:C138, C138)</f>
        <v>16336.459999999994</v>
      </c>
    </row>
    <row r="139" spans="1:6" ht="19.95" customHeight="1" x14ac:dyDescent="0.3">
      <c r="A139" s="4">
        <v>35</v>
      </c>
      <c r="B139" s="4" t="s">
        <v>98</v>
      </c>
      <c r="C139" s="2" t="s">
        <v>23</v>
      </c>
      <c r="D139" s="3" t="s">
        <v>72</v>
      </c>
      <c r="E139" s="7">
        <f>IF(AND(A139&gt;='01_PRESUPUESTO_CRONOGRAMA_BASE'!K4, A139&lt;='01_PRESUPUESTO_CRONOGRAMA_BASE'!L4), '01_PRESUPUESTO_CRONOGRAMA_BASE'!M4, 0) + IF(AND(A139&gt;='01_PRESUPUESTO_CRONOGRAMA_BASE'!K5, A139&lt;='01_PRESUPUESTO_CRONOGRAMA_BASE'!L5), '01_PRESUPUESTO_CRONOGRAMA_BASE'!M5, 0) + IF(AND(A139&gt;='01_PRESUPUESTO_CRONOGRAMA_BASE'!K6, A139&lt;='01_PRESUPUESTO_CRONOGRAMA_BASE'!L6), '01_PRESUPUESTO_CRONOGRAMA_BASE'!M6, 0) + IF(AND(A139&gt;='01_PRESUPUESTO_CRONOGRAMA_BASE'!K7, A139&lt;='01_PRESUPUESTO_CRONOGRAMA_BASE'!L7), '01_PRESUPUESTO_CRONOGRAMA_BASE'!M7, 0) + IF(AND(A139&gt;='01_PRESUPUESTO_CRONOGRAMA_BASE'!K8, A139&lt;='01_PRESUPUESTO_CRONOGRAMA_BASE'!L8), '01_PRESUPUESTO_CRONOGRAMA_BASE'!M8, 0) + IF(AND(A139&gt;='01_PRESUPUESTO_CRONOGRAMA_BASE'!K9, A139&lt;='01_PRESUPUESTO_CRONOGRAMA_BASE'!L9), '01_PRESUPUESTO_CRONOGRAMA_BASE'!M9, 0)</f>
        <v>11999.669999999998</v>
      </c>
      <c r="F139" s="19">
        <f>SUMIFS(E$2:E139, C$2:C139, C139)</f>
        <v>318750.20999999996</v>
      </c>
    </row>
    <row r="140" spans="1:6" ht="19.95" customHeight="1" x14ac:dyDescent="0.3">
      <c r="A140" s="4">
        <v>35</v>
      </c>
      <c r="B140" s="4" t="s">
        <v>98</v>
      </c>
      <c r="C140" s="2" t="s">
        <v>49</v>
      </c>
      <c r="D140" s="3" t="s">
        <v>73</v>
      </c>
      <c r="E140" s="7">
        <f>IF(AND(A140&gt;='01_PRESUPUESTO_CRONOGRAMA_BASE'!K10, A140&lt;='01_PRESUPUESTO_CRONOGRAMA_BASE'!L10), '01_PRESUPUESTO_CRONOGRAMA_BASE'!M10, 0) + IF(AND(A140&gt;='01_PRESUPUESTO_CRONOGRAMA_BASE'!K11, A140&lt;='01_PRESUPUESTO_CRONOGRAMA_BASE'!L11), '01_PRESUPUESTO_CRONOGRAMA_BASE'!M11, 0)</f>
        <v>2702.08</v>
      </c>
      <c r="F140" s="19">
        <f>SUMIFS(E$2:E140, C$2:C140, C140)</f>
        <v>28426.520000000004</v>
      </c>
    </row>
    <row r="141" spans="1:6" ht="19.95" customHeight="1" x14ac:dyDescent="0.3">
      <c r="A141" s="4">
        <v>35</v>
      </c>
      <c r="B141" s="4" t="s">
        <v>98</v>
      </c>
      <c r="C141" s="2" t="s">
        <v>56</v>
      </c>
      <c r="D141" s="3" t="s">
        <v>74</v>
      </c>
      <c r="E141" s="7">
        <f>IF(AND(A141&gt;='01_PRESUPUESTO_CRONOGRAMA_BASE'!K12, A141&lt;='01_PRESUPUESTO_CRONOGRAMA_BASE'!L12), '01_PRESUPUESTO_CRONOGRAMA_BASE'!M12, 0)</f>
        <v>0</v>
      </c>
      <c r="F141" s="19">
        <f>SUMIFS(E$2:E141, C$2:C141, C141)</f>
        <v>0</v>
      </c>
    </row>
    <row r="142" spans="1:6" ht="19.95" customHeight="1" x14ac:dyDescent="0.3">
      <c r="A142" s="4">
        <v>36</v>
      </c>
      <c r="B142" s="4" t="s">
        <v>39</v>
      </c>
      <c r="C142" s="2" t="s">
        <v>14</v>
      </c>
      <c r="D142" s="3" t="s">
        <v>71</v>
      </c>
      <c r="E142" s="7">
        <f>IF(AND(A142&gt;='01_PRESUPUESTO_CRONOGRAMA_BASE'!K2, A142&lt;='01_PRESUPUESTO_CRONOGRAMA_BASE'!L2), '01_PRESUPUESTO_CRONOGRAMA_BASE'!M2, 0) + IF(AND(A142&gt;='01_PRESUPUESTO_CRONOGRAMA_BASE'!K3, A142&lt;='01_PRESUPUESTO_CRONOGRAMA_BASE'!L3), '01_PRESUPUESTO_CRONOGRAMA_BASE'!M3, 0)</f>
        <v>0</v>
      </c>
      <c r="F142" s="19">
        <f>SUMIFS(E$2:E142, C$2:C142, C142)</f>
        <v>16336.459999999994</v>
      </c>
    </row>
    <row r="143" spans="1:6" ht="19.95" customHeight="1" x14ac:dyDescent="0.3">
      <c r="A143" s="4">
        <v>36</v>
      </c>
      <c r="B143" s="4" t="s">
        <v>39</v>
      </c>
      <c r="C143" s="2" t="s">
        <v>23</v>
      </c>
      <c r="D143" s="3" t="s">
        <v>72</v>
      </c>
      <c r="E143" s="7">
        <f>IF(AND(A143&gt;='01_PRESUPUESTO_CRONOGRAMA_BASE'!K4, A143&lt;='01_PRESUPUESTO_CRONOGRAMA_BASE'!L4), '01_PRESUPUESTO_CRONOGRAMA_BASE'!M4, 0) + IF(AND(A143&gt;='01_PRESUPUESTO_CRONOGRAMA_BASE'!K5, A143&lt;='01_PRESUPUESTO_CRONOGRAMA_BASE'!L5), '01_PRESUPUESTO_CRONOGRAMA_BASE'!M5, 0) + IF(AND(A143&gt;='01_PRESUPUESTO_CRONOGRAMA_BASE'!K6, A143&lt;='01_PRESUPUESTO_CRONOGRAMA_BASE'!L6), '01_PRESUPUESTO_CRONOGRAMA_BASE'!M6, 0) + IF(AND(A143&gt;='01_PRESUPUESTO_CRONOGRAMA_BASE'!K7, A143&lt;='01_PRESUPUESTO_CRONOGRAMA_BASE'!L7), '01_PRESUPUESTO_CRONOGRAMA_BASE'!M7, 0) + IF(AND(A143&gt;='01_PRESUPUESTO_CRONOGRAMA_BASE'!K8, A143&lt;='01_PRESUPUESTO_CRONOGRAMA_BASE'!L8), '01_PRESUPUESTO_CRONOGRAMA_BASE'!M8, 0) + IF(AND(A143&gt;='01_PRESUPUESTO_CRONOGRAMA_BASE'!K9, A143&lt;='01_PRESUPUESTO_CRONOGRAMA_BASE'!L9), '01_PRESUPUESTO_CRONOGRAMA_BASE'!M9, 0)</f>
        <v>11999.669999999998</v>
      </c>
      <c r="F143" s="19">
        <f>SUMIFS(E$2:E143, C$2:C143, C143)</f>
        <v>330749.87999999995</v>
      </c>
    </row>
    <row r="144" spans="1:6" ht="19.95" customHeight="1" x14ac:dyDescent="0.3">
      <c r="A144" s="4">
        <v>36</v>
      </c>
      <c r="B144" s="4" t="s">
        <v>39</v>
      </c>
      <c r="C144" s="2" t="s">
        <v>49</v>
      </c>
      <c r="D144" s="3" t="s">
        <v>73</v>
      </c>
      <c r="E144" s="7">
        <f>IF(AND(A144&gt;='01_PRESUPUESTO_CRONOGRAMA_BASE'!K10, A144&lt;='01_PRESUPUESTO_CRONOGRAMA_BASE'!L10), '01_PRESUPUESTO_CRONOGRAMA_BASE'!M10, 0) + IF(AND(A144&gt;='01_PRESUPUESTO_CRONOGRAMA_BASE'!K11, A144&lt;='01_PRESUPUESTO_CRONOGRAMA_BASE'!L11), '01_PRESUPUESTO_CRONOGRAMA_BASE'!M11, 0)</f>
        <v>2702.08</v>
      </c>
      <c r="F144" s="19">
        <f>SUMIFS(E$2:E144, C$2:C144, C144)</f>
        <v>31128.600000000006</v>
      </c>
    </row>
    <row r="145" spans="1:6" ht="19.95" customHeight="1" x14ac:dyDescent="0.3">
      <c r="A145" s="4">
        <v>36</v>
      </c>
      <c r="B145" s="4" t="s">
        <v>39</v>
      </c>
      <c r="C145" s="2" t="s">
        <v>56</v>
      </c>
      <c r="D145" s="3" t="s">
        <v>74</v>
      </c>
      <c r="E145" s="7">
        <f>IF(AND(A145&gt;='01_PRESUPUESTO_CRONOGRAMA_BASE'!K12, A145&lt;='01_PRESUPUESTO_CRONOGRAMA_BASE'!L12), '01_PRESUPUESTO_CRONOGRAMA_BASE'!M12, 0)</f>
        <v>0</v>
      </c>
      <c r="F145" s="19">
        <f>SUMIFS(E$2:E145, C$2:C145, C145)</f>
        <v>0</v>
      </c>
    </row>
    <row r="146" spans="1:6" ht="19.95" customHeight="1" x14ac:dyDescent="0.3">
      <c r="A146" s="4">
        <v>37</v>
      </c>
      <c r="B146" s="4" t="s">
        <v>99</v>
      </c>
      <c r="C146" s="2" t="s">
        <v>14</v>
      </c>
      <c r="D146" s="3" t="s">
        <v>71</v>
      </c>
      <c r="E146" s="7">
        <f>IF(AND(A146&gt;='01_PRESUPUESTO_CRONOGRAMA_BASE'!K2, A146&lt;='01_PRESUPUESTO_CRONOGRAMA_BASE'!L2), '01_PRESUPUESTO_CRONOGRAMA_BASE'!M2, 0) + IF(AND(A146&gt;='01_PRESUPUESTO_CRONOGRAMA_BASE'!K3, A146&lt;='01_PRESUPUESTO_CRONOGRAMA_BASE'!L3), '01_PRESUPUESTO_CRONOGRAMA_BASE'!M3, 0)</f>
        <v>0</v>
      </c>
      <c r="F146" s="19">
        <f>SUMIFS(E$2:E146, C$2:C146, C146)</f>
        <v>16336.459999999994</v>
      </c>
    </row>
    <row r="147" spans="1:6" ht="19.95" customHeight="1" x14ac:dyDescent="0.3">
      <c r="A147" s="4">
        <v>37</v>
      </c>
      <c r="B147" s="4" t="s">
        <v>99</v>
      </c>
      <c r="C147" s="2" t="s">
        <v>23</v>
      </c>
      <c r="D147" s="3" t="s">
        <v>72</v>
      </c>
      <c r="E147" s="7">
        <f>IF(AND(A147&gt;='01_PRESUPUESTO_CRONOGRAMA_BASE'!K4, A147&lt;='01_PRESUPUESTO_CRONOGRAMA_BASE'!L4), '01_PRESUPUESTO_CRONOGRAMA_BASE'!M4, 0) + IF(AND(A147&gt;='01_PRESUPUESTO_CRONOGRAMA_BASE'!K5, A147&lt;='01_PRESUPUESTO_CRONOGRAMA_BASE'!L5), '01_PRESUPUESTO_CRONOGRAMA_BASE'!M5, 0) + IF(AND(A147&gt;='01_PRESUPUESTO_CRONOGRAMA_BASE'!K6, A147&lt;='01_PRESUPUESTO_CRONOGRAMA_BASE'!L6), '01_PRESUPUESTO_CRONOGRAMA_BASE'!M6, 0) + IF(AND(A147&gt;='01_PRESUPUESTO_CRONOGRAMA_BASE'!K7, A147&lt;='01_PRESUPUESTO_CRONOGRAMA_BASE'!L7), '01_PRESUPUESTO_CRONOGRAMA_BASE'!M7, 0) + IF(AND(A147&gt;='01_PRESUPUESTO_CRONOGRAMA_BASE'!K8, A147&lt;='01_PRESUPUESTO_CRONOGRAMA_BASE'!L8), '01_PRESUPUESTO_CRONOGRAMA_BASE'!M8, 0) + IF(AND(A147&gt;='01_PRESUPUESTO_CRONOGRAMA_BASE'!K9, A147&lt;='01_PRESUPUESTO_CRONOGRAMA_BASE'!L9), '01_PRESUPUESTO_CRONOGRAMA_BASE'!M9, 0)</f>
        <v>7042.72</v>
      </c>
      <c r="F147" s="19">
        <f>SUMIFS(E$2:E147, C$2:C147, C147)</f>
        <v>337792.59999999992</v>
      </c>
    </row>
    <row r="148" spans="1:6" ht="19.95" customHeight="1" x14ac:dyDescent="0.3">
      <c r="A148" s="4">
        <v>37</v>
      </c>
      <c r="B148" s="4" t="s">
        <v>99</v>
      </c>
      <c r="C148" s="2" t="s">
        <v>49</v>
      </c>
      <c r="D148" s="3" t="s">
        <v>73</v>
      </c>
      <c r="E148" s="7">
        <f>IF(AND(A148&gt;='01_PRESUPUESTO_CRONOGRAMA_BASE'!K10, A148&lt;='01_PRESUPUESTO_CRONOGRAMA_BASE'!L10), '01_PRESUPUESTO_CRONOGRAMA_BASE'!M10, 0) + IF(AND(A148&gt;='01_PRESUPUESTO_CRONOGRAMA_BASE'!K11, A148&lt;='01_PRESUPUESTO_CRONOGRAMA_BASE'!L11), '01_PRESUPUESTO_CRONOGRAMA_BASE'!M11, 0)</f>
        <v>2702.08</v>
      </c>
      <c r="F148" s="19">
        <f>SUMIFS(E$2:E148, C$2:C148, C148)</f>
        <v>33830.680000000008</v>
      </c>
    </row>
    <row r="149" spans="1:6" ht="19.95" customHeight="1" x14ac:dyDescent="0.3">
      <c r="A149" s="4">
        <v>37</v>
      </c>
      <c r="B149" s="4" t="s">
        <v>99</v>
      </c>
      <c r="C149" s="2" t="s">
        <v>56</v>
      </c>
      <c r="D149" s="3" t="s">
        <v>74</v>
      </c>
      <c r="E149" s="7">
        <f>IF(AND(A149&gt;='01_PRESUPUESTO_CRONOGRAMA_BASE'!K12, A149&lt;='01_PRESUPUESTO_CRONOGRAMA_BASE'!L12), '01_PRESUPUESTO_CRONOGRAMA_BASE'!M12, 0)</f>
        <v>0</v>
      </c>
      <c r="F149" s="19">
        <f>SUMIFS(E$2:E149, C$2:C149, C149)</f>
        <v>0</v>
      </c>
    </row>
    <row r="150" spans="1:6" ht="19.95" customHeight="1" x14ac:dyDescent="0.3">
      <c r="A150" s="4">
        <v>38</v>
      </c>
      <c r="B150" s="4" t="s">
        <v>100</v>
      </c>
      <c r="C150" s="2" t="s">
        <v>14</v>
      </c>
      <c r="D150" s="3" t="s">
        <v>71</v>
      </c>
      <c r="E150" s="7">
        <f>IF(AND(A150&gt;='01_PRESUPUESTO_CRONOGRAMA_BASE'!K2, A150&lt;='01_PRESUPUESTO_CRONOGRAMA_BASE'!L2), '01_PRESUPUESTO_CRONOGRAMA_BASE'!M2, 0) + IF(AND(A150&gt;='01_PRESUPUESTO_CRONOGRAMA_BASE'!K3, A150&lt;='01_PRESUPUESTO_CRONOGRAMA_BASE'!L3), '01_PRESUPUESTO_CRONOGRAMA_BASE'!M3, 0)</f>
        <v>0</v>
      </c>
      <c r="F150" s="19">
        <f>SUMIFS(E$2:E150, C$2:C150, C150)</f>
        <v>16336.459999999994</v>
      </c>
    </row>
    <row r="151" spans="1:6" ht="19.95" customHeight="1" x14ac:dyDescent="0.3">
      <c r="A151" s="4">
        <v>38</v>
      </c>
      <c r="B151" s="4" t="s">
        <v>100</v>
      </c>
      <c r="C151" s="2" t="s">
        <v>23</v>
      </c>
      <c r="D151" s="3" t="s">
        <v>72</v>
      </c>
      <c r="E151" s="7">
        <f>IF(AND(A151&gt;='01_PRESUPUESTO_CRONOGRAMA_BASE'!K4, A151&lt;='01_PRESUPUESTO_CRONOGRAMA_BASE'!L4), '01_PRESUPUESTO_CRONOGRAMA_BASE'!M4, 0) + IF(AND(A151&gt;='01_PRESUPUESTO_CRONOGRAMA_BASE'!K5, A151&lt;='01_PRESUPUESTO_CRONOGRAMA_BASE'!L5), '01_PRESUPUESTO_CRONOGRAMA_BASE'!M5, 0) + IF(AND(A151&gt;='01_PRESUPUESTO_CRONOGRAMA_BASE'!K6, A151&lt;='01_PRESUPUESTO_CRONOGRAMA_BASE'!L6), '01_PRESUPUESTO_CRONOGRAMA_BASE'!M6, 0) + IF(AND(A151&gt;='01_PRESUPUESTO_CRONOGRAMA_BASE'!K7, A151&lt;='01_PRESUPUESTO_CRONOGRAMA_BASE'!L7), '01_PRESUPUESTO_CRONOGRAMA_BASE'!M7, 0) + IF(AND(A151&gt;='01_PRESUPUESTO_CRONOGRAMA_BASE'!K8, A151&lt;='01_PRESUPUESTO_CRONOGRAMA_BASE'!L8), '01_PRESUPUESTO_CRONOGRAMA_BASE'!M8, 0) + IF(AND(A151&gt;='01_PRESUPUESTO_CRONOGRAMA_BASE'!K9, A151&lt;='01_PRESUPUESTO_CRONOGRAMA_BASE'!L9), '01_PRESUPUESTO_CRONOGRAMA_BASE'!M9, 0)</f>
        <v>7042.72</v>
      </c>
      <c r="F151" s="19">
        <f>SUMIFS(E$2:E151, C$2:C151, C151)</f>
        <v>344835.31999999989</v>
      </c>
    </row>
    <row r="152" spans="1:6" ht="19.95" customHeight="1" x14ac:dyDescent="0.3">
      <c r="A152" s="4">
        <v>38</v>
      </c>
      <c r="B152" s="4" t="s">
        <v>100</v>
      </c>
      <c r="C152" s="2" t="s">
        <v>49</v>
      </c>
      <c r="D152" s="3" t="s">
        <v>73</v>
      </c>
      <c r="E152" s="7">
        <f>IF(AND(A152&gt;='01_PRESUPUESTO_CRONOGRAMA_BASE'!K10, A152&lt;='01_PRESUPUESTO_CRONOGRAMA_BASE'!L10), '01_PRESUPUESTO_CRONOGRAMA_BASE'!M10, 0) + IF(AND(A152&gt;='01_PRESUPUESTO_CRONOGRAMA_BASE'!K11, A152&lt;='01_PRESUPUESTO_CRONOGRAMA_BASE'!L11), '01_PRESUPUESTO_CRONOGRAMA_BASE'!M11, 0)</f>
        <v>2702.08</v>
      </c>
      <c r="F152" s="19">
        <f>SUMIFS(E$2:E152, C$2:C152, C152)</f>
        <v>36532.760000000009</v>
      </c>
    </row>
    <row r="153" spans="1:6" ht="19.95" customHeight="1" x14ac:dyDescent="0.3">
      <c r="A153" s="4">
        <v>38</v>
      </c>
      <c r="B153" s="4" t="s">
        <v>100</v>
      </c>
      <c r="C153" s="2" t="s">
        <v>56</v>
      </c>
      <c r="D153" s="3" t="s">
        <v>74</v>
      </c>
      <c r="E153" s="7">
        <f>IF(AND(A153&gt;='01_PRESUPUESTO_CRONOGRAMA_BASE'!K12, A153&lt;='01_PRESUPUESTO_CRONOGRAMA_BASE'!L12), '01_PRESUPUESTO_CRONOGRAMA_BASE'!M12, 0)</f>
        <v>0</v>
      </c>
      <c r="F153" s="19">
        <f>SUMIFS(E$2:E153, C$2:C153, C153)</f>
        <v>0</v>
      </c>
    </row>
    <row r="154" spans="1:6" ht="19.95" customHeight="1" x14ac:dyDescent="0.3">
      <c r="A154" s="4">
        <v>39</v>
      </c>
      <c r="B154" s="4" t="s">
        <v>101</v>
      </c>
      <c r="C154" s="2" t="s">
        <v>14</v>
      </c>
      <c r="D154" s="3" t="s">
        <v>71</v>
      </c>
      <c r="E154" s="7">
        <f>IF(AND(A154&gt;='01_PRESUPUESTO_CRONOGRAMA_BASE'!K2, A154&lt;='01_PRESUPUESTO_CRONOGRAMA_BASE'!L2), '01_PRESUPUESTO_CRONOGRAMA_BASE'!M2, 0) + IF(AND(A154&gt;='01_PRESUPUESTO_CRONOGRAMA_BASE'!K3, A154&lt;='01_PRESUPUESTO_CRONOGRAMA_BASE'!L3), '01_PRESUPUESTO_CRONOGRAMA_BASE'!M3, 0)</f>
        <v>0</v>
      </c>
      <c r="F154" s="19">
        <f>SUMIFS(E$2:E154, C$2:C154, C154)</f>
        <v>16336.459999999994</v>
      </c>
    </row>
    <row r="155" spans="1:6" ht="19.95" customHeight="1" x14ac:dyDescent="0.3">
      <c r="A155" s="4">
        <v>39</v>
      </c>
      <c r="B155" s="4" t="s">
        <v>101</v>
      </c>
      <c r="C155" s="2" t="s">
        <v>23</v>
      </c>
      <c r="D155" s="3" t="s">
        <v>72</v>
      </c>
      <c r="E155" s="7">
        <f>IF(AND(A155&gt;='01_PRESUPUESTO_CRONOGRAMA_BASE'!K4, A155&lt;='01_PRESUPUESTO_CRONOGRAMA_BASE'!L4), '01_PRESUPUESTO_CRONOGRAMA_BASE'!M4, 0) + IF(AND(A155&gt;='01_PRESUPUESTO_CRONOGRAMA_BASE'!K5, A155&lt;='01_PRESUPUESTO_CRONOGRAMA_BASE'!L5), '01_PRESUPUESTO_CRONOGRAMA_BASE'!M5, 0) + IF(AND(A155&gt;='01_PRESUPUESTO_CRONOGRAMA_BASE'!K6, A155&lt;='01_PRESUPUESTO_CRONOGRAMA_BASE'!L6), '01_PRESUPUESTO_CRONOGRAMA_BASE'!M6, 0) + IF(AND(A155&gt;='01_PRESUPUESTO_CRONOGRAMA_BASE'!K7, A155&lt;='01_PRESUPUESTO_CRONOGRAMA_BASE'!L7), '01_PRESUPUESTO_CRONOGRAMA_BASE'!M7, 0) + IF(AND(A155&gt;='01_PRESUPUESTO_CRONOGRAMA_BASE'!K8, A155&lt;='01_PRESUPUESTO_CRONOGRAMA_BASE'!L8), '01_PRESUPUESTO_CRONOGRAMA_BASE'!M8, 0) + IF(AND(A155&gt;='01_PRESUPUESTO_CRONOGRAMA_BASE'!K9, A155&lt;='01_PRESUPUESTO_CRONOGRAMA_BASE'!L9), '01_PRESUPUESTO_CRONOGRAMA_BASE'!M9, 0)</f>
        <v>7042.72</v>
      </c>
      <c r="F155" s="19">
        <f>SUMIFS(E$2:E155, C$2:C155, C155)</f>
        <v>351878.03999999986</v>
      </c>
    </row>
    <row r="156" spans="1:6" ht="19.95" customHeight="1" x14ac:dyDescent="0.3">
      <c r="A156" s="4">
        <v>39</v>
      </c>
      <c r="B156" s="4" t="s">
        <v>101</v>
      </c>
      <c r="C156" s="2" t="s">
        <v>49</v>
      </c>
      <c r="D156" s="3" t="s">
        <v>73</v>
      </c>
      <c r="E156" s="7">
        <f>IF(AND(A156&gt;='01_PRESUPUESTO_CRONOGRAMA_BASE'!K10, A156&lt;='01_PRESUPUESTO_CRONOGRAMA_BASE'!L10), '01_PRESUPUESTO_CRONOGRAMA_BASE'!M10, 0) + IF(AND(A156&gt;='01_PRESUPUESTO_CRONOGRAMA_BASE'!K11, A156&lt;='01_PRESUPUESTO_CRONOGRAMA_BASE'!L11), '01_PRESUPUESTO_CRONOGRAMA_BASE'!M11, 0)</f>
        <v>2702.08</v>
      </c>
      <c r="F156" s="19">
        <f>SUMIFS(E$2:E156, C$2:C156, C156)</f>
        <v>39234.840000000011</v>
      </c>
    </row>
    <row r="157" spans="1:6" ht="19.95" customHeight="1" x14ac:dyDescent="0.3">
      <c r="A157" s="4">
        <v>39</v>
      </c>
      <c r="B157" s="4" t="s">
        <v>101</v>
      </c>
      <c r="C157" s="2" t="s">
        <v>56</v>
      </c>
      <c r="D157" s="3" t="s">
        <v>74</v>
      </c>
      <c r="E157" s="7">
        <f>IF(AND(A157&gt;='01_PRESUPUESTO_CRONOGRAMA_BASE'!K12, A157&lt;='01_PRESUPUESTO_CRONOGRAMA_BASE'!L12), '01_PRESUPUESTO_CRONOGRAMA_BASE'!M12, 0)</f>
        <v>0</v>
      </c>
      <c r="F157" s="19">
        <f>SUMIFS(E$2:E157, C$2:C157, C157)</f>
        <v>0</v>
      </c>
    </row>
    <row r="158" spans="1:6" ht="19.95" customHeight="1" x14ac:dyDescent="0.3">
      <c r="A158" s="4">
        <v>40</v>
      </c>
      <c r="B158" s="4" t="s">
        <v>102</v>
      </c>
      <c r="C158" s="2" t="s">
        <v>14</v>
      </c>
      <c r="D158" s="3" t="s">
        <v>71</v>
      </c>
      <c r="E158" s="7">
        <f>IF(AND(A158&gt;='01_PRESUPUESTO_CRONOGRAMA_BASE'!K2, A158&lt;='01_PRESUPUESTO_CRONOGRAMA_BASE'!L2), '01_PRESUPUESTO_CRONOGRAMA_BASE'!M2, 0) + IF(AND(A158&gt;='01_PRESUPUESTO_CRONOGRAMA_BASE'!K3, A158&lt;='01_PRESUPUESTO_CRONOGRAMA_BASE'!L3), '01_PRESUPUESTO_CRONOGRAMA_BASE'!M3, 0)</f>
        <v>0</v>
      </c>
      <c r="F158" s="19">
        <f>SUMIFS(E$2:E158, C$2:C158, C158)</f>
        <v>16336.459999999994</v>
      </c>
    </row>
    <row r="159" spans="1:6" ht="19.95" customHeight="1" x14ac:dyDescent="0.3">
      <c r="A159" s="4">
        <v>40</v>
      </c>
      <c r="B159" s="4" t="s">
        <v>102</v>
      </c>
      <c r="C159" s="2" t="s">
        <v>23</v>
      </c>
      <c r="D159" s="3" t="s">
        <v>72</v>
      </c>
      <c r="E159" s="7">
        <f>IF(AND(A159&gt;='01_PRESUPUESTO_CRONOGRAMA_BASE'!K4, A159&lt;='01_PRESUPUESTO_CRONOGRAMA_BASE'!L4), '01_PRESUPUESTO_CRONOGRAMA_BASE'!M4, 0) + IF(AND(A159&gt;='01_PRESUPUESTO_CRONOGRAMA_BASE'!K5, A159&lt;='01_PRESUPUESTO_CRONOGRAMA_BASE'!L5), '01_PRESUPUESTO_CRONOGRAMA_BASE'!M5, 0) + IF(AND(A159&gt;='01_PRESUPUESTO_CRONOGRAMA_BASE'!K6, A159&lt;='01_PRESUPUESTO_CRONOGRAMA_BASE'!L6), '01_PRESUPUESTO_CRONOGRAMA_BASE'!M6, 0) + IF(AND(A159&gt;='01_PRESUPUESTO_CRONOGRAMA_BASE'!K7, A159&lt;='01_PRESUPUESTO_CRONOGRAMA_BASE'!L7), '01_PRESUPUESTO_CRONOGRAMA_BASE'!M7, 0) + IF(AND(A159&gt;='01_PRESUPUESTO_CRONOGRAMA_BASE'!K8, A159&lt;='01_PRESUPUESTO_CRONOGRAMA_BASE'!L8), '01_PRESUPUESTO_CRONOGRAMA_BASE'!M8, 0) + IF(AND(A159&gt;='01_PRESUPUESTO_CRONOGRAMA_BASE'!K9, A159&lt;='01_PRESUPUESTO_CRONOGRAMA_BASE'!L9), '01_PRESUPUESTO_CRONOGRAMA_BASE'!M9, 0)</f>
        <v>7042.72</v>
      </c>
      <c r="F159" s="19">
        <f>SUMIFS(E$2:E159, C$2:C159, C159)</f>
        <v>358920.75999999983</v>
      </c>
    </row>
    <row r="160" spans="1:6" ht="19.95" customHeight="1" x14ac:dyDescent="0.3">
      <c r="A160" s="4">
        <v>40</v>
      </c>
      <c r="B160" s="4" t="s">
        <v>102</v>
      </c>
      <c r="C160" s="2" t="s">
        <v>49</v>
      </c>
      <c r="D160" s="3" t="s">
        <v>73</v>
      </c>
      <c r="E160" s="7">
        <f>IF(AND(A160&gt;='01_PRESUPUESTO_CRONOGRAMA_BASE'!K10, A160&lt;='01_PRESUPUESTO_CRONOGRAMA_BASE'!L10), '01_PRESUPUESTO_CRONOGRAMA_BASE'!M10, 0) + IF(AND(A160&gt;='01_PRESUPUESTO_CRONOGRAMA_BASE'!K11, A160&lt;='01_PRESUPUESTO_CRONOGRAMA_BASE'!L11), '01_PRESUPUESTO_CRONOGRAMA_BASE'!M11, 0)</f>
        <v>2702.08</v>
      </c>
      <c r="F160" s="19">
        <f>SUMIFS(E$2:E160, C$2:C160, C160)</f>
        <v>41936.920000000013</v>
      </c>
    </row>
    <row r="161" spans="1:6" ht="19.95" customHeight="1" x14ac:dyDescent="0.3">
      <c r="A161" s="4">
        <v>40</v>
      </c>
      <c r="B161" s="4" t="s">
        <v>102</v>
      </c>
      <c r="C161" s="2" t="s">
        <v>56</v>
      </c>
      <c r="D161" s="3" t="s">
        <v>74</v>
      </c>
      <c r="E161" s="7">
        <f>IF(AND(A161&gt;='01_PRESUPUESTO_CRONOGRAMA_BASE'!K12, A161&lt;='01_PRESUPUESTO_CRONOGRAMA_BASE'!L12), '01_PRESUPUESTO_CRONOGRAMA_BASE'!M12, 0)</f>
        <v>0</v>
      </c>
      <c r="F161" s="19">
        <f>SUMIFS(E$2:E161, C$2:C161, C161)</f>
        <v>0</v>
      </c>
    </row>
    <row r="162" spans="1:6" ht="19.95" customHeight="1" x14ac:dyDescent="0.3">
      <c r="A162" s="4">
        <v>41</v>
      </c>
      <c r="B162" s="4" t="s">
        <v>44</v>
      </c>
      <c r="C162" s="2" t="s">
        <v>14</v>
      </c>
      <c r="D162" s="3" t="s">
        <v>71</v>
      </c>
      <c r="E162" s="7">
        <f>IF(AND(A162&gt;='01_PRESUPUESTO_CRONOGRAMA_BASE'!K2, A162&lt;='01_PRESUPUESTO_CRONOGRAMA_BASE'!L2), '01_PRESUPUESTO_CRONOGRAMA_BASE'!M2, 0) + IF(AND(A162&gt;='01_PRESUPUESTO_CRONOGRAMA_BASE'!K3, A162&lt;='01_PRESUPUESTO_CRONOGRAMA_BASE'!L3), '01_PRESUPUESTO_CRONOGRAMA_BASE'!M3, 0)</f>
        <v>0</v>
      </c>
      <c r="F162" s="19">
        <f>SUMIFS(E$2:E162, C$2:C162, C162)</f>
        <v>16336.459999999994</v>
      </c>
    </row>
    <row r="163" spans="1:6" ht="19.95" customHeight="1" x14ac:dyDescent="0.3">
      <c r="A163" s="4">
        <v>41</v>
      </c>
      <c r="B163" s="4" t="s">
        <v>44</v>
      </c>
      <c r="C163" s="2" t="s">
        <v>23</v>
      </c>
      <c r="D163" s="3" t="s">
        <v>72</v>
      </c>
      <c r="E163" s="7">
        <f>IF(AND(A163&gt;='01_PRESUPUESTO_CRONOGRAMA_BASE'!K4, A163&lt;='01_PRESUPUESTO_CRONOGRAMA_BASE'!L4), '01_PRESUPUESTO_CRONOGRAMA_BASE'!M4, 0) + IF(AND(A163&gt;='01_PRESUPUESTO_CRONOGRAMA_BASE'!K5, A163&lt;='01_PRESUPUESTO_CRONOGRAMA_BASE'!L5), '01_PRESUPUESTO_CRONOGRAMA_BASE'!M5, 0) + IF(AND(A163&gt;='01_PRESUPUESTO_CRONOGRAMA_BASE'!K6, A163&lt;='01_PRESUPUESTO_CRONOGRAMA_BASE'!L6), '01_PRESUPUESTO_CRONOGRAMA_BASE'!M6, 0) + IF(AND(A163&gt;='01_PRESUPUESTO_CRONOGRAMA_BASE'!K7, A163&lt;='01_PRESUPUESTO_CRONOGRAMA_BASE'!L7), '01_PRESUPUESTO_CRONOGRAMA_BASE'!M7, 0) + IF(AND(A163&gt;='01_PRESUPUESTO_CRONOGRAMA_BASE'!K8, A163&lt;='01_PRESUPUESTO_CRONOGRAMA_BASE'!L8), '01_PRESUPUESTO_CRONOGRAMA_BASE'!M8, 0) + IF(AND(A163&gt;='01_PRESUPUESTO_CRONOGRAMA_BASE'!K9, A163&lt;='01_PRESUPUESTO_CRONOGRAMA_BASE'!L9), '01_PRESUPUESTO_CRONOGRAMA_BASE'!M9, 0)</f>
        <v>7042.72</v>
      </c>
      <c r="F163" s="19">
        <f>SUMIFS(E$2:E163, C$2:C163, C163)</f>
        <v>365963.47999999981</v>
      </c>
    </row>
    <row r="164" spans="1:6" ht="19.95" customHeight="1" x14ac:dyDescent="0.3">
      <c r="A164" s="4">
        <v>41</v>
      </c>
      <c r="B164" s="4" t="s">
        <v>44</v>
      </c>
      <c r="C164" s="2" t="s">
        <v>49</v>
      </c>
      <c r="D164" s="3" t="s">
        <v>73</v>
      </c>
      <c r="E164" s="7">
        <f>IF(AND(A164&gt;='01_PRESUPUESTO_CRONOGRAMA_BASE'!K10, A164&lt;='01_PRESUPUESTO_CRONOGRAMA_BASE'!L10), '01_PRESUPUESTO_CRONOGRAMA_BASE'!M10, 0) + IF(AND(A164&gt;='01_PRESUPUESTO_CRONOGRAMA_BASE'!K11, A164&lt;='01_PRESUPUESTO_CRONOGRAMA_BASE'!L11), '01_PRESUPUESTO_CRONOGRAMA_BASE'!M11, 0)</f>
        <v>2702.08</v>
      </c>
      <c r="F164" s="19">
        <f>SUMIFS(E$2:E164, C$2:C164, C164)</f>
        <v>44639.000000000015</v>
      </c>
    </row>
    <row r="165" spans="1:6" ht="19.95" customHeight="1" x14ac:dyDescent="0.3">
      <c r="A165" s="4">
        <v>41</v>
      </c>
      <c r="B165" s="4" t="s">
        <v>44</v>
      </c>
      <c r="C165" s="2" t="s">
        <v>56</v>
      </c>
      <c r="D165" s="3" t="s">
        <v>74</v>
      </c>
      <c r="E165" s="7">
        <f>IF(AND(A165&gt;='01_PRESUPUESTO_CRONOGRAMA_BASE'!K12, A165&lt;='01_PRESUPUESTO_CRONOGRAMA_BASE'!L12), '01_PRESUPUESTO_CRONOGRAMA_BASE'!M12, 0)</f>
        <v>0</v>
      </c>
      <c r="F165" s="19">
        <f>SUMIFS(E$2:E165, C$2:C165, C165)</f>
        <v>0</v>
      </c>
    </row>
    <row r="166" spans="1:6" ht="19.95" customHeight="1" x14ac:dyDescent="0.3">
      <c r="A166" s="4">
        <v>42</v>
      </c>
      <c r="B166" s="4" t="s">
        <v>103</v>
      </c>
      <c r="C166" s="2" t="s">
        <v>14</v>
      </c>
      <c r="D166" s="3" t="s">
        <v>71</v>
      </c>
      <c r="E166" s="7">
        <f>IF(AND(A166&gt;='01_PRESUPUESTO_CRONOGRAMA_BASE'!K2, A166&lt;='01_PRESUPUESTO_CRONOGRAMA_BASE'!L2), '01_PRESUPUESTO_CRONOGRAMA_BASE'!M2, 0) + IF(AND(A166&gt;='01_PRESUPUESTO_CRONOGRAMA_BASE'!K3, A166&lt;='01_PRESUPUESTO_CRONOGRAMA_BASE'!L3), '01_PRESUPUESTO_CRONOGRAMA_BASE'!M3, 0)</f>
        <v>0</v>
      </c>
      <c r="F166" s="19">
        <f>SUMIFS(E$2:E166, C$2:C166, C166)</f>
        <v>16336.459999999994</v>
      </c>
    </row>
    <row r="167" spans="1:6" ht="19.95" customHeight="1" x14ac:dyDescent="0.3">
      <c r="A167" s="4">
        <v>42</v>
      </c>
      <c r="B167" s="4" t="s">
        <v>103</v>
      </c>
      <c r="C167" s="2" t="s">
        <v>23</v>
      </c>
      <c r="D167" s="3" t="s">
        <v>72</v>
      </c>
      <c r="E167" s="7">
        <f>IF(AND(A167&gt;='01_PRESUPUESTO_CRONOGRAMA_BASE'!K4, A167&lt;='01_PRESUPUESTO_CRONOGRAMA_BASE'!L4), '01_PRESUPUESTO_CRONOGRAMA_BASE'!M4, 0) + IF(AND(A167&gt;='01_PRESUPUESTO_CRONOGRAMA_BASE'!K5, A167&lt;='01_PRESUPUESTO_CRONOGRAMA_BASE'!L5), '01_PRESUPUESTO_CRONOGRAMA_BASE'!M5, 0) + IF(AND(A167&gt;='01_PRESUPUESTO_CRONOGRAMA_BASE'!K6, A167&lt;='01_PRESUPUESTO_CRONOGRAMA_BASE'!L6), '01_PRESUPUESTO_CRONOGRAMA_BASE'!M6, 0) + IF(AND(A167&gt;='01_PRESUPUESTO_CRONOGRAMA_BASE'!K7, A167&lt;='01_PRESUPUESTO_CRONOGRAMA_BASE'!L7), '01_PRESUPUESTO_CRONOGRAMA_BASE'!M7, 0) + IF(AND(A167&gt;='01_PRESUPUESTO_CRONOGRAMA_BASE'!K8, A167&lt;='01_PRESUPUESTO_CRONOGRAMA_BASE'!L8), '01_PRESUPUESTO_CRONOGRAMA_BASE'!M8, 0) + IF(AND(A167&gt;='01_PRESUPUESTO_CRONOGRAMA_BASE'!K9, A167&lt;='01_PRESUPUESTO_CRONOGRAMA_BASE'!L9), '01_PRESUPUESTO_CRONOGRAMA_BASE'!M9, 0)</f>
        <v>3041.55</v>
      </c>
      <c r="F167" s="19">
        <f>SUMIFS(E$2:E167, C$2:C167, C167)</f>
        <v>369005.0299999998</v>
      </c>
    </row>
    <row r="168" spans="1:6" ht="19.95" customHeight="1" x14ac:dyDescent="0.3">
      <c r="A168" s="4">
        <v>42</v>
      </c>
      <c r="B168" s="4" t="s">
        <v>103</v>
      </c>
      <c r="C168" s="2" t="s">
        <v>49</v>
      </c>
      <c r="D168" s="3" t="s">
        <v>73</v>
      </c>
      <c r="E168" s="7">
        <f>IF(AND(A168&gt;='01_PRESUPUESTO_CRONOGRAMA_BASE'!K10, A168&lt;='01_PRESUPUESTO_CRONOGRAMA_BASE'!L10), '01_PRESUPUESTO_CRONOGRAMA_BASE'!M10, 0) + IF(AND(A168&gt;='01_PRESUPUESTO_CRONOGRAMA_BASE'!K11, A168&lt;='01_PRESUPUESTO_CRONOGRAMA_BASE'!L11), '01_PRESUPUESTO_CRONOGRAMA_BASE'!M11, 0)</f>
        <v>2702.08</v>
      </c>
      <c r="F168" s="19">
        <f>SUMIFS(E$2:E168, C$2:C168, C168)</f>
        <v>47341.080000000016</v>
      </c>
    </row>
    <row r="169" spans="1:6" ht="19.95" customHeight="1" x14ac:dyDescent="0.3">
      <c r="A169" s="4">
        <v>42</v>
      </c>
      <c r="B169" s="4" t="s">
        <v>103</v>
      </c>
      <c r="C169" s="2" t="s">
        <v>56</v>
      </c>
      <c r="D169" s="3" t="s">
        <v>74</v>
      </c>
      <c r="E169" s="7">
        <f>IF(AND(A169&gt;='01_PRESUPUESTO_CRONOGRAMA_BASE'!K12, A169&lt;='01_PRESUPUESTO_CRONOGRAMA_BASE'!L12), '01_PRESUPUESTO_CRONOGRAMA_BASE'!M12, 0)</f>
        <v>0</v>
      </c>
      <c r="F169" s="19">
        <f>SUMIFS(E$2:E169, C$2:C169, C169)</f>
        <v>0</v>
      </c>
    </row>
    <row r="170" spans="1:6" ht="19.95" customHeight="1" x14ac:dyDescent="0.3">
      <c r="A170" s="4">
        <v>43</v>
      </c>
      <c r="B170" s="4" t="s">
        <v>47</v>
      </c>
      <c r="C170" s="2" t="s">
        <v>14</v>
      </c>
      <c r="D170" s="3" t="s">
        <v>71</v>
      </c>
      <c r="E170" s="7">
        <f>IF(AND(A170&gt;='01_PRESUPUESTO_CRONOGRAMA_BASE'!K2, A170&lt;='01_PRESUPUESTO_CRONOGRAMA_BASE'!L2), '01_PRESUPUESTO_CRONOGRAMA_BASE'!M2, 0) + IF(AND(A170&gt;='01_PRESUPUESTO_CRONOGRAMA_BASE'!K3, A170&lt;='01_PRESUPUESTO_CRONOGRAMA_BASE'!L3), '01_PRESUPUESTO_CRONOGRAMA_BASE'!M3, 0)</f>
        <v>0</v>
      </c>
      <c r="F170" s="19">
        <f>SUMIFS(E$2:E170, C$2:C170, C170)</f>
        <v>16336.459999999994</v>
      </c>
    </row>
    <row r="171" spans="1:6" ht="19.95" customHeight="1" x14ac:dyDescent="0.3">
      <c r="A171" s="4">
        <v>43</v>
      </c>
      <c r="B171" s="4" t="s">
        <v>47</v>
      </c>
      <c r="C171" s="2" t="s">
        <v>23</v>
      </c>
      <c r="D171" s="3" t="s">
        <v>72</v>
      </c>
      <c r="E171" s="7">
        <f>IF(AND(A171&gt;='01_PRESUPUESTO_CRONOGRAMA_BASE'!K4, A171&lt;='01_PRESUPUESTO_CRONOGRAMA_BASE'!L4), '01_PRESUPUESTO_CRONOGRAMA_BASE'!M4, 0) + IF(AND(A171&gt;='01_PRESUPUESTO_CRONOGRAMA_BASE'!K5, A171&lt;='01_PRESUPUESTO_CRONOGRAMA_BASE'!L5), '01_PRESUPUESTO_CRONOGRAMA_BASE'!M5, 0) + IF(AND(A171&gt;='01_PRESUPUESTO_CRONOGRAMA_BASE'!K6, A171&lt;='01_PRESUPUESTO_CRONOGRAMA_BASE'!L6), '01_PRESUPUESTO_CRONOGRAMA_BASE'!M6, 0) + IF(AND(A171&gt;='01_PRESUPUESTO_CRONOGRAMA_BASE'!K7, A171&lt;='01_PRESUPUESTO_CRONOGRAMA_BASE'!L7), '01_PRESUPUESTO_CRONOGRAMA_BASE'!M7, 0) + IF(AND(A171&gt;='01_PRESUPUESTO_CRONOGRAMA_BASE'!K8, A171&lt;='01_PRESUPUESTO_CRONOGRAMA_BASE'!L8), '01_PRESUPUESTO_CRONOGRAMA_BASE'!M8, 0) + IF(AND(A171&gt;='01_PRESUPUESTO_CRONOGRAMA_BASE'!K9, A171&lt;='01_PRESUPUESTO_CRONOGRAMA_BASE'!L9), '01_PRESUPUESTO_CRONOGRAMA_BASE'!M9, 0)</f>
        <v>3041.55</v>
      </c>
      <c r="F171" s="19">
        <f>SUMIFS(E$2:E171, C$2:C171, C171)</f>
        <v>372046.57999999978</v>
      </c>
    </row>
    <row r="172" spans="1:6" ht="19.95" customHeight="1" x14ac:dyDescent="0.3">
      <c r="A172" s="4">
        <v>43</v>
      </c>
      <c r="B172" s="4" t="s">
        <v>47</v>
      </c>
      <c r="C172" s="2" t="s">
        <v>49</v>
      </c>
      <c r="D172" s="3" t="s">
        <v>73</v>
      </c>
      <c r="E172" s="7">
        <f>IF(AND(A172&gt;='01_PRESUPUESTO_CRONOGRAMA_BASE'!K10, A172&lt;='01_PRESUPUESTO_CRONOGRAMA_BASE'!L10), '01_PRESUPUESTO_CRONOGRAMA_BASE'!M10, 0) + IF(AND(A172&gt;='01_PRESUPUESTO_CRONOGRAMA_BASE'!K11, A172&lt;='01_PRESUPUESTO_CRONOGRAMA_BASE'!L11), '01_PRESUPUESTO_CRONOGRAMA_BASE'!M11, 0)</f>
        <v>2702.08</v>
      </c>
      <c r="F172" s="19">
        <f>SUMIFS(E$2:E172, C$2:C172, C172)</f>
        <v>50043.160000000018</v>
      </c>
    </row>
    <row r="173" spans="1:6" ht="19.95" customHeight="1" x14ac:dyDescent="0.3">
      <c r="A173" s="4">
        <v>43</v>
      </c>
      <c r="B173" s="4" t="s">
        <v>47</v>
      </c>
      <c r="C173" s="2" t="s">
        <v>56</v>
      </c>
      <c r="D173" s="3" t="s">
        <v>74</v>
      </c>
      <c r="E173" s="7">
        <f>IF(AND(A173&gt;='01_PRESUPUESTO_CRONOGRAMA_BASE'!K12, A173&lt;='01_PRESUPUESTO_CRONOGRAMA_BASE'!L12), '01_PRESUPUESTO_CRONOGRAMA_BASE'!M12, 0)</f>
        <v>0</v>
      </c>
      <c r="F173" s="19">
        <f>SUMIFS(E$2:E173, C$2:C173, C173)</f>
        <v>0</v>
      </c>
    </row>
    <row r="174" spans="1:6" ht="19.95" customHeight="1" x14ac:dyDescent="0.3">
      <c r="A174" s="4">
        <v>44</v>
      </c>
      <c r="B174" s="4" t="s">
        <v>104</v>
      </c>
      <c r="C174" s="2" t="s">
        <v>14</v>
      </c>
      <c r="D174" s="3" t="s">
        <v>71</v>
      </c>
      <c r="E174" s="7">
        <f>IF(AND(A174&gt;='01_PRESUPUESTO_CRONOGRAMA_BASE'!K2, A174&lt;='01_PRESUPUESTO_CRONOGRAMA_BASE'!L2), '01_PRESUPUESTO_CRONOGRAMA_BASE'!M2, 0) + IF(AND(A174&gt;='01_PRESUPUESTO_CRONOGRAMA_BASE'!K3, A174&lt;='01_PRESUPUESTO_CRONOGRAMA_BASE'!L3), '01_PRESUPUESTO_CRONOGRAMA_BASE'!M3, 0)</f>
        <v>0</v>
      </c>
      <c r="F174" s="19">
        <f>SUMIFS(E$2:E174, C$2:C174, C174)</f>
        <v>16336.459999999994</v>
      </c>
    </row>
    <row r="175" spans="1:6" ht="19.95" customHeight="1" x14ac:dyDescent="0.3">
      <c r="A175" s="4">
        <v>44</v>
      </c>
      <c r="B175" s="4" t="s">
        <v>104</v>
      </c>
      <c r="C175" s="2" t="s">
        <v>23</v>
      </c>
      <c r="D175" s="3" t="s">
        <v>72</v>
      </c>
      <c r="E175" s="7">
        <f>IF(AND(A175&gt;='01_PRESUPUESTO_CRONOGRAMA_BASE'!K4, A175&lt;='01_PRESUPUESTO_CRONOGRAMA_BASE'!L4), '01_PRESUPUESTO_CRONOGRAMA_BASE'!M4, 0) + IF(AND(A175&gt;='01_PRESUPUESTO_CRONOGRAMA_BASE'!K5, A175&lt;='01_PRESUPUESTO_CRONOGRAMA_BASE'!L5), '01_PRESUPUESTO_CRONOGRAMA_BASE'!M5, 0) + IF(AND(A175&gt;='01_PRESUPUESTO_CRONOGRAMA_BASE'!K6, A175&lt;='01_PRESUPUESTO_CRONOGRAMA_BASE'!L6), '01_PRESUPUESTO_CRONOGRAMA_BASE'!M6, 0) + IF(AND(A175&gt;='01_PRESUPUESTO_CRONOGRAMA_BASE'!K7, A175&lt;='01_PRESUPUESTO_CRONOGRAMA_BASE'!L7), '01_PRESUPUESTO_CRONOGRAMA_BASE'!M7, 0) + IF(AND(A175&gt;='01_PRESUPUESTO_CRONOGRAMA_BASE'!K8, A175&lt;='01_PRESUPUESTO_CRONOGRAMA_BASE'!L8), '01_PRESUPUESTO_CRONOGRAMA_BASE'!M8, 0) + IF(AND(A175&gt;='01_PRESUPUESTO_CRONOGRAMA_BASE'!K9, A175&lt;='01_PRESUPUESTO_CRONOGRAMA_BASE'!L9), '01_PRESUPUESTO_CRONOGRAMA_BASE'!M9, 0)</f>
        <v>0</v>
      </c>
      <c r="F175" s="19">
        <f>SUMIFS(E$2:E175, C$2:C175, C175)</f>
        <v>372046.57999999978</v>
      </c>
    </row>
    <row r="176" spans="1:6" ht="19.95" customHeight="1" x14ac:dyDescent="0.3">
      <c r="A176" s="4">
        <v>44</v>
      </c>
      <c r="B176" s="4" t="s">
        <v>104</v>
      </c>
      <c r="C176" s="2" t="s">
        <v>49</v>
      </c>
      <c r="D176" s="3" t="s">
        <v>73</v>
      </c>
      <c r="E176" s="7">
        <f>IF(AND(A176&gt;='01_PRESUPUESTO_CRONOGRAMA_BASE'!K10, A176&lt;='01_PRESUPUESTO_CRONOGRAMA_BASE'!L10), '01_PRESUPUESTO_CRONOGRAMA_BASE'!M10, 0) + IF(AND(A176&gt;='01_PRESUPUESTO_CRONOGRAMA_BASE'!K11, A176&lt;='01_PRESUPUESTO_CRONOGRAMA_BASE'!L11), '01_PRESUPUESTO_CRONOGRAMA_BASE'!M11, 0)</f>
        <v>940.26</v>
      </c>
      <c r="F176" s="19">
        <f>SUMIFS(E$2:E176, C$2:C176, C176)</f>
        <v>50983.42000000002</v>
      </c>
    </row>
    <row r="177" spans="1:6" ht="19.95" customHeight="1" x14ac:dyDescent="0.3">
      <c r="A177" s="4">
        <v>44</v>
      </c>
      <c r="B177" s="4" t="s">
        <v>104</v>
      </c>
      <c r="C177" s="2" t="s">
        <v>56</v>
      </c>
      <c r="D177" s="3" t="s">
        <v>74</v>
      </c>
      <c r="E177" s="7">
        <f>IF(AND(A177&gt;='01_PRESUPUESTO_CRONOGRAMA_BASE'!K12, A177&lt;='01_PRESUPUESTO_CRONOGRAMA_BASE'!L12), '01_PRESUPUESTO_CRONOGRAMA_BASE'!M12, 0)</f>
        <v>0</v>
      </c>
      <c r="F177" s="19">
        <f>SUMIFS(E$2:E177, C$2:C177, C177)</f>
        <v>0</v>
      </c>
    </row>
    <row r="178" spans="1:6" ht="19.95" customHeight="1" x14ac:dyDescent="0.3">
      <c r="A178" s="4">
        <v>45</v>
      </c>
      <c r="B178" s="4" t="s">
        <v>105</v>
      </c>
      <c r="C178" s="2" t="s">
        <v>14</v>
      </c>
      <c r="D178" s="3" t="s">
        <v>71</v>
      </c>
      <c r="E178" s="7">
        <f>IF(AND(A178&gt;='01_PRESUPUESTO_CRONOGRAMA_BASE'!K2, A178&lt;='01_PRESUPUESTO_CRONOGRAMA_BASE'!L2), '01_PRESUPUESTO_CRONOGRAMA_BASE'!M2, 0) + IF(AND(A178&gt;='01_PRESUPUESTO_CRONOGRAMA_BASE'!K3, A178&lt;='01_PRESUPUESTO_CRONOGRAMA_BASE'!L3), '01_PRESUPUESTO_CRONOGRAMA_BASE'!M3, 0)</f>
        <v>0</v>
      </c>
      <c r="F178" s="19">
        <f>SUMIFS(E$2:E178, C$2:C178, C178)</f>
        <v>16336.459999999994</v>
      </c>
    </row>
    <row r="179" spans="1:6" ht="19.95" customHeight="1" x14ac:dyDescent="0.3">
      <c r="A179" s="4">
        <v>45</v>
      </c>
      <c r="B179" s="4" t="s">
        <v>105</v>
      </c>
      <c r="C179" s="2" t="s">
        <v>23</v>
      </c>
      <c r="D179" s="3" t="s">
        <v>72</v>
      </c>
      <c r="E179" s="7">
        <f>IF(AND(A179&gt;='01_PRESUPUESTO_CRONOGRAMA_BASE'!K4, A179&lt;='01_PRESUPUESTO_CRONOGRAMA_BASE'!L4), '01_PRESUPUESTO_CRONOGRAMA_BASE'!M4, 0) + IF(AND(A179&gt;='01_PRESUPUESTO_CRONOGRAMA_BASE'!K5, A179&lt;='01_PRESUPUESTO_CRONOGRAMA_BASE'!L5), '01_PRESUPUESTO_CRONOGRAMA_BASE'!M5, 0) + IF(AND(A179&gt;='01_PRESUPUESTO_CRONOGRAMA_BASE'!K6, A179&lt;='01_PRESUPUESTO_CRONOGRAMA_BASE'!L6), '01_PRESUPUESTO_CRONOGRAMA_BASE'!M6, 0) + IF(AND(A179&gt;='01_PRESUPUESTO_CRONOGRAMA_BASE'!K7, A179&lt;='01_PRESUPUESTO_CRONOGRAMA_BASE'!L7), '01_PRESUPUESTO_CRONOGRAMA_BASE'!M7, 0) + IF(AND(A179&gt;='01_PRESUPUESTO_CRONOGRAMA_BASE'!K8, A179&lt;='01_PRESUPUESTO_CRONOGRAMA_BASE'!L8), '01_PRESUPUESTO_CRONOGRAMA_BASE'!M8, 0) + IF(AND(A179&gt;='01_PRESUPUESTO_CRONOGRAMA_BASE'!K9, A179&lt;='01_PRESUPUESTO_CRONOGRAMA_BASE'!L9), '01_PRESUPUESTO_CRONOGRAMA_BASE'!M9, 0)</f>
        <v>0</v>
      </c>
      <c r="F179" s="19">
        <f>SUMIFS(E$2:E179, C$2:C179, C179)</f>
        <v>372046.57999999978</v>
      </c>
    </row>
    <row r="180" spans="1:6" ht="19.95" customHeight="1" x14ac:dyDescent="0.3">
      <c r="A180" s="4">
        <v>45</v>
      </c>
      <c r="B180" s="4" t="s">
        <v>105</v>
      </c>
      <c r="C180" s="2" t="s">
        <v>49</v>
      </c>
      <c r="D180" s="3" t="s">
        <v>73</v>
      </c>
      <c r="E180" s="7">
        <f>IF(AND(A180&gt;='01_PRESUPUESTO_CRONOGRAMA_BASE'!K10, A180&lt;='01_PRESUPUESTO_CRONOGRAMA_BASE'!L10), '01_PRESUPUESTO_CRONOGRAMA_BASE'!M10, 0) + IF(AND(A180&gt;='01_PRESUPUESTO_CRONOGRAMA_BASE'!K11, A180&lt;='01_PRESUPUESTO_CRONOGRAMA_BASE'!L11), '01_PRESUPUESTO_CRONOGRAMA_BASE'!M11, 0)</f>
        <v>940.26</v>
      </c>
      <c r="F180" s="19">
        <f>SUMIFS(E$2:E180, C$2:C180, C180)</f>
        <v>51923.680000000022</v>
      </c>
    </row>
    <row r="181" spans="1:6" ht="19.95" customHeight="1" x14ac:dyDescent="0.3">
      <c r="A181" s="4">
        <v>45</v>
      </c>
      <c r="B181" s="4" t="s">
        <v>105</v>
      </c>
      <c r="C181" s="2" t="s">
        <v>56</v>
      </c>
      <c r="D181" s="3" t="s">
        <v>74</v>
      </c>
      <c r="E181" s="7">
        <f>IF(AND(A181&gt;='01_PRESUPUESTO_CRONOGRAMA_BASE'!K12, A181&lt;='01_PRESUPUESTO_CRONOGRAMA_BASE'!L12), '01_PRESUPUESTO_CRONOGRAMA_BASE'!M12, 0)</f>
        <v>0</v>
      </c>
      <c r="F181" s="19">
        <f>SUMIFS(E$2:E181, C$2:C181, C181)</f>
        <v>0</v>
      </c>
    </row>
    <row r="182" spans="1:6" ht="19.95" customHeight="1" x14ac:dyDescent="0.3">
      <c r="A182" s="4">
        <v>46</v>
      </c>
      <c r="B182" s="4" t="s">
        <v>106</v>
      </c>
      <c r="C182" s="2" t="s">
        <v>14</v>
      </c>
      <c r="D182" s="3" t="s">
        <v>71</v>
      </c>
      <c r="E182" s="7">
        <f>IF(AND(A182&gt;='01_PRESUPUESTO_CRONOGRAMA_BASE'!K2, A182&lt;='01_PRESUPUESTO_CRONOGRAMA_BASE'!L2), '01_PRESUPUESTO_CRONOGRAMA_BASE'!M2, 0) + IF(AND(A182&gt;='01_PRESUPUESTO_CRONOGRAMA_BASE'!K3, A182&lt;='01_PRESUPUESTO_CRONOGRAMA_BASE'!L3), '01_PRESUPUESTO_CRONOGRAMA_BASE'!M3, 0)</f>
        <v>0</v>
      </c>
      <c r="F182" s="19">
        <f>SUMIFS(E$2:E182, C$2:C182, C182)</f>
        <v>16336.459999999994</v>
      </c>
    </row>
    <row r="183" spans="1:6" ht="19.95" customHeight="1" x14ac:dyDescent="0.3">
      <c r="A183" s="4">
        <v>46</v>
      </c>
      <c r="B183" s="4" t="s">
        <v>106</v>
      </c>
      <c r="C183" s="2" t="s">
        <v>23</v>
      </c>
      <c r="D183" s="3" t="s">
        <v>72</v>
      </c>
      <c r="E183" s="7">
        <f>IF(AND(A183&gt;='01_PRESUPUESTO_CRONOGRAMA_BASE'!K4, A183&lt;='01_PRESUPUESTO_CRONOGRAMA_BASE'!L4), '01_PRESUPUESTO_CRONOGRAMA_BASE'!M4, 0) + IF(AND(A183&gt;='01_PRESUPUESTO_CRONOGRAMA_BASE'!K5, A183&lt;='01_PRESUPUESTO_CRONOGRAMA_BASE'!L5), '01_PRESUPUESTO_CRONOGRAMA_BASE'!M5, 0) + IF(AND(A183&gt;='01_PRESUPUESTO_CRONOGRAMA_BASE'!K6, A183&lt;='01_PRESUPUESTO_CRONOGRAMA_BASE'!L6), '01_PRESUPUESTO_CRONOGRAMA_BASE'!M6, 0) + IF(AND(A183&gt;='01_PRESUPUESTO_CRONOGRAMA_BASE'!K7, A183&lt;='01_PRESUPUESTO_CRONOGRAMA_BASE'!L7), '01_PRESUPUESTO_CRONOGRAMA_BASE'!M7, 0) + IF(AND(A183&gt;='01_PRESUPUESTO_CRONOGRAMA_BASE'!K8, A183&lt;='01_PRESUPUESTO_CRONOGRAMA_BASE'!L8), '01_PRESUPUESTO_CRONOGRAMA_BASE'!M8, 0) + IF(AND(A183&gt;='01_PRESUPUESTO_CRONOGRAMA_BASE'!K9, A183&lt;='01_PRESUPUESTO_CRONOGRAMA_BASE'!L9), '01_PRESUPUESTO_CRONOGRAMA_BASE'!M9, 0)</f>
        <v>0</v>
      </c>
      <c r="F183" s="19">
        <f>SUMIFS(E$2:E183, C$2:C183, C183)</f>
        <v>372046.57999999978</v>
      </c>
    </row>
    <row r="184" spans="1:6" ht="19.95" customHeight="1" x14ac:dyDescent="0.3">
      <c r="A184" s="4">
        <v>46</v>
      </c>
      <c r="B184" s="4" t="s">
        <v>106</v>
      </c>
      <c r="C184" s="2" t="s">
        <v>49</v>
      </c>
      <c r="D184" s="3" t="s">
        <v>73</v>
      </c>
      <c r="E184" s="7">
        <f>IF(AND(A184&gt;='01_PRESUPUESTO_CRONOGRAMA_BASE'!K10, A184&lt;='01_PRESUPUESTO_CRONOGRAMA_BASE'!L10), '01_PRESUPUESTO_CRONOGRAMA_BASE'!M10, 0) + IF(AND(A184&gt;='01_PRESUPUESTO_CRONOGRAMA_BASE'!K11, A184&lt;='01_PRESUPUESTO_CRONOGRAMA_BASE'!L11), '01_PRESUPUESTO_CRONOGRAMA_BASE'!M11, 0)</f>
        <v>940.26</v>
      </c>
      <c r="F184" s="19">
        <f>SUMIFS(E$2:E184, C$2:C184, C184)</f>
        <v>52863.940000000024</v>
      </c>
    </row>
    <row r="185" spans="1:6" ht="19.95" customHeight="1" x14ac:dyDescent="0.3">
      <c r="A185" s="4">
        <v>46</v>
      </c>
      <c r="B185" s="4" t="s">
        <v>106</v>
      </c>
      <c r="C185" s="2" t="s">
        <v>56</v>
      </c>
      <c r="D185" s="3" t="s">
        <v>74</v>
      </c>
      <c r="E185" s="7">
        <f>IF(AND(A185&gt;='01_PRESUPUESTO_CRONOGRAMA_BASE'!K12, A185&lt;='01_PRESUPUESTO_CRONOGRAMA_BASE'!L12), '01_PRESUPUESTO_CRONOGRAMA_BASE'!M12, 0)</f>
        <v>0</v>
      </c>
      <c r="F185" s="19">
        <f>SUMIFS(E$2:E185, C$2:C185, C185)</f>
        <v>0</v>
      </c>
    </row>
    <row r="186" spans="1:6" ht="19.95" customHeight="1" x14ac:dyDescent="0.3">
      <c r="A186" s="4">
        <v>47</v>
      </c>
      <c r="B186" s="4" t="s">
        <v>107</v>
      </c>
      <c r="C186" s="2" t="s">
        <v>14</v>
      </c>
      <c r="D186" s="3" t="s">
        <v>71</v>
      </c>
      <c r="E186" s="7">
        <f>IF(AND(A186&gt;='01_PRESUPUESTO_CRONOGRAMA_BASE'!K2, A186&lt;='01_PRESUPUESTO_CRONOGRAMA_BASE'!L2), '01_PRESUPUESTO_CRONOGRAMA_BASE'!M2, 0) + IF(AND(A186&gt;='01_PRESUPUESTO_CRONOGRAMA_BASE'!K3, A186&lt;='01_PRESUPUESTO_CRONOGRAMA_BASE'!L3), '01_PRESUPUESTO_CRONOGRAMA_BASE'!M3, 0)</f>
        <v>0</v>
      </c>
      <c r="F186" s="19">
        <f>SUMIFS(E$2:E186, C$2:C186, C186)</f>
        <v>16336.459999999994</v>
      </c>
    </row>
    <row r="187" spans="1:6" ht="19.95" customHeight="1" x14ac:dyDescent="0.3">
      <c r="A187" s="4">
        <v>47</v>
      </c>
      <c r="B187" s="4" t="s">
        <v>107</v>
      </c>
      <c r="C187" s="2" t="s">
        <v>23</v>
      </c>
      <c r="D187" s="3" t="s">
        <v>72</v>
      </c>
      <c r="E187" s="7">
        <f>IF(AND(A187&gt;='01_PRESUPUESTO_CRONOGRAMA_BASE'!K4, A187&lt;='01_PRESUPUESTO_CRONOGRAMA_BASE'!L4), '01_PRESUPUESTO_CRONOGRAMA_BASE'!M4, 0) + IF(AND(A187&gt;='01_PRESUPUESTO_CRONOGRAMA_BASE'!K5, A187&lt;='01_PRESUPUESTO_CRONOGRAMA_BASE'!L5), '01_PRESUPUESTO_CRONOGRAMA_BASE'!M5, 0) + IF(AND(A187&gt;='01_PRESUPUESTO_CRONOGRAMA_BASE'!K6, A187&lt;='01_PRESUPUESTO_CRONOGRAMA_BASE'!L6), '01_PRESUPUESTO_CRONOGRAMA_BASE'!M6, 0) + IF(AND(A187&gt;='01_PRESUPUESTO_CRONOGRAMA_BASE'!K7, A187&lt;='01_PRESUPUESTO_CRONOGRAMA_BASE'!L7), '01_PRESUPUESTO_CRONOGRAMA_BASE'!M7, 0) + IF(AND(A187&gt;='01_PRESUPUESTO_CRONOGRAMA_BASE'!K8, A187&lt;='01_PRESUPUESTO_CRONOGRAMA_BASE'!L8), '01_PRESUPUESTO_CRONOGRAMA_BASE'!M8, 0) + IF(AND(A187&gt;='01_PRESUPUESTO_CRONOGRAMA_BASE'!K9, A187&lt;='01_PRESUPUESTO_CRONOGRAMA_BASE'!L9), '01_PRESUPUESTO_CRONOGRAMA_BASE'!M9, 0)</f>
        <v>0</v>
      </c>
      <c r="F187" s="19">
        <f>SUMIFS(E$2:E187, C$2:C187, C187)</f>
        <v>372046.57999999978</v>
      </c>
    </row>
    <row r="188" spans="1:6" ht="19.95" customHeight="1" x14ac:dyDescent="0.3">
      <c r="A188" s="4">
        <v>47</v>
      </c>
      <c r="B188" s="4" t="s">
        <v>107</v>
      </c>
      <c r="C188" s="2" t="s">
        <v>49</v>
      </c>
      <c r="D188" s="3" t="s">
        <v>73</v>
      </c>
      <c r="E188" s="7">
        <f>IF(AND(A188&gt;='01_PRESUPUESTO_CRONOGRAMA_BASE'!K10, A188&lt;='01_PRESUPUESTO_CRONOGRAMA_BASE'!L10), '01_PRESUPUESTO_CRONOGRAMA_BASE'!M10, 0) + IF(AND(A188&gt;='01_PRESUPUESTO_CRONOGRAMA_BASE'!K11, A188&lt;='01_PRESUPUESTO_CRONOGRAMA_BASE'!L11), '01_PRESUPUESTO_CRONOGRAMA_BASE'!M11, 0)</f>
        <v>940.26</v>
      </c>
      <c r="F188" s="19">
        <f>SUMIFS(E$2:E188, C$2:C188, C188)</f>
        <v>53804.200000000026</v>
      </c>
    </row>
    <row r="189" spans="1:6" ht="19.95" customHeight="1" x14ac:dyDescent="0.3">
      <c r="A189" s="4">
        <v>47</v>
      </c>
      <c r="B189" s="4" t="s">
        <v>107</v>
      </c>
      <c r="C189" s="2" t="s">
        <v>56</v>
      </c>
      <c r="D189" s="3" t="s">
        <v>74</v>
      </c>
      <c r="E189" s="7">
        <f>IF(AND(A189&gt;='01_PRESUPUESTO_CRONOGRAMA_BASE'!K12, A189&lt;='01_PRESUPUESTO_CRONOGRAMA_BASE'!L12), '01_PRESUPUESTO_CRONOGRAMA_BASE'!M12, 0)</f>
        <v>0</v>
      </c>
      <c r="F189" s="19">
        <f>SUMIFS(E$2:E189, C$2:C189, C189)</f>
        <v>0</v>
      </c>
    </row>
    <row r="190" spans="1:6" ht="19.95" customHeight="1" x14ac:dyDescent="0.3">
      <c r="A190" s="4">
        <v>48</v>
      </c>
      <c r="B190" s="4" t="s">
        <v>58</v>
      </c>
      <c r="C190" s="2" t="s">
        <v>14</v>
      </c>
      <c r="D190" s="3" t="s">
        <v>71</v>
      </c>
      <c r="E190" s="7">
        <f>IF(AND(A190&gt;='01_PRESUPUESTO_CRONOGRAMA_BASE'!K2, A190&lt;='01_PRESUPUESTO_CRONOGRAMA_BASE'!L2), '01_PRESUPUESTO_CRONOGRAMA_BASE'!M2, 0) + IF(AND(A190&gt;='01_PRESUPUESTO_CRONOGRAMA_BASE'!K3, A190&lt;='01_PRESUPUESTO_CRONOGRAMA_BASE'!L3), '01_PRESUPUESTO_CRONOGRAMA_BASE'!M3, 0)</f>
        <v>0</v>
      </c>
      <c r="F190" s="19">
        <f>SUMIFS(E$2:E190, C$2:C190, C190)</f>
        <v>16336.459999999994</v>
      </c>
    </row>
    <row r="191" spans="1:6" ht="19.95" customHeight="1" x14ac:dyDescent="0.3">
      <c r="A191" s="4">
        <v>48</v>
      </c>
      <c r="B191" s="4" t="s">
        <v>58</v>
      </c>
      <c r="C191" s="2" t="s">
        <v>23</v>
      </c>
      <c r="D191" s="3" t="s">
        <v>72</v>
      </c>
      <c r="E191" s="7">
        <f>IF(AND(A191&gt;='01_PRESUPUESTO_CRONOGRAMA_BASE'!K4, A191&lt;='01_PRESUPUESTO_CRONOGRAMA_BASE'!L4), '01_PRESUPUESTO_CRONOGRAMA_BASE'!M4, 0) + IF(AND(A191&gt;='01_PRESUPUESTO_CRONOGRAMA_BASE'!K5, A191&lt;='01_PRESUPUESTO_CRONOGRAMA_BASE'!L5), '01_PRESUPUESTO_CRONOGRAMA_BASE'!M5, 0) + IF(AND(A191&gt;='01_PRESUPUESTO_CRONOGRAMA_BASE'!K6, A191&lt;='01_PRESUPUESTO_CRONOGRAMA_BASE'!L6), '01_PRESUPUESTO_CRONOGRAMA_BASE'!M6, 0) + IF(AND(A191&gt;='01_PRESUPUESTO_CRONOGRAMA_BASE'!K7, A191&lt;='01_PRESUPUESTO_CRONOGRAMA_BASE'!L7), '01_PRESUPUESTO_CRONOGRAMA_BASE'!M7, 0) + IF(AND(A191&gt;='01_PRESUPUESTO_CRONOGRAMA_BASE'!K8, A191&lt;='01_PRESUPUESTO_CRONOGRAMA_BASE'!L8), '01_PRESUPUESTO_CRONOGRAMA_BASE'!M8, 0) + IF(AND(A191&gt;='01_PRESUPUESTO_CRONOGRAMA_BASE'!K9, A191&lt;='01_PRESUPUESTO_CRONOGRAMA_BASE'!L9), '01_PRESUPUESTO_CRONOGRAMA_BASE'!M9, 0)</f>
        <v>0</v>
      </c>
      <c r="F191" s="19">
        <f>SUMIFS(E$2:E191, C$2:C191, C191)</f>
        <v>372046.57999999978</v>
      </c>
    </row>
    <row r="192" spans="1:6" ht="19.95" customHeight="1" x14ac:dyDescent="0.3">
      <c r="A192" s="4">
        <v>48</v>
      </c>
      <c r="B192" s="4" t="s">
        <v>58</v>
      </c>
      <c r="C192" s="2" t="s">
        <v>49</v>
      </c>
      <c r="D192" s="3" t="s">
        <v>73</v>
      </c>
      <c r="E192" s="7">
        <f>IF(AND(A192&gt;='01_PRESUPUESTO_CRONOGRAMA_BASE'!K10, A192&lt;='01_PRESUPUESTO_CRONOGRAMA_BASE'!L10), '01_PRESUPUESTO_CRONOGRAMA_BASE'!M10, 0) + IF(AND(A192&gt;='01_PRESUPUESTO_CRONOGRAMA_BASE'!K11, A192&lt;='01_PRESUPUESTO_CRONOGRAMA_BASE'!L11), '01_PRESUPUESTO_CRONOGRAMA_BASE'!M11, 0)</f>
        <v>940.26</v>
      </c>
      <c r="F192" s="19">
        <f>SUMIFS(E$2:E192, C$2:C192, C192)</f>
        <v>54744.460000000028</v>
      </c>
    </row>
    <row r="193" spans="1:6" ht="19.95" customHeight="1" x14ac:dyDescent="0.3">
      <c r="A193" s="4">
        <v>48</v>
      </c>
      <c r="B193" s="4" t="s">
        <v>58</v>
      </c>
      <c r="C193" s="2" t="s">
        <v>56</v>
      </c>
      <c r="D193" s="3" t="s">
        <v>74</v>
      </c>
      <c r="E193" s="7">
        <f>IF(AND(A193&gt;='01_PRESUPUESTO_CRONOGRAMA_BASE'!K12, A193&lt;='01_PRESUPUESTO_CRONOGRAMA_BASE'!L12), '01_PRESUPUESTO_CRONOGRAMA_BASE'!M12, 0)</f>
        <v>719.08</v>
      </c>
      <c r="F193" s="19">
        <f>SUMIFS(E$2:E193, C$2:C193, C193)</f>
        <v>719.08</v>
      </c>
    </row>
    <row r="194" spans="1:6" ht="19.95" customHeight="1" x14ac:dyDescent="0.3">
      <c r="A194" s="4">
        <v>49</v>
      </c>
      <c r="B194" s="4" t="s">
        <v>108</v>
      </c>
      <c r="C194" s="2" t="s">
        <v>14</v>
      </c>
      <c r="D194" s="3" t="s">
        <v>71</v>
      </c>
      <c r="E194" s="7">
        <f>IF(AND(A194&gt;='01_PRESUPUESTO_CRONOGRAMA_BASE'!K2, A194&lt;='01_PRESUPUESTO_CRONOGRAMA_BASE'!L2), '01_PRESUPUESTO_CRONOGRAMA_BASE'!M2, 0) + IF(AND(A194&gt;='01_PRESUPUESTO_CRONOGRAMA_BASE'!K3, A194&lt;='01_PRESUPUESTO_CRONOGRAMA_BASE'!L3), '01_PRESUPUESTO_CRONOGRAMA_BASE'!M3, 0)</f>
        <v>0</v>
      </c>
      <c r="F194" s="19">
        <f>SUMIFS(E$2:E194, C$2:C194, C194)</f>
        <v>16336.459999999994</v>
      </c>
    </row>
    <row r="195" spans="1:6" ht="19.95" customHeight="1" x14ac:dyDescent="0.3">
      <c r="A195" s="4">
        <v>49</v>
      </c>
      <c r="B195" s="4" t="s">
        <v>108</v>
      </c>
      <c r="C195" s="2" t="s">
        <v>23</v>
      </c>
      <c r="D195" s="3" t="s">
        <v>72</v>
      </c>
      <c r="E195" s="7">
        <f>IF(AND(A195&gt;='01_PRESUPUESTO_CRONOGRAMA_BASE'!K4, A195&lt;='01_PRESUPUESTO_CRONOGRAMA_BASE'!L4), '01_PRESUPUESTO_CRONOGRAMA_BASE'!M4, 0) + IF(AND(A195&gt;='01_PRESUPUESTO_CRONOGRAMA_BASE'!K5, A195&lt;='01_PRESUPUESTO_CRONOGRAMA_BASE'!L5), '01_PRESUPUESTO_CRONOGRAMA_BASE'!M5, 0) + IF(AND(A195&gt;='01_PRESUPUESTO_CRONOGRAMA_BASE'!K6, A195&lt;='01_PRESUPUESTO_CRONOGRAMA_BASE'!L6), '01_PRESUPUESTO_CRONOGRAMA_BASE'!M6, 0) + IF(AND(A195&gt;='01_PRESUPUESTO_CRONOGRAMA_BASE'!K7, A195&lt;='01_PRESUPUESTO_CRONOGRAMA_BASE'!L7), '01_PRESUPUESTO_CRONOGRAMA_BASE'!M7, 0) + IF(AND(A195&gt;='01_PRESUPUESTO_CRONOGRAMA_BASE'!K8, A195&lt;='01_PRESUPUESTO_CRONOGRAMA_BASE'!L8), '01_PRESUPUESTO_CRONOGRAMA_BASE'!M8, 0) + IF(AND(A195&gt;='01_PRESUPUESTO_CRONOGRAMA_BASE'!K9, A195&lt;='01_PRESUPUESTO_CRONOGRAMA_BASE'!L9), '01_PRESUPUESTO_CRONOGRAMA_BASE'!M9, 0)</f>
        <v>0</v>
      </c>
      <c r="F195" s="19">
        <f>SUMIFS(E$2:E195, C$2:C195, C195)</f>
        <v>372046.57999999978</v>
      </c>
    </row>
    <row r="196" spans="1:6" ht="19.95" customHeight="1" x14ac:dyDescent="0.3">
      <c r="A196" s="4">
        <v>49</v>
      </c>
      <c r="B196" s="4" t="s">
        <v>108</v>
      </c>
      <c r="C196" s="2" t="s">
        <v>49</v>
      </c>
      <c r="D196" s="3" t="s">
        <v>73</v>
      </c>
      <c r="E196" s="7">
        <f>IF(AND(A196&gt;='01_PRESUPUESTO_CRONOGRAMA_BASE'!K10, A196&lt;='01_PRESUPUESTO_CRONOGRAMA_BASE'!L10), '01_PRESUPUESTO_CRONOGRAMA_BASE'!M10, 0) + IF(AND(A196&gt;='01_PRESUPUESTO_CRONOGRAMA_BASE'!K11, A196&lt;='01_PRESUPUESTO_CRONOGRAMA_BASE'!L11), '01_PRESUPUESTO_CRONOGRAMA_BASE'!M11, 0)</f>
        <v>940.26</v>
      </c>
      <c r="F196" s="19">
        <f>SUMIFS(E$2:E196, C$2:C196, C196)</f>
        <v>55684.72000000003</v>
      </c>
    </row>
    <row r="197" spans="1:6" ht="19.95" customHeight="1" x14ac:dyDescent="0.3">
      <c r="A197" s="4">
        <v>49</v>
      </c>
      <c r="B197" s="4" t="s">
        <v>108</v>
      </c>
      <c r="C197" s="2" t="s">
        <v>56</v>
      </c>
      <c r="D197" s="3" t="s">
        <v>74</v>
      </c>
      <c r="E197" s="7">
        <f>IF(AND(A197&gt;='01_PRESUPUESTO_CRONOGRAMA_BASE'!K12, A197&lt;='01_PRESUPUESTO_CRONOGRAMA_BASE'!L12), '01_PRESUPUESTO_CRONOGRAMA_BASE'!M12, 0)</f>
        <v>719.08</v>
      </c>
      <c r="F197" s="19">
        <f>SUMIFS(E$2:E197, C$2:C197, C197)</f>
        <v>1438.16</v>
      </c>
    </row>
    <row r="198" spans="1:6" ht="19.95" customHeight="1" x14ac:dyDescent="0.3">
      <c r="A198" s="4">
        <v>50</v>
      </c>
      <c r="B198" s="4" t="s">
        <v>109</v>
      </c>
      <c r="C198" s="2" t="s">
        <v>14</v>
      </c>
      <c r="D198" s="3" t="s">
        <v>71</v>
      </c>
      <c r="E198" s="7">
        <f>IF(AND(A198&gt;='01_PRESUPUESTO_CRONOGRAMA_BASE'!K2, A198&lt;='01_PRESUPUESTO_CRONOGRAMA_BASE'!L2), '01_PRESUPUESTO_CRONOGRAMA_BASE'!M2, 0) + IF(AND(A198&gt;='01_PRESUPUESTO_CRONOGRAMA_BASE'!K3, A198&lt;='01_PRESUPUESTO_CRONOGRAMA_BASE'!L3), '01_PRESUPUESTO_CRONOGRAMA_BASE'!M3, 0)</f>
        <v>0</v>
      </c>
      <c r="F198" s="19">
        <f>SUMIFS(E$2:E198, C$2:C198, C198)</f>
        <v>16336.459999999994</v>
      </c>
    </row>
    <row r="199" spans="1:6" ht="19.95" customHeight="1" x14ac:dyDescent="0.3">
      <c r="A199" s="4">
        <v>50</v>
      </c>
      <c r="B199" s="4" t="s">
        <v>109</v>
      </c>
      <c r="C199" s="2" t="s">
        <v>23</v>
      </c>
      <c r="D199" s="3" t="s">
        <v>72</v>
      </c>
      <c r="E199" s="7">
        <f>IF(AND(A199&gt;='01_PRESUPUESTO_CRONOGRAMA_BASE'!K4, A199&lt;='01_PRESUPUESTO_CRONOGRAMA_BASE'!L4), '01_PRESUPUESTO_CRONOGRAMA_BASE'!M4, 0) + IF(AND(A199&gt;='01_PRESUPUESTO_CRONOGRAMA_BASE'!K5, A199&lt;='01_PRESUPUESTO_CRONOGRAMA_BASE'!L5), '01_PRESUPUESTO_CRONOGRAMA_BASE'!M5, 0) + IF(AND(A199&gt;='01_PRESUPUESTO_CRONOGRAMA_BASE'!K6, A199&lt;='01_PRESUPUESTO_CRONOGRAMA_BASE'!L6), '01_PRESUPUESTO_CRONOGRAMA_BASE'!M6, 0) + IF(AND(A199&gt;='01_PRESUPUESTO_CRONOGRAMA_BASE'!K7, A199&lt;='01_PRESUPUESTO_CRONOGRAMA_BASE'!L7), '01_PRESUPUESTO_CRONOGRAMA_BASE'!M7, 0) + IF(AND(A199&gt;='01_PRESUPUESTO_CRONOGRAMA_BASE'!K8, A199&lt;='01_PRESUPUESTO_CRONOGRAMA_BASE'!L8), '01_PRESUPUESTO_CRONOGRAMA_BASE'!M8, 0) + IF(AND(A199&gt;='01_PRESUPUESTO_CRONOGRAMA_BASE'!K9, A199&lt;='01_PRESUPUESTO_CRONOGRAMA_BASE'!L9), '01_PRESUPUESTO_CRONOGRAMA_BASE'!M9, 0)</f>
        <v>0</v>
      </c>
      <c r="F199" s="19">
        <f>SUMIFS(E$2:E199, C$2:C199, C199)</f>
        <v>372046.57999999978</v>
      </c>
    </row>
    <row r="200" spans="1:6" ht="19.95" customHeight="1" x14ac:dyDescent="0.3">
      <c r="A200" s="4">
        <v>50</v>
      </c>
      <c r="B200" s="4" t="s">
        <v>109</v>
      </c>
      <c r="C200" s="2" t="s">
        <v>49</v>
      </c>
      <c r="D200" s="3" t="s">
        <v>73</v>
      </c>
      <c r="E200" s="7">
        <f>IF(AND(A200&gt;='01_PRESUPUESTO_CRONOGRAMA_BASE'!K10, A200&lt;='01_PRESUPUESTO_CRONOGRAMA_BASE'!L10), '01_PRESUPUESTO_CRONOGRAMA_BASE'!M10, 0) + IF(AND(A200&gt;='01_PRESUPUESTO_CRONOGRAMA_BASE'!K11, A200&lt;='01_PRESUPUESTO_CRONOGRAMA_BASE'!L11), '01_PRESUPUESTO_CRONOGRAMA_BASE'!M11, 0)</f>
        <v>940.26</v>
      </c>
      <c r="F200" s="19">
        <f>SUMIFS(E$2:E200, C$2:C200, C200)</f>
        <v>56624.980000000032</v>
      </c>
    </row>
    <row r="201" spans="1:6" ht="19.95" customHeight="1" x14ac:dyDescent="0.3">
      <c r="A201" s="4">
        <v>50</v>
      </c>
      <c r="B201" s="4" t="s">
        <v>109</v>
      </c>
      <c r="C201" s="2" t="s">
        <v>56</v>
      </c>
      <c r="D201" s="3" t="s">
        <v>74</v>
      </c>
      <c r="E201" s="7">
        <f>IF(AND(A201&gt;='01_PRESUPUESTO_CRONOGRAMA_BASE'!K12, A201&lt;='01_PRESUPUESTO_CRONOGRAMA_BASE'!L12), '01_PRESUPUESTO_CRONOGRAMA_BASE'!M12, 0)</f>
        <v>719.08</v>
      </c>
      <c r="F201" s="19">
        <f>SUMIFS(E$2:E201, C$2:C201, C201)</f>
        <v>2157.2400000000002</v>
      </c>
    </row>
    <row r="202" spans="1:6" ht="19.95" customHeight="1" x14ac:dyDescent="0.3">
      <c r="A202" s="4">
        <v>51</v>
      </c>
      <c r="B202" s="4" t="s">
        <v>54</v>
      </c>
      <c r="C202" s="2" t="s">
        <v>14</v>
      </c>
      <c r="D202" s="3" t="s">
        <v>71</v>
      </c>
      <c r="E202" s="7">
        <f>IF(AND(A202&gt;='01_PRESUPUESTO_CRONOGRAMA_BASE'!K2, A202&lt;='01_PRESUPUESTO_CRONOGRAMA_BASE'!L2), '01_PRESUPUESTO_CRONOGRAMA_BASE'!M2, 0) + IF(AND(A202&gt;='01_PRESUPUESTO_CRONOGRAMA_BASE'!K3, A202&lt;='01_PRESUPUESTO_CRONOGRAMA_BASE'!L3), '01_PRESUPUESTO_CRONOGRAMA_BASE'!M3, 0)</f>
        <v>0</v>
      </c>
      <c r="F202" s="19">
        <f>SUMIFS(E$2:E202, C$2:C202, C202)</f>
        <v>16336.459999999994</v>
      </c>
    </row>
    <row r="203" spans="1:6" ht="19.95" customHeight="1" x14ac:dyDescent="0.3">
      <c r="A203" s="4">
        <v>51</v>
      </c>
      <c r="B203" s="4" t="s">
        <v>54</v>
      </c>
      <c r="C203" s="2" t="s">
        <v>23</v>
      </c>
      <c r="D203" s="3" t="s">
        <v>72</v>
      </c>
      <c r="E203" s="7">
        <f>IF(AND(A203&gt;='01_PRESUPUESTO_CRONOGRAMA_BASE'!K4, A203&lt;='01_PRESUPUESTO_CRONOGRAMA_BASE'!L4), '01_PRESUPUESTO_CRONOGRAMA_BASE'!M4, 0) + IF(AND(A203&gt;='01_PRESUPUESTO_CRONOGRAMA_BASE'!K5, A203&lt;='01_PRESUPUESTO_CRONOGRAMA_BASE'!L5), '01_PRESUPUESTO_CRONOGRAMA_BASE'!M5, 0) + IF(AND(A203&gt;='01_PRESUPUESTO_CRONOGRAMA_BASE'!K6, A203&lt;='01_PRESUPUESTO_CRONOGRAMA_BASE'!L6), '01_PRESUPUESTO_CRONOGRAMA_BASE'!M6, 0) + IF(AND(A203&gt;='01_PRESUPUESTO_CRONOGRAMA_BASE'!K7, A203&lt;='01_PRESUPUESTO_CRONOGRAMA_BASE'!L7), '01_PRESUPUESTO_CRONOGRAMA_BASE'!M7, 0) + IF(AND(A203&gt;='01_PRESUPUESTO_CRONOGRAMA_BASE'!K8, A203&lt;='01_PRESUPUESTO_CRONOGRAMA_BASE'!L8), '01_PRESUPUESTO_CRONOGRAMA_BASE'!M8, 0) + IF(AND(A203&gt;='01_PRESUPUESTO_CRONOGRAMA_BASE'!K9, A203&lt;='01_PRESUPUESTO_CRONOGRAMA_BASE'!L9), '01_PRESUPUESTO_CRONOGRAMA_BASE'!M9, 0)</f>
        <v>0</v>
      </c>
      <c r="F203" s="19">
        <f>SUMIFS(E$2:E203, C$2:C203, C203)</f>
        <v>372046.57999999978</v>
      </c>
    </row>
    <row r="204" spans="1:6" ht="19.95" customHeight="1" x14ac:dyDescent="0.3">
      <c r="A204" s="4">
        <v>51</v>
      </c>
      <c r="B204" s="4" t="s">
        <v>54</v>
      </c>
      <c r="C204" s="2" t="s">
        <v>49</v>
      </c>
      <c r="D204" s="3" t="s">
        <v>73</v>
      </c>
      <c r="E204" s="7">
        <f>IF(AND(A204&gt;='01_PRESUPUESTO_CRONOGRAMA_BASE'!K10, A204&lt;='01_PRESUPUESTO_CRONOGRAMA_BASE'!L10), '01_PRESUPUESTO_CRONOGRAMA_BASE'!M10, 0) + IF(AND(A204&gt;='01_PRESUPUESTO_CRONOGRAMA_BASE'!K11, A204&lt;='01_PRESUPUESTO_CRONOGRAMA_BASE'!L11), '01_PRESUPUESTO_CRONOGRAMA_BASE'!M11, 0)</f>
        <v>940.26</v>
      </c>
      <c r="F204" s="19">
        <f>SUMIFS(E$2:E204, C$2:C204, C204)</f>
        <v>57565.240000000034</v>
      </c>
    </row>
    <row r="205" spans="1:6" ht="19.95" customHeight="1" x14ac:dyDescent="0.3">
      <c r="A205" s="4">
        <v>51</v>
      </c>
      <c r="B205" s="4" t="s">
        <v>54</v>
      </c>
      <c r="C205" s="2" t="s">
        <v>56</v>
      </c>
      <c r="D205" s="3" t="s">
        <v>74</v>
      </c>
      <c r="E205" s="7">
        <f>IF(AND(A205&gt;='01_PRESUPUESTO_CRONOGRAMA_BASE'!K12, A205&lt;='01_PRESUPUESTO_CRONOGRAMA_BASE'!L12), '01_PRESUPUESTO_CRONOGRAMA_BASE'!M12, 0)</f>
        <v>719.08</v>
      </c>
      <c r="F205" s="19">
        <f>SUMIFS(E$2:E205, C$2:C205, C205)</f>
        <v>2876.32</v>
      </c>
    </row>
    <row r="206" spans="1:6" ht="19.95" customHeight="1" x14ac:dyDescent="0.3">
      <c r="A206" s="4">
        <v>52</v>
      </c>
      <c r="B206" s="4" t="s">
        <v>110</v>
      </c>
      <c r="C206" s="2" t="s">
        <v>14</v>
      </c>
      <c r="D206" s="3" t="s">
        <v>71</v>
      </c>
      <c r="E206" s="7">
        <f>IF(AND(A206&gt;='01_PRESUPUESTO_CRONOGRAMA_BASE'!K2, A206&lt;='01_PRESUPUESTO_CRONOGRAMA_BASE'!L2), '01_PRESUPUESTO_CRONOGRAMA_BASE'!M2, 0) + IF(AND(A206&gt;='01_PRESUPUESTO_CRONOGRAMA_BASE'!K3, A206&lt;='01_PRESUPUESTO_CRONOGRAMA_BASE'!L3), '01_PRESUPUESTO_CRONOGRAMA_BASE'!M3, 0)</f>
        <v>0</v>
      </c>
      <c r="F206" s="19">
        <f>SUMIFS(E$2:E206, C$2:C206, C206)</f>
        <v>16336.459999999994</v>
      </c>
    </row>
    <row r="207" spans="1:6" ht="19.95" customHeight="1" x14ac:dyDescent="0.3">
      <c r="A207" s="4">
        <v>52</v>
      </c>
      <c r="B207" s="4" t="s">
        <v>110</v>
      </c>
      <c r="C207" s="2" t="s">
        <v>23</v>
      </c>
      <c r="D207" s="3" t="s">
        <v>72</v>
      </c>
      <c r="E207" s="7">
        <f>IF(AND(A207&gt;='01_PRESUPUESTO_CRONOGRAMA_BASE'!K4, A207&lt;='01_PRESUPUESTO_CRONOGRAMA_BASE'!L4), '01_PRESUPUESTO_CRONOGRAMA_BASE'!M4, 0) + IF(AND(A207&gt;='01_PRESUPUESTO_CRONOGRAMA_BASE'!K5, A207&lt;='01_PRESUPUESTO_CRONOGRAMA_BASE'!L5), '01_PRESUPUESTO_CRONOGRAMA_BASE'!M5, 0) + IF(AND(A207&gt;='01_PRESUPUESTO_CRONOGRAMA_BASE'!K6, A207&lt;='01_PRESUPUESTO_CRONOGRAMA_BASE'!L6), '01_PRESUPUESTO_CRONOGRAMA_BASE'!M6, 0) + IF(AND(A207&gt;='01_PRESUPUESTO_CRONOGRAMA_BASE'!K7, A207&lt;='01_PRESUPUESTO_CRONOGRAMA_BASE'!L7), '01_PRESUPUESTO_CRONOGRAMA_BASE'!M7, 0) + IF(AND(A207&gt;='01_PRESUPUESTO_CRONOGRAMA_BASE'!K8, A207&lt;='01_PRESUPUESTO_CRONOGRAMA_BASE'!L8), '01_PRESUPUESTO_CRONOGRAMA_BASE'!M8, 0) + IF(AND(A207&gt;='01_PRESUPUESTO_CRONOGRAMA_BASE'!K9, A207&lt;='01_PRESUPUESTO_CRONOGRAMA_BASE'!L9), '01_PRESUPUESTO_CRONOGRAMA_BASE'!M9, 0)</f>
        <v>0</v>
      </c>
      <c r="F207" s="19">
        <f>SUMIFS(E$2:E207, C$2:C207, C207)</f>
        <v>372046.57999999978</v>
      </c>
    </row>
    <row r="208" spans="1:6" ht="19.95" customHeight="1" x14ac:dyDescent="0.3">
      <c r="A208" s="4">
        <v>52</v>
      </c>
      <c r="B208" s="4" t="s">
        <v>110</v>
      </c>
      <c r="C208" s="2" t="s">
        <v>49</v>
      </c>
      <c r="D208" s="3" t="s">
        <v>73</v>
      </c>
      <c r="E208" s="7">
        <f>IF(AND(A208&gt;='01_PRESUPUESTO_CRONOGRAMA_BASE'!K10, A208&lt;='01_PRESUPUESTO_CRONOGRAMA_BASE'!L10), '01_PRESUPUESTO_CRONOGRAMA_BASE'!M10, 0) + IF(AND(A208&gt;='01_PRESUPUESTO_CRONOGRAMA_BASE'!K11, A208&lt;='01_PRESUPUESTO_CRONOGRAMA_BASE'!L11), '01_PRESUPUESTO_CRONOGRAMA_BASE'!M11, 0)</f>
        <v>0</v>
      </c>
      <c r="F208" s="19">
        <f>SUMIFS(E$2:E208, C$2:C208, C208)</f>
        <v>57565.240000000034</v>
      </c>
    </row>
    <row r="209" spans="1:6" ht="19.95" customHeight="1" x14ac:dyDescent="0.3">
      <c r="A209" s="4">
        <v>52</v>
      </c>
      <c r="B209" s="4" t="s">
        <v>110</v>
      </c>
      <c r="C209" s="2" t="s">
        <v>56</v>
      </c>
      <c r="D209" s="3" t="s">
        <v>74</v>
      </c>
      <c r="E209" s="7">
        <f>IF(AND(A209&gt;='01_PRESUPUESTO_CRONOGRAMA_BASE'!K12, A209&lt;='01_PRESUPUESTO_CRONOGRAMA_BASE'!L12), '01_PRESUPUESTO_CRONOGRAMA_BASE'!M12, 0)</f>
        <v>719.08</v>
      </c>
      <c r="F209" s="19">
        <f>SUMIFS(E$2:E209, C$2:C209, C209)</f>
        <v>3595.4</v>
      </c>
    </row>
    <row r="210" spans="1:6" ht="19.95" customHeight="1" x14ac:dyDescent="0.3">
      <c r="A210" s="4">
        <v>53</v>
      </c>
      <c r="B210" s="4" t="s">
        <v>111</v>
      </c>
      <c r="C210" s="2" t="s">
        <v>14</v>
      </c>
      <c r="D210" s="3" t="s">
        <v>71</v>
      </c>
      <c r="E210" s="7">
        <f>IF(AND(A210&gt;='01_PRESUPUESTO_CRONOGRAMA_BASE'!K2, A210&lt;='01_PRESUPUESTO_CRONOGRAMA_BASE'!L2), '01_PRESUPUESTO_CRONOGRAMA_BASE'!M2, 0) + IF(AND(A210&gt;='01_PRESUPUESTO_CRONOGRAMA_BASE'!K3, A210&lt;='01_PRESUPUESTO_CRONOGRAMA_BASE'!L3), '01_PRESUPUESTO_CRONOGRAMA_BASE'!M3, 0)</f>
        <v>0</v>
      </c>
      <c r="F210" s="19">
        <f>SUMIFS(E$2:E210, C$2:C210, C210)</f>
        <v>16336.459999999994</v>
      </c>
    </row>
    <row r="211" spans="1:6" ht="19.95" customHeight="1" x14ac:dyDescent="0.3">
      <c r="A211" s="4">
        <v>53</v>
      </c>
      <c r="B211" s="4" t="s">
        <v>111</v>
      </c>
      <c r="C211" s="2" t="s">
        <v>23</v>
      </c>
      <c r="D211" s="3" t="s">
        <v>72</v>
      </c>
      <c r="E211" s="7">
        <f>IF(AND(A211&gt;='01_PRESUPUESTO_CRONOGRAMA_BASE'!K4, A211&lt;='01_PRESUPUESTO_CRONOGRAMA_BASE'!L4), '01_PRESUPUESTO_CRONOGRAMA_BASE'!M4, 0) + IF(AND(A211&gt;='01_PRESUPUESTO_CRONOGRAMA_BASE'!K5, A211&lt;='01_PRESUPUESTO_CRONOGRAMA_BASE'!L5), '01_PRESUPUESTO_CRONOGRAMA_BASE'!M5, 0) + IF(AND(A211&gt;='01_PRESUPUESTO_CRONOGRAMA_BASE'!K6, A211&lt;='01_PRESUPUESTO_CRONOGRAMA_BASE'!L6), '01_PRESUPUESTO_CRONOGRAMA_BASE'!M6, 0) + IF(AND(A211&gt;='01_PRESUPUESTO_CRONOGRAMA_BASE'!K7, A211&lt;='01_PRESUPUESTO_CRONOGRAMA_BASE'!L7), '01_PRESUPUESTO_CRONOGRAMA_BASE'!M7, 0) + IF(AND(A211&gt;='01_PRESUPUESTO_CRONOGRAMA_BASE'!K8, A211&lt;='01_PRESUPUESTO_CRONOGRAMA_BASE'!L8), '01_PRESUPUESTO_CRONOGRAMA_BASE'!M8, 0) + IF(AND(A211&gt;='01_PRESUPUESTO_CRONOGRAMA_BASE'!K9, A211&lt;='01_PRESUPUESTO_CRONOGRAMA_BASE'!L9), '01_PRESUPUESTO_CRONOGRAMA_BASE'!M9, 0)</f>
        <v>0</v>
      </c>
      <c r="F211" s="19">
        <f>SUMIFS(E$2:E211, C$2:C211, C211)</f>
        <v>372046.57999999978</v>
      </c>
    </row>
    <row r="212" spans="1:6" ht="19.95" customHeight="1" x14ac:dyDescent="0.3">
      <c r="A212" s="4">
        <v>53</v>
      </c>
      <c r="B212" s="4" t="s">
        <v>111</v>
      </c>
      <c r="C212" s="2" t="s">
        <v>49</v>
      </c>
      <c r="D212" s="3" t="s">
        <v>73</v>
      </c>
      <c r="E212" s="7">
        <f>IF(AND(A212&gt;='01_PRESUPUESTO_CRONOGRAMA_BASE'!K10, A212&lt;='01_PRESUPUESTO_CRONOGRAMA_BASE'!L10), '01_PRESUPUESTO_CRONOGRAMA_BASE'!M10, 0) + IF(AND(A212&gt;='01_PRESUPUESTO_CRONOGRAMA_BASE'!K11, A212&lt;='01_PRESUPUESTO_CRONOGRAMA_BASE'!L11), '01_PRESUPUESTO_CRONOGRAMA_BASE'!M11, 0)</f>
        <v>0</v>
      </c>
      <c r="F212" s="19">
        <f>SUMIFS(E$2:E212, C$2:C212, C212)</f>
        <v>57565.240000000034</v>
      </c>
    </row>
    <row r="213" spans="1:6" ht="19.95" customHeight="1" x14ac:dyDescent="0.3">
      <c r="A213" s="4">
        <v>53</v>
      </c>
      <c r="B213" s="4" t="s">
        <v>111</v>
      </c>
      <c r="C213" s="2" t="s">
        <v>56</v>
      </c>
      <c r="D213" s="3" t="s">
        <v>74</v>
      </c>
      <c r="E213" s="7">
        <f>IF(AND(A213&gt;='01_PRESUPUESTO_CRONOGRAMA_BASE'!K12, A213&lt;='01_PRESUPUESTO_CRONOGRAMA_BASE'!L12), '01_PRESUPUESTO_CRONOGRAMA_BASE'!M12, 0)</f>
        <v>719.08</v>
      </c>
      <c r="F213" s="19">
        <f>SUMIFS(E$2:E213, C$2:C213, C213)</f>
        <v>4314.4800000000005</v>
      </c>
    </row>
    <row r="214" spans="1:6" ht="19.95" customHeight="1" x14ac:dyDescent="0.3">
      <c r="A214" s="4">
        <v>54</v>
      </c>
      <c r="B214" s="4" t="s">
        <v>112</v>
      </c>
      <c r="C214" s="2" t="s">
        <v>14</v>
      </c>
      <c r="D214" s="3" t="s">
        <v>71</v>
      </c>
      <c r="E214" s="7">
        <f>IF(AND(A214&gt;='01_PRESUPUESTO_CRONOGRAMA_BASE'!K2, A214&lt;='01_PRESUPUESTO_CRONOGRAMA_BASE'!L2), '01_PRESUPUESTO_CRONOGRAMA_BASE'!M2, 0) + IF(AND(A214&gt;='01_PRESUPUESTO_CRONOGRAMA_BASE'!K3, A214&lt;='01_PRESUPUESTO_CRONOGRAMA_BASE'!L3), '01_PRESUPUESTO_CRONOGRAMA_BASE'!M3, 0)</f>
        <v>0</v>
      </c>
      <c r="F214" s="19">
        <f>SUMIFS(E$2:E214, C$2:C214, C214)</f>
        <v>16336.459999999994</v>
      </c>
    </row>
    <row r="215" spans="1:6" ht="19.95" customHeight="1" x14ac:dyDescent="0.3">
      <c r="A215" s="4">
        <v>54</v>
      </c>
      <c r="B215" s="4" t="s">
        <v>112</v>
      </c>
      <c r="C215" s="2" t="s">
        <v>23</v>
      </c>
      <c r="D215" s="3" t="s">
        <v>72</v>
      </c>
      <c r="E215" s="7">
        <f>IF(AND(A215&gt;='01_PRESUPUESTO_CRONOGRAMA_BASE'!K4, A215&lt;='01_PRESUPUESTO_CRONOGRAMA_BASE'!L4), '01_PRESUPUESTO_CRONOGRAMA_BASE'!M4, 0) + IF(AND(A215&gt;='01_PRESUPUESTO_CRONOGRAMA_BASE'!K5, A215&lt;='01_PRESUPUESTO_CRONOGRAMA_BASE'!L5), '01_PRESUPUESTO_CRONOGRAMA_BASE'!M5, 0) + IF(AND(A215&gt;='01_PRESUPUESTO_CRONOGRAMA_BASE'!K6, A215&lt;='01_PRESUPUESTO_CRONOGRAMA_BASE'!L6), '01_PRESUPUESTO_CRONOGRAMA_BASE'!M6, 0) + IF(AND(A215&gt;='01_PRESUPUESTO_CRONOGRAMA_BASE'!K7, A215&lt;='01_PRESUPUESTO_CRONOGRAMA_BASE'!L7), '01_PRESUPUESTO_CRONOGRAMA_BASE'!M7, 0) + IF(AND(A215&gt;='01_PRESUPUESTO_CRONOGRAMA_BASE'!K8, A215&lt;='01_PRESUPUESTO_CRONOGRAMA_BASE'!L8), '01_PRESUPUESTO_CRONOGRAMA_BASE'!M8, 0) + IF(AND(A215&gt;='01_PRESUPUESTO_CRONOGRAMA_BASE'!K9, A215&lt;='01_PRESUPUESTO_CRONOGRAMA_BASE'!L9), '01_PRESUPUESTO_CRONOGRAMA_BASE'!M9, 0)</f>
        <v>0</v>
      </c>
      <c r="F215" s="19">
        <f>SUMIFS(E$2:E215, C$2:C215, C215)</f>
        <v>372046.57999999978</v>
      </c>
    </row>
    <row r="216" spans="1:6" ht="19.95" customHeight="1" x14ac:dyDescent="0.3">
      <c r="A216" s="4">
        <v>54</v>
      </c>
      <c r="B216" s="4" t="s">
        <v>112</v>
      </c>
      <c r="C216" s="2" t="s">
        <v>49</v>
      </c>
      <c r="D216" s="3" t="s">
        <v>73</v>
      </c>
      <c r="E216" s="7">
        <f>IF(AND(A216&gt;='01_PRESUPUESTO_CRONOGRAMA_BASE'!K10, A216&lt;='01_PRESUPUESTO_CRONOGRAMA_BASE'!L10), '01_PRESUPUESTO_CRONOGRAMA_BASE'!M10, 0) + IF(AND(A216&gt;='01_PRESUPUESTO_CRONOGRAMA_BASE'!K11, A216&lt;='01_PRESUPUESTO_CRONOGRAMA_BASE'!L11), '01_PRESUPUESTO_CRONOGRAMA_BASE'!M11, 0)</f>
        <v>0</v>
      </c>
      <c r="F216" s="19">
        <f>SUMIFS(E$2:E216, C$2:C216, C216)</f>
        <v>57565.240000000034</v>
      </c>
    </row>
    <row r="217" spans="1:6" ht="19.95" customHeight="1" x14ac:dyDescent="0.3">
      <c r="A217" s="4">
        <v>54</v>
      </c>
      <c r="B217" s="4" t="s">
        <v>112</v>
      </c>
      <c r="C217" s="2" t="s">
        <v>56</v>
      </c>
      <c r="D217" s="3" t="s">
        <v>74</v>
      </c>
      <c r="E217" s="7">
        <f>IF(AND(A217&gt;='01_PRESUPUESTO_CRONOGRAMA_BASE'!K12, A217&lt;='01_PRESUPUESTO_CRONOGRAMA_BASE'!L12), '01_PRESUPUESTO_CRONOGRAMA_BASE'!M12, 0)</f>
        <v>719.08</v>
      </c>
      <c r="F217" s="19">
        <f>SUMIFS(E$2:E217, C$2:C217, C217)</f>
        <v>5033.5600000000004</v>
      </c>
    </row>
    <row r="218" spans="1:6" ht="19.95" customHeight="1" x14ac:dyDescent="0.3">
      <c r="A218" s="4">
        <v>55</v>
      </c>
      <c r="B218" s="4" t="s">
        <v>113</v>
      </c>
      <c r="C218" s="2" t="s">
        <v>14</v>
      </c>
      <c r="D218" s="3" t="s">
        <v>71</v>
      </c>
      <c r="E218" s="7">
        <f>IF(AND(A218&gt;='01_PRESUPUESTO_CRONOGRAMA_BASE'!K2, A218&lt;='01_PRESUPUESTO_CRONOGRAMA_BASE'!L2), '01_PRESUPUESTO_CRONOGRAMA_BASE'!M2, 0) + IF(AND(A218&gt;='01_PRESUPUESTO_CRONOGRAMA_BASE'!K3, A218&lt;='01_PRESUPUESTO_CRONOGRAMA_BASE'!L3), '01_PRESUPUESTO_CRONOGRAMA_BASE'!M3, 0)</f>
        <v>0</v>
      </c>
      <c r="F218" s="19">
        <f>SUMIFS(E$2:E218, C$2:C218, C218)</f>
        <v>16336.459999999994</v>
      </c>
    </row>
    <row r="219" spans="1:6" ht="19.95" customHeight="1" x14ac:dyDescent="0.3">
      <c r="A219" s="4">
        <v>55</v>
      </c>
      <c r="B219" s="4" t="s">
        <v>113</v>
      </c>
      <c r="C219" s="2" t="s">
        <v>23</v>
      </c>
      <c r="D219" s="3" t="s">
        <v>72</v>
      </c>
      <c r="E219" s="7">
        <f>IF(AND(A219&gt;='01_PRESUPUESTO_CRONOGRAMA_BASE'!K4, A219&lt;='01_PRESUPUESTO_CRONOGRAMA_BASE'!L4), '01_PRESUPUESTO_CRONOGRAMA_BASE'!M4, 0) + IF(AND(A219&gt;='01_PRESUPUESTO_CRONOGRAMA_BASE'!K5, A219&lt;='01_PRESUPUESTO_CRONOGRAMA_BASE'!L5), '01_PRESUPUESTO_CRONOGRAMA_BASE'!M5, 0) + IF(AND(A219&gt;='01_PRESUPUESTO_CRONOGRAMA_BASE'!K6, A219&lt;='01_PRESUPUESTO_CRONOGRAMA_BASE'!L6), '01_PRESUPUESTO_CRONOGRAMA_BASE'!M6, 0) + IF(AND(A219&gt;='01_PRESUPUESTO_CRONOGRAMA_BASE'!K7, A219&lt;='01_PRESUPUESTO_CRONOGRAMA_BASE'!L7), '01_PRESUPUESTO_CRONOGRAMA_BASE'!M7, 0) + IF(AND(A219&gt;='01_PRESUPUESTO_CRONOGRAMA_BASE'!K8, A219&lt;='01_PRESUPUESTO_CRONOGRAMA_BASE'!L8), '01_PRESUPUESTO_CRONOGRAMA_BASE'!M8, 0) + IF(AND(A219&gt;='01_PRESUPUESTO_CRONOGRAMA_BASE'!K9, A219&lt;='01_PRESUPUESTO_CRONOGRAMA_BASE'!L9), '01_PRESUPUESTO_CRONOGRAMA_BASE'!M9, 0)</f>
        <v>0</v>
      </c>
      <c r="F219" s="19">
        <f>SUMIFS(E$2:E219, C$2:C219, C219)</f>
        <v>372046.57999999978</v>
      </c>
    </row>
    <row r="220" spans="1:6" ht="19.95" customHeight="1" x14ac:dyDescent="0.3">
      <c r="A220" s="4">
        <v>55</v>
      </c>
      <c r="B220" s="4" t="s">
        <v>113</v>
      </c>
      <c r="C220" s="2" t="s">
        <v>49</v>
      </c>
      <c r="D220" s="3" t="s">
        <v>73</v>
      </c>
      <c r="E220" s="7">
        <f>IF(AND(A220&gt;='01_PRESUPUESTO_CRONOGRAMA_BASE'!K10, A220&lt;='01_PRESUPUESTO_CRONOGRAMA_BASE'!L10), '01_PRESUPUESTO_CRONOGRAMA_BASE'!M10, 0) + IF(AND(A220&gt;='01_PRESUPUESTO_CRONOGRAMA_BASE'!K11, A220&lt;='01_PRESUPUESTO_CRONOGRAMA_BASE'!L11), '01_PRESUPUESTO_CRONOGRAMA_BASE'!M11, 0)</f>
        <v>0</v>
      </c>
      <c r="F220" s="19">
        <f>SUMIFS(E$2:E220, C$2:C220, C220)</f>
        <v>57565.240000000034</v>
      </c>
    </row>
    <row r="221" spans="1:6" ht="19.95" customHeight="1" x14ac:dyDescent="0.3">
      <c r="A221" s="4">
        <v>55</v>
      </c>
      <c r="B221" s="4" t="s">
        <v>113</v>
      </c>
      <c r="C221" s="2" t="s">
        <v>56</v>
      </c>
      <c r="D221" s="3" t="s">
        <v>74</v>
      </c>
      <c r="E221" s="7">
        <f>IF(AND(A221&gt;='01_PRESUPUESTO_CRONOGRAMA_BASE'!K12, A221&lt;='01_PRESUPUESTO_CRONOGRAMA_BASE'!L12), '01_PRESUPUESTO_CRONOGRAMA_BASE'!M12, 0)</f>
        <v>719.08</v>
      </c>
      <c r="F221" s="19">
        <f>SUMIFS(E$2:E221, C$2:C221, C221)</f>
        <v>5752.64</v>
      </c>
    </row>
    <row r="222" spans="1:6" ht="19.95" customHeight="1" x14ac:dyDescent="0.3">
      <c r="A222" s="4">
        <v>56</v>
      </c>
      <c r="B222" s="4" t="s">
        <v>114</v>
      </c>
      <c r="C222" s="2" t="s">
        <v>14</v>
      </c>
      <c r="D222" s="3" t="s">
        <v>71</v>
      </c>
      <c r="E222" s="7">
        <f>IF(AND(A222&gt;='01_PRESUPUESTO_CRONOGRAMA_BASE'!K2, A222&lt;='01_PRESUPUESTO_CRONOGRAMA_BASE'!L2), '01_PRESUPUESTO_CRONOGRAMA_BASE'!M2, 0) + IF(AND(A222&gt;='01_PRESUPUESTO_CRONOGRAMA_BASE'!K3, A222&lt;='01_PRESUPUESTO_CRONOGRAMA_BASE'!L3), '01_PRESUPUESTO_CRONOGRAMA_BASE'!M3, 0)</f>
        <v>0</v>
      </c>
      <c r="F222" s="19">
        <f>SUMIFS(E$2:E222, C$2:C222, C222)</f>
        <v>16336.459999999994</v>
      </c>
    </row>
    <row r="223" spans="1:6" ht="19.95" customHeight="1" x14ac:dyDescent="0.3">
      <c r="A223" s="4">
        <v>56</v>
      </c>
      <c r="B223" s="4" t="s">
        <v>114</v>
      </c>
      <c r="C223" s="2" t="s">
        <v>23</v>
      </c>
      <c r="D223" s="3" t="s">
        <v>72</v>
      </c>
      <c r="E223" s="7">
        <f>IF(AND(A223&gt;='01_PRESUPUESTO_CRONOGRAMA_BASE'!K4, A223&lt;='01_PRESUPUESTO_CRONOGRAMA_BASE'!L4), '01_PRESUPUESTO_CRONOGRAMA_BASE'!M4, 0) + IF(AND(A223&gt;='01_PRESUPUESTO_CRONOGRAMA_BASE'!K5, A223&lt;='01_PRESUPUESTO_CRONOGRAMA_BASE'!L5), '01_PRESUPUESTO_CRONOGRAMA_BASE'!M5, 0) + IF(AND(A223&gt;='01_PRESUPUESTO_CRONOGRAMA_BASE'!K6, A223&lt;='01_PRESUPUESTO_CRONOGRAMA_BASE'!L6), '01_PRESUPUESTO_CRONOGRAMA_BASE'!M6, 0) + IF(AND(A223&gt;='01_PRESUPUESTO_CRONOGRAMA_BASE'!K7, A223&lt;='01_PRESUPUESTO_CRONOGRAMA_BASE'!L7), '01_PRESUPUESTO_CRONOGRAMA_BASE'!M7, 0) + IF(AND(A223&gt;='01_PRESUPUESTO_CRONOGRAMA_BASE'!K8, A223&lt;='01_PRESUPUESTO_CRONOGRAMA_BASE'!L8), '01_PRESUPUESTO_CRONOGRAMA_BASE'!M8, 0) + IF(AND(A223&gt;='01_PRESUPUESTO_CRONOGRAMA_BASE'!K9, A223&lt;='01_PRESUPUESTO_CRONOGRAMA_BASE'!L9), '01_PRESUPUESTO_CRONOGRAMA_BASE'!M9, 0)</f>
        <v>0</v>
      </c>
      <c r="F223" s="19">
        <f>SUMIFS(E$2:E223, C$2:C223, C223)</f>
        <v>372046.57999999978</v>
      </c>
    </row>
    <row r="224" spans="1:6" ht="19.95" customHeight="1" x14ac:dyDescent="0.3">
      <c r="A224" s="4">
        <v>56</v>
      </c>
      <c r="B224" s="4" t="s">
        <v>114</v>
      </c>
      <c r="C224" s="2" t="s">
        <v>49</v>
      </c>
      <c r="D224" s="3" t="s">
        <v>73</v>
      </c>
      <c r="E224" s="7">
        <f>IF(AND(A224&gt;='01_PRESUPUESTO_CRONOGRAMA_BASE'!K10, A224&lt;='01_PRESUPUESTO_CRONOGRAMA_BASE'!L10), '01_PRESUPUESTO_CRONOGRAMA_BASE'!M10, 0) + IF(AND(A224&gt;='01_PRESUPUESTO_CRONOGRAMA_BASE'!K11, A224&lt;='01_PRESUPUESTO_CRONOGRAMA_BASE'!L11), '01_PRESUPUESTO_CRONOGRAMA_BASE'!M11, 0)</f>
        <v>0</v>
      </c>
      <c r="F224" s="19">
        <f>SUMIFS(E$2:E224, C$2:C224, C224)</f>
        <v>57565.240000000034</v>
      </c>
    </row>
    <row r="225" spans="1:6" ht="19.95" customHeight="1" x14ac:dyDescent="0.3">
      <c r="A225" s="4">
        <v>56</v>
      </c>
      <c r="B225" s="4" t="s">
        <v>114</v>
      </c>
      <c r="C225" s="2" t="s">
        <v>56</v>
      </c>
      <c r="D225" s="3" t="s">
        <v>74</v>
      </c>
      <c r="E225" s="7">
        <f>IF(AND(A225&gt;='01_PRESUPUESTO_CRONOGRAMA_BASE'!K12, A225&lt;='01_PRESUPUESTO_CRONOGRAMA_BASE'!L12), '01_PRESUPUESTO_CRONOGRAMA_BASE'!M12, 0)</f>
        <v>719.08</v>
      </c>
      <c r="F225" s="19">
        <f>SUMIFS(E$2:E225, C$2:C225, C225)</f>
        <v>6471.72</v>
      </c>
    </row>
    <row r="226" spans="1:6" ht="19.95" customHeight="1" x14ac:dyDescent="0.3">
      <c r="A226" s="4">
        <v>57</v>
      </c>
      <c r="B226" s="4" t="s">
        <v>115</v>
      </c>
      <c r="C226" s="2" t="s">
        <v>14</v>
      </c>
      <c r="D226" s="3" t="s">
        <v>71</v>
      </c>
      <c r="E226" s="7">
        <f>IF(AND(A226&gt;='01_PRESUPUESTO_CRONOGRAMA_BASE'!K2, A226&lt;='01_PRESUPUESTO_CRONOGRAMA_BASE'!L2), '01_PRESUPUESTO_CRONOGRAMA_BASE'!M2, 0) + IF(AND(A226&gt;='01_PRESUPUESTO_CRONOGRAMA_BASE'!K3, A226&lt;='01_PRESUPUESTO_CRONOGRAMA_BASE'!L3), '01_PRESUPUESTO_CRONOGRAMA_BASE'!M3, 0)</f>
        <v>0</v>
      </c>
      <c r="F226" s="19">
        <f>SUMIFS(E$2:E226, C$2:C226, C226)</f>
        <v>16336.459999999994</v>
      </c>
    </row>
    <row r="227" spans="1:6" ht="19.95" customHeight="1" x14ac:dyDescent="0.3">
      <c r="A227" s="4">
        <v>57</v>
      </c>
      <c r="B227" s="4" t="s">
        <v>115</v>
      </c>
      <c r="C227" s="2" t="s">
        <v>23</v>
      </c>
      <c r="D227" s="3" t="s">
        <v>72</v>
      </c>
      <c r="E227" s="7">
        <f>IF(AND(A227&gt;='01_PRESUPUESTO_CRONOGRAMA_BASE'!K4, A227&lt;='01_PRESUPUESTO_CRONOGRAMA_BASE'!L4), '01_PRESUPUESTO_CRONOGRAMA_BASE'!M4, 0) + IF(AND(A227&gt;='01_PRESUPUESTO_CRONOGRAMA_BASE'!K5, A227&lt;='01_PRESUPUESTO_CRONOGRAMA_BASE'!L5), '01_PRESUPUESTO_CRONOGRAMA_BASE'!M5, 0) + IF(AND(A227&gt;='01_PRESUPUESTO_CRONOGRAMA_BASE'!K6, A227&lt;='01_PRESUPUESTO_CRONOGRAMA_BASE'!L6), '01_PRESUPUESTO_CRONOGRAMA_BASE'!M6, 0) + IF(AND(A227&gt;='01_PRESUPUESTO_CRONOGRAMA_BASE'!K7, A227&lt;='01_PRESUPUESTO_CRONOGRAMA_BASE'!L7), '01_PRESUPUESTO_CRONOGRAMA_BASE'!M7, 0) + IF(AND(A227&gt;='01_PRESUPUESTO_CRONOGRAMA_BASE'!K8, A227&lt;='01_PRESUPUESTO_CRONOGRAMA_BASE'!L8), '01_PRESUPUESTO_CRONOGRAMA_BASE'!M8, 0) + IF(AND(A227&gt;='01_PRESUPUESTO_CRONOGRAMA_BASE'!K9, A227&lt;='01_PRESUPUESTO_CRONOGRAMA_BASE'!L9), '01_PRESUPUESTO_CRONOGRAMA_BASE'!M9, 0)</f>
        <v>0</v>
      </c>
      <c r="F227" s="19">
        <f>SUMIFS(E$2:E227, C$2:C227, C227)</f>
        <v>372046.57999999978</v>
      </c>
    </row>
    <row r="228" spans="1:6" ht="19.95" customHeight="1" x14ac:dyDescent="0.3">
      <c r="A228" s="4">
        <v>57</v>
      </c>
      <c r="B228" s="4" t="s">
        <v>115</v>
      </c>
      <c r="C228" s="2" t="s">
        <v>49</v>
      </c>
      <c r="D228" s="3" t="s">
        <v>73</v>
      </c>
      <c r="E228" s="7">
        <f>IF(AND(A228&gt;='01_PRESUPUESTO_CRONOGRAMA_BASE'!K10, A228&lt;='01_PRESUPUESTO_CRONOGRAMA_BASE'!L10), '01_PRESUPUESTO_CRONOGRAMA_BASE'!M10, 0) + IF(AND(A228&gt;='01_PRESUPUESTO_CRONOGRAMA_BASE'!K11, A228&lt;='01_PRESUPUESTO_CRONOGRAMA_BASE'!L11), '01_PRESUPUESTO_CRONOGRAMA_BASE'!M11, 0)</f>
        <v>0</v>
      </c>
      <c r="F228" s="19">
        <f>SUMIFS(E$2:E228, C$2:C228, C228)</f>
        <v>57565.240000000034</v>
      </c>
    </row>
    <row r="229" spans="1:6" ht="19.95" customHeight="1" x14ac:dyDescent="0.3">
      <c r="A229" s="4">
        <v>57</v>
      </c>
      <c r="B229" s="4" t="s">
        <v>115</v>
      </c>
      <c r="C229" s="2" t="s">
        <v>56</v>
      </c>
      <c r="D229" s="3" t="s">
        <v>74</v>
      </c>
      <c r="E229" s="7">
        <f>IF(AND(A229&gt;='01_PRESUPUESTO_CRONOGRAMA_BASE'!K12, A229&lt;='01_PRESUPUESTO_CRONOGRAMA_BASE'!L12), '01_PRESUPUESTO_CRONOGRAMA_BASE'!M12, 0)</f>
        <v>719.08</v>
      </c>
      <c r="F229" s="19">
        <f>SUMIFS(E$2:E229, C$2:C229, C229)</f>
        <v>7190.8</v>
      </c>
    </row>
    <row r="230" spans="1:6" ht="19.95" customHeight="1" x14ac:dyDescent="0.3">
      <c r="A230" s="4">
        <v>58</v>
      </c>
      <c r="B230" s="4" t="s">
        <v>116</v>
      </c>
      <c r="C230" s="2" t="s">
        <v>14</v>
      </c>
      <c r="D230" s="3" t="s">
        <v>71</v>
      </c>
      <c r="E230" s="7">
        <f>IF(AND(A230&gt;='01_PRESUPUESTO_CRONOGRAMA_BASE'!K2, A230&lt;='01_PRESUPUESTO_CRONOGRAMA_BASE'!L2), '01_PRESUPUESTO_CRONOGRAMA_BASE'!M2, 0) + IF(AND(A230&gt;='01_PRESUPUESTO_CRONOGRAMA_BASE'!K3, A230&lt;='01_PRESUPUESTO_CRONOGRAMA_BASE'!L3), '01_PRESUPUESTO_CRONOGRAMA_BASE'!M3, 0)</f>
        <v>0</v>
      </c>
      <c r="F230" s="19">
        <f>SUMIFS(E$2:E230, C$2:C230, C230)</f>
        <v>16336.459999999994</v>
      </c>
    </row>
    <row r="231" spans="1:6" ht="19.95" customHeight="1" x14ac:dyDescent="0.3">
      <c r="A231" s="4">
        <v>58</v>
      </c>
      <c r="B231" s="4" t="s">
        <v>116</v>
      </c>
      <c r="C231" s="2" t="s">
        <v>23</v>
      </c>
      <c r="D231" s="3" t="s">
        <v>72</v>
      </c>
      <c r="E231" s="7">
        <f>IF(AND(A231&gt;='01_PRESUPUESTO_CRONOGRAMA_BASE'!K4, A231&lt;='01_PRESUPUESTO_CRONOGRAMA_BASE'!L4), '01_PRESUPUESTO_CRONOGRAMA_BASE'!M4, 0) + IF(AND(A231&gt;='01_PRESUPUESTO_CRONOGRAMA_BASE'!K5, A231&lt;='01_PRESUPUESTO_CRONOGRAMA_BASE'!L5), '01_PRESUPUESTO_CRONOGRAMA_BASE'!M5, 0) + IF(AND(A231&gt;='01_PRESUPUESTO_CRONOGRAMA_BASE'!K6, A231&lt;='01_PRESUPUESTO_CRONOGRAMA_BASE'!L6), '01_PRESUPUESTO_CRONOGRAMA_BASE'!M6, 0) + IF(AND(A231&gt;='01_PRESUPUESTO_CRONOGRAMA_BASE'!K7, A231&lt;='01_PRESUPUESTO_CRONOGRAMA_BASE'!L7), '01_PRESUPUESTO_CRONOGRAMA_BASE'!M7, 0) + IF(AND(A231&gt;='01_PRESUPUESTO_CRONOGRAMA_BASE'!K8, A231&lt;='01_PRESUPUESTO_CRONOGRAMA_BASE'!L8), '01_PRESUPUESTO_CRONOGRAMA_BASE'!M8, 0) + IF(AND(A231&gt;='01_PRESUPUESTO_CRONOGRAMA_BASE'!K9, A231&lt;='01_PRESUPUESTO_CRONOGRAMA_BASE'!L9), '01_PRESUPUESTO_CRONOGRAMA_BASE'!M9, 0)</f>
        <v>0</v>
      </c>
      <c r="F231" s="19">
        <f>SUMIFS(E$2:E231, C$2:C231, C231)</f>
        <v>372046.57999999978</v>
      </c>
    </row>
    <row r="232" spans="1:6" ht="19.95" customHeight="1" x14ac:dyDescent="0.3">
      <c r="A232" s="4">
        <v>58</v>
      </c>
      <c r="B232" s="4" t="s">
        <v>116</v>
      </c>
      <c r="C232" s="2" t="s">
        <v>49</v>
      </c>
      <c r="D232" s="3" t="s">
        <v>73</v>
      </c>
      <c r="E232" s="7">
        <f>IF(AND(A232&gt;='01_PRESUPUESTO_CRONOGRAMA_BASE'!K10, A232&lt;='01_PRESUPUESTO_CRONOGRAMA_BASE'!L10), '01_PRESUPUESTO_CRONOGRAMA_BASE'!M10, 0) + IF(AND(A232&gt;='01_PRESUPUESTO_CRONOGRAMA_BASE'!K11, A232&lt;='01_PRESUPUESTO_CRONOGRAMA_BASE'!L11), '01_PRESUPUESTO_CRONOGRAMA_BASE'!M11, 0)</f>
        <v>0</v>
      </c>
      <c r="F232" s="19">
        <f>SUMIFS(E$2:E232, C$2:C232, C232)</f>
        <v>57565.240000000034</v>
      </c>
    </row>
    <row r="233" spans="1:6" ht="19.95" customHeight="1" x14ac:dyDescent="0.3">
      <c r="A233" s="4">
        <v>58</v>
      </c>
      <c r="B233" s="4" t="s">
        <v>116</v>
      </c>
      <c r="C233" s="2" t="s">
        <v>56</v>
      </c>
      <c r="D233" s="3" t="s">
        <v>74</v>
      </c>
      <c r="E233" s="7">
        <f>IF(AND(A233&gt;='01_PRESUPUESTO_CRONOGRAMA_BASE'!K12, A233&lt;='01_PRESUPUESTO_CRONOGRAMA_BASE'!L12), '01_PRESUPUESTO_CRONOGRAMA_BASE'!M12, 0)</f>
        <v>719.08</v>
      </c>
      <c r="F233" s="19">
        <f>SUMIFS(E$2:E233, C$2:C233, C233)</f>
        <v>7909.88</v>
      </c>
    </row>
    <row r="234" spans="1:6" ht="19.95" customHeight="1" x14ac:dyDescent="0.3">
      <c r="A234" s="4">
        <v>59</v>
      </c>
      <c r="B234" s="4" t="s">
        <v>117</v>
      </c>
      <c r="C234" s="2" t="s">
        <v>14</v>
      </c>
      <c r="D234" s="3" t="s">
        <v>71</v>
      </c>
      <c r="E234" s="7">
        <f>IF(AND(A234&gt;='01_PRESUPUESTO_CRONOGRAMA_BASE'!K2, A234&lt;='01_PRESUPUESTO_CRONOGRAMA_BASE'!L2), '01_PRESUPUESTO_CRONOGRAMA_BASE'!M2, 0) + IF(AND(A234&gt;='01_PRESUPUESTO_CRONOGRAMA_BASE'!K3, A234&lt;='01_PRESUPUESTO_CRONOGRAMA_BASE'!L3), '01_PRESUPUESTO_CRONOGRAMA_BASE'!M3, 0)</f>
        <v>0</v>
      </c>
      <c r="F234" s="19">
        <f>SUMIFS(E$2:E234, C$2:C234, C234)</f>
        <v>16336.459999999994</v>
      </c>
    </row>
    <row r="235" spans="1:6" ht="19.95" customHeight="1" x14ac:dyDescent="0.3">
      <c r="A235" s="4">
        <v>59</v>
      </c>
      <c r="B235" s="4" t="s">
        <v>117</v>
      </c>
      <c r="C235" s="2" t="s">
        <v>23</v>
      </c>
      <c r="D235" s="3" t="s">
        <v>72</v>
      </c>
      <c r="E235" s="7">
        <f>IF(AND(A235&gt;='01_PRESUPUESTO_CRONOGRAMA_BASE'!K4, A235&lt;='01_PRESUPUESTO_CRONOGRAMA_BASE'!L4), '01_PRESUPUESTO_CRONOGRAMA_BASE'!M4, 0) + IF(AND(A235&gt;='01_PRESUPUESTO_CRONOGRAMA_BASE'!K5, A235&lt;='01_PRESUPUESTO_CRONOGRAMA_BASE'!L5), '01_PRESUPUESTO_CRONOGRAMA_BASE'!M5, 0) + IF(AND(A235&gt;='01_PRESUPUESTO_CRONOGRAMA_BASE'!K6, A235&lt;='01_PRESUPUESTO_CRONOGRAMA_BASE'!L6), '01_PRESUPUESTO_CRONOGRAMA_BASE'!M6, 0) + IF(AND(A235&gt;='01_PRESUPUESTO_CRONOGRAMA_BASE'!K7, A235&lt;='01_PRESUPUESTO_CRONOGRAMA_BASE'!L7), '01_PRESUPUESTO_CRONOGRAMA_BASE'!M7, 0) + IF(AND(A235&gt;='01_PRESUPUESTO_CRONOGRAMA_BASE'!K8, A235&lt;='01_PRESUPUESTO_CRONOGRAMA_BASE'!L8), '01_PRESUPUESTO_CRONOGRAMA_BASE'!M8, 0) + IF(AND(A235&gt;='01_PRESUPUESTO_CRONOGRAMA_BASE'!K9, A235&lt;='01_PRESUPUESTO_CRONOGRAMA_BASE'!L9), '01_PRESUPUESTO_CRONOGRAMA_BASE'!M9, 0)</f>
        <v>0</v>
      </c>
      <c r="F235" s="19">
        <f>SUMIFS(E$2:E235, C$2:C235, C235)</f>
        <v>372046.57999999978</v>
      </c>
    </row>
    <row r="236" spans="1:6" ht="19.95" customHeight="1" x14ac:dyDescent="0.3">
      <c r="A236" s="4">
        <v>59</v>
      </c>
      <c r="B236" s="4" t="s">
        <v>117</v>
      </c>
      <c r="C236" s="2" t="s">
        <v>49</v>
      </c>
      <c r="D236" s="3" t="s">
        <v>73</v>
      </c>
      <c r="E236" s="7">
        <f>IF(AND(A236&gt;='01_PRESUPUESTO_CRONOGRAMA_BASE'!K10, A236&lt;='01_PRESUPUESTO_CRONOGRAMA_BASE'!L10), '01_PRESUPUESTO_CRONOGRAMA_BASE'!M10, 0) + IF(AND(A236&gt;='01_PRESUPUESTO_CRONOGRAMA_BASE'!K11, A236&lt;='01_PRESUPUESTO_CRONOGRAMA_BASE'!L11), '01_PRESUPUESTO_CRONOGRAMA_BASE'!M11, 0)</f>
        <v>0</v>
      </c>
      <c r="F236" s="19">
        <f>SUMIFS(E$2:E236, C$2:C236, C236)</f>
        <v>57565.240000000034</v>
      </c>
    </row>
    <row r="237" spans="1:6" ht="19.95" customHeight="1" x14ac:dyDescent="0.3">
      <c r="A237" s="4">
        <v>59</v>
      </c>
      <c r="B237" s="4" t="s">
        <v>117</v>
      </c>
      <c r="C237" s="2" t="s">
        <v>56</v>
      </c>
      <c r="D237" s="3" t="s">
        <v>74</v>
      </c>
      <c r="E237" s="7">
        <f>IF(AND(A237&gt;='01_PRESUPUESTO_CRONOGRAMA_BASE'!K12, A237&lt;='01_PRESUPUESTO_CRONOGRAMA_BASE'!L12), '01_PRESUPUESTO_CRONOGRAMA_BASE'!M12, 0)</f>
        <v>719.08</v>
      </c>
      <c r="F237" s="19">
        <f>SUMIFS(E$2:E237, C$2:C237, C237)</f>
        <v>8628.9600000000009</v>
      </c>
    </row>
    <row r="238" spans="1:6" ht="19.95" customHeight="1" x14ac:dyDescent="0.3">
      <c r="A238" s="4">
        <v>60</v>
      </c>
      <c r="B238" s="4" t="s">
        <v>59</v>
      </c>
      <c r="C238" s="2" t="s">
        <v>14</v>
      </c>
      <c r="D238" s="3" t="s">
        <v>71</v>
      </c>
      <c r="E238" s="7">
        <f>IF(AND(A238&gt;='01_PRESUPUESTO_CRONOGRAMA_BASE'!K2, A238&lt;='01_PRESUPUESTO_CRONOGRAMA_BASE'!L2), '01_PRESUPUESTO_CRONOGRAMA_BASE'!M2, 0) + IF(AND(A238&gt;='01_PRESUPUESTO_CRONOGRAMA_BASE'!K3, A238&lt;='01_PRESUPUESTO_CRONOGRAMA_BASE'!L3), '01_PRESUPUESTO_CRONOGRAMA_BASE'!M3, 0)</f>
        <v>0</v>
      </c>
      <c r="F238" s="19">
        <f>SUMIFS(E$2:E238, C$2:C238, C238)</f>
        <v>16336.459999999994</v>
      </c>
    </row>
    <row r="239" spans="1:6" ht="19.95" customHeight="1" x14ac:dyDescent="0.3">
      <c r="A239" s="4">
        <v>60</v>
      </c>
      <c r="B239" s="4" t="s">
        <v>59</v>
      </c>
      <c r="C239" s="2" t="s">
        <v>23</v>
      </c>
      <c r="D239" s="3" t="s">
        <v>72</v>
      </c>
      <c r="E239" s="7">
        <f>IF(AND(A239&gt;='01_PRESUPUESTO_CRONOGRAMA_BASE'!K4, A239&lt;='01_PRESUPUESTO_CRONOGRAMA_BASE'!L4), '01_PRESUPUESTO_CRONOGRAMA_BASE'!M4, 0) + IF(AND(A239&gt;='01_PRESUPUESTO_CRONOGRAMA_BASE'!K5, A239&lt;='01_PRESUPUESTO_CRONOGRAMA_BASE'!L5), '01_PRESUPUESTO_CRONOGRAMA_BASE'!M5, 0) + IF(AND(A239&gt;='01_PRESUPUESTO_CRONOGRAMA_BASE'!K6, A239&lt;='01_PRESUPUESTO_CRONOGRAMA_BASE'!L6), '01_PRESUPUESTO_CRONOGRAMA_BASE'!M6, 0) + IF(AND(A239&gt;='01_PRESUPUESTO_CRONOGRAMA_BASE'!K7, A239&lt;='01_PRESUPUESTO_CRONOGRAMA_BASE'!L7), '01_PRESUPUESTO_CRONOGRAMA_BASE'!M7, 0) + IF(AND(A239&gt;='01_PRESUPUESTO_CRONOGRAMA_BASE'!K8, A239&lt;='01_PRESUPUESTO_CRONOGRAMA_BASE'!L8), '01_PRESUPUESTO_CRONOGRAMA_BASE'!M8, 0) + IF(AND(A239&gt;='01_PRESUPUESTO_CRONOGRAMA_BASE'!K9, A239&lt;='01_PRESUPUESTO_CRONOGRAMA_BASE'!L9), '01_PRESUPUESTO_CRONOGRAMA_BASE'!M9, 0)</f>
        <v>0</v>
      </c>
      <c r="F239" s="19">
        <f>SUMIFS(E$2:E239, C$2:C239, C239)</f>
        <v>372046.57999999978</v>
      </c>
    </row>
    <row r="240" spans="1:6" ht="19.95" customHeight="1" x14ac:dyDescent="0.3">
      <c r="A240" s="4">
        <v>60</v>
      </c>
      <c r="B240" s="4" t="s">
        <v>59</v>
      </c>
      <c r="C240" s="2" t="s">
        <v>49</v>
      </c>
      <c r="D240" s="3" t="s">
        <v>73</v>
      </c>
      <c r="E240" s="7">
        <f>IF(AND(A240&gt;='01_PRESUPUESTO_CRONOGRAMA_BASE'!K10, A240&lt;='01_PRESUPUESTO_CRONOGRAMA_BASE'!L10), '01_PRESUPUESTO_CRONOGRAMA_BASE'!M10, 0) + IF(AND(A240&gt;='01_PRESUPUESTO_CRONOGRAMA_BASE'!K11, A240&lt;='01_PRESUPUESTO_CRONOGRAMA_BASE'!L11), '01_PRESUPUESTO_CRONOGRAMA_BASE'!M11, 0)</f>
        <v>0</v>
      </c>
      <c r="F240" s="19">
        <f>SUMIFS(E$2:E240, C$2:C240, C240)</f>
        <v>57565.240000000034</v>
      </c>
    </row>
    <row r="241" spans="1:6" ht="19.95" customHeight="1" x14ac:dyDescent="0.3">
      <c r="A241" s="4">
        <v>60</v>
      </c>
      <c r="B241" s="4" t="s">
        <v>59</v>
      </c>
      <c r="C241" s="2" t="s">
        <v>56</v>
      </c>
      <c r="D241" s="3" t="s">
        <v>74</v>
      </c>
      <c r="E241" s="7">
        <f>IF(AND(A241&gt;='01_PRESUPUESTO_CRONOGRAMA_BASE'!K12, A241&lt;='01_PRESUPUESTO_CRONOGRAMA_BASE'!L12), '01_PRESUPUESTO_CRONOGRAMA_BASE'!M12, 0)</f>
        <v>719.08</v>
      </c>
      <c r="F241" s="19">
        <f>SUMIFS(E$2:E241, C$2:C241, C241)</f>
        <v>9348.0400000000009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41"/>
  <sheetViews>
    <sheetView workbookViewId="0">
      <selection activeCell="H5" sqref="H5"/>
    </sheetView>
  </sheetViews>
  <sheetFormatPr baseColWidth="10" defaultColWidth="8.88671875" defaultRowHeight="14.4" x14ac:dyDescent="0.3"/>
  <cols>
    <col min="1" max="2" width="12" customWidth="1"/>
    <col min="3" max="3" width="14" customWidth="1"/>
    <col min="4" max="4" width="36" customWidth="1"/>
    <col min="5" max="13" width="15" customWidth="1"/>
    <col min="14" max="15" width="10" customWidth="1"/>
    <col min="16" max="16" width="18" customWidth="1"/>
  </cols>
  <sheetData>
    <row r="1" spans="1:16" ht="36" customHeight="1" x14ac:dyDescent="0.3">
      <c r="A1" s="20" t="s">
        <v>66</v>
      </c>
      <c r="B1" s="20" t="s">
        <v>67</v>
      </c>
      <c r="C1" s="20" t="s">
        <v>1</v>
      </c>
      <c r="D1" s="20" t="s">
        <v>68</v>
      </c>
      <c r="E1" s="20" t="s">
        <v>118</v>
      </c>
      <c r="F1" s="20" t="s">
        <v>119</v>
      </c>
      <c r="G1" s="20" t="s">
        <v>120</v>
      </c>
      <c r="H1" s="20" t="s">
        <v>121</v>
      </c>
      <c r="I1" s="20" t="s">
        <v>122</v>
      </c>
      <c r="J1" s="20" t="s">
        <v>123</v>
      </c>
      <c r="K1" s="20" t="s">
        <v>124</v>
      </c>
      <c r="L1" s="20" t="s">
        <v>125</v>
      </c>
      <c r="M1" s="20" t="s">
        <v>126</v>
      </c>
      <c r="N1" s="20" t="s">
        <v>127</v>
      </c>
      <c r="O1" s="20" t="s">
        <v>128</v>
      </c>
      <c r="P1" s="20" t="s">
        <v>129</v>
      </c>
    </row>
    <row r="2" spans="1:16" ht="19.95" customHeight="1" x14ac:dyDescent="0.3">
      <c r="A2" s="4">
        <v>1</v>
      </c>
      <c r="B2" s="4" t="s">
        <v>17</v>
      </c>
      <c r="C2" s="2" t="s">
        <v>14</v>
      </c>
      <c r="D2" s="3" t="s">
        <v>71</v>
      </c>
      <c r="E2" s="6">
        <f>SUM('01_PRESUPUESTO_CRONOGRAMA_BASE'!G2:G3)</f>
        <v>16336.4</v>
      </c>
      <c r="F2" s="6">
        <f>SUMIFS('02_CRONOGRAMA_PV_DIARIO'!E:E, '02_CRONOGRAMA_PV_DIARIO'!A:A, A2, '02_CRONOGRAMA_PV_DIARIO'!C:C, C2)</f>
        <v>1166.8899999999999</v>
      </c>
      <c r="G2" s="6">
        <f>SUMIFS(F$2:F2, C$2:C2, C2)</f>
        <v>1166.8899999999999</v>
      </c>
      <c r="H2" s="6">
        <f>SUMIFS('04_LOG_FIELD_ENTRIES'!J:J, '04_LOG_FIELD_ENTRIES'!B:B, B2, '04_LOG_FIELD_ENTRIES'!D:D, C2, '04_LOG_FIELD_ENTRIES'!K:K, "EV_PRODUCCION")</f>
        <v>5823.2</v>
      </c>
      <c r="I2" s="6">
        <f>SUMIFS(H$2:H2, C$2:C2, C2)</f>
        <v>5823.2</v>
      </c>
      <c r="J2" s="6">
        <f>SUMIFS('04_LOG_FIELD_ENTRIES'!J:J, '04_LOG_FIELD_ENTRIES'!B:B, B2, '04_LOG_FIELD_ENTRIES'!D:D, C2, '04_LOG_FIELD_ENTRIES'!K:K, "AC_*")</f>
        <v>6331</v>
      </c>
      <c r="K2" s="6">
        <f>SUMIFS(J$2:J2, C$2:C2, C2)</f>
        <v>6331</v>
      </c>
      <c r="L2" s="6">
        <f t="shared" ref="L2:L65" si="0">I2-K2</f>
        <v>-507.80000000000018</v>
      </c>
      <c r="M2" s="6">
        <f t="shared" ref="M2:M65" si="1">I2-G2</f>
        <v>4656.3099999999995</v>
      </c>
      <c r="N2" s="21">
        <f t="shared" ref="N2:N65" si="2">IF(G2&gt;0, I2/G2, 1)</f>
        <v>4.9903589884222166</v>
      </c>
      <c r="O2" s="21">
        <f t="shared" ref="O2:O65" si="3">IF(K2&gt;0, I2/K2, 1)</f>
        <v>0.91979150213236449</v>
      </c>
      <c r="P2" s="2" t="str">
        <f t="shared" ref="P2:P65" si="4">IF(AND(N2&gt;=0.95, O2&gt;=0.95), "SALUDABLE", IF(N2&lt;0.9, "ALERTA RETRASO", "ALERTA SOBRECOSTO"))</f>
        <v>ALERTA SOBRECOSTO</v>
      </c>
    </row>
    <row r="3" spans="1:16" ht="19.95" customHeight="1" x14ac:dyDescent="0.3">
      <c r="A3" s="4">
        <v>1</v>
      </c>
      <c r="B3" s="4" t="s">
        <v>17</v>
      </c>
      <c r="C3" s="2" t="s">
        <v>23</v>
      </c>
      <c r="D3" s="3" t="s">
        <v>72</v>
      </c>
      <c r="E3" s="6">
        <f>SUM('01_PRESUPUESTO_CRONOGRAMA_BASE'!G4:G9)</f>
        <v>372046.56</v>
      </c>
      <c r="F3" s="6">
        <f>SUMIFS('02_CRONOGRAMA_PV_DIARIO'!E:E, '02_CRONOGRAMA_PV_DIARIO'!A:A, A3, '02_CRONOGRAMA_PV_DIARIO'!C:C, C3)</f>
        <v>0</v>
      </c>
      <c r="G3" s="6">
        <f>SUMIFS(F$2:F3, C$2:C3, C3)</f>
        <v>0</v>
      </c>
      <c r="H3" s="6">
        <f>SUMIFS('04_LOG_FIELD_ENTRIES'!J:J, '04_LOG_FIELD_ENTRIES'!B:B, B3, '04_LOG_FIELD_ENTRIES'!D:D, C3, '04_LOG_FIELD_ENTRIES'!K:K, "EV_PRODUCCION")</f>
        <v>0</v>
      </c>
      <c r="I3" s="6">
        <f>SUMIFS(H$2:H3, C$2:C3, C3)</f>
        <v>0</v>
      </c>
      <c r="J3" s="6">
        <f>SUMIFS('04_LOG_FIELD_ENTRIES'!J:J, '04_LOG_FIELD_ENTRIES'!B:B, B3, '04_LOG_FIELD_ENTRIES'!D:D, C3, '04_LOG_FIELD_ENTRIES'!K:K, "AC_*")</f>
        <v>0</v>
      </c>
      <c r="K3" s="6">
        <f>SUMIFS(J$2:J3, C$2:C3, C3)</f>
        <v>0</v>
      </c>
      <c r="L3" s="6">
        <f t="shared" si="0"/>
        <v>0</v>
      </c>
      <c r="M3" s="6">
        <f t="shared" si="1"/>
        <v>0</v>
      </c>
      <c r="N3" s="21">
        <f t="shared" si="2"/>
        <v>1</v>
      </c>
      <c r="O3" s="21">
        <f t="shared" si="3"/>
        <v>1</v>
      </c>
      <c r="P3" s="2" t="str">
        <f t="shared" si="4"/>
        <v>SALUDABLE</v>
      </c>
    </row>
    <row r="4" spans="1:16" ht="19.95" customHeight="1" x14ac:dyDescent="0.3">
      <c r="A4" s="4">
        <v>1</v>
      </c>
      <c r="B4" s="4" t="s">
        <v>17</v>
      </c>
      <c r="C4" s="2" t="s">
        <v>49</v>
      </c>
      <c r="D4" s="3" t="s">
        <v>73</v>
      </c>
      <c r="E4" s="6">
        <f>SUM('01_PRESUPUESTO_CRONOGRAMA_BASE'!G10:G11)</f>
        <v>57565.2</v>
      </c>
      <c r="F4" s="6">
        <f>SUMIFS('02_CRONOGRAMA_PV_DIARIO'!E:E, '02_CRONOGRAMA_PV_DIARIO'!A:A, A4, '02_CRONOGRAMA_PV_DIARIO'!C:C, C4)</f>
        <v>0</v>
      </c>
      <c r="G4" s="6">
        <f>SUMIFS(F$2:F4, C$2:C4, C4)</f>
        <v>0</v>
      </c>
      <c r="H4" s="6">
        <f>SUMIFS('04_LOG_FIELD_ENTRIES'!J:J, '04_LOG_FIELD_ENTRIES'!B:B, B4, '04_LOG_FIELD_ENTRIES'!D:D, C4, '04_LOG_FIELD_ENTRIES'!K:K, "EV_PRODUCCION")</f>
        <v>0</v>
      </c>
      <c r="I4" s="6">
        <f>SUMIFS(H$2:H4, C$2:C4, C4)</f>
        <v>0</v>
      </c>
      <c r="J4" s="6">
        <f>SUMIFS('04_LOG_FIELD_ENTRIES'!J:J, '04_LOG_FIELD_ENTRIES'!B:B, B4, '04_LOG_FIELD_ENTRIES'!D:D, C4, '04_LOG_FIELD_ENTRIES'!K:K, "AC_*")</f>
        <v>0</v>
      </c>
      <c r="K4" s="6">
        <f>SUMIFS(J$2:J4, C$2:C4, C4)</f>
        <v>0</v>
      </c>
      <c r="L4" s="6">
        <f t="shared" si="0"/>
        <v>0</v>
      </c>
      <c r="M4" s="6">
        <f t="shared" si="1"/>
        <v>0</v>
      </c>
      <c r="N4" s="21">
        <f t="shared" si="2"/>
        <v>1</v>
      </c>
      <c r="O4" s="21">
        <f t="shared" si="3"/>
        <v>1</v>
      </c>
      <c r="P4" s="2" t="str">
        <f t="shared" si="4"/>
        <v>SALUDABLE</v>
      </c>
    </row>
    <row r="5" spans="1:16" ht="19.95" customHeight="1" x14ac:dyDescent="0.3">
      <c r="A5" s="4">
        <v>1</v>
      </c>
      <c r="B5" s="4" t="s">
        <v>17</v>
      </c>
      <c r="C5" s="2" t="s">
        <v>56</v>
      </c>
      <c r="D5" s="3" t="s">
        <v>74</v>
      </c>
      <c r="E5" s="6">
        <f>SUM('01_PRESUPUESTO_CRONOGRAMA_BASE'!G12:G12)</f>
        <v>9348.06</v>
      </c>
      <c r="F5" s="6">
        <f>SUMIFS('02_CRONOGRAMA_PV_DIARIO'!E:E, '02_CRONOGRAMA_PV_DIARIO'!A:A, A5, '02_CRONOGRAMA_PV_DIARIO'!C:C, C5)</f>
        <v>0</v>
      </c>
      <c r="G5" s="6">
        <f>SUMIFS(F$2:F5, C$2:C5, C5)</f>
        <v>0</v>
      </c>
      <c r="H5" s="6">
        <f>SUMIFS('04_LOG_FIELD_ENTRIES'!J:J, '04_LOG_FIELD_ENTRIES'!B:B, B5, '04_LOG_FIELD_ENTRIES'!D:D, C5, '04_LOG_FIELD_ENTRIES'!K:K, "EV_PRODUCCION")</f>
        <v>0</v>
      </c>
      <c r="I5" s="6">
        <f>SUMIFS(H$2:H5, C$2:C5, C5)</f>
        <v>0</v>
      </c>
      <c r="J5" s="6">
        <f>SUMIFS('04_LOG_FIELD_ENTRIES'!J:J, '04_LOG_FIELD_ENTRIES'!B:B, B5, '04_LOG_FIELD_ENTRIES'!D:D, C5, '04_LOG_FIELD_ENTRIES'!K:K, "AC_*")</f>
        <v>0</v>
      </c>
      <c r="K5" s="6">
        <f>SUMIFS(J$2:J5, C$2:C5, C5)</f>
        <v>0</v>
      </c>
      <c r="L5" s="6">
        <f t="shared" si="0"/>
        <v>0</v>
      </c>
      <c r="M5" s="6">
        <f t="shared" si="1"/>
        <v>0</v>
      </c>
      <c r="N5" s="21">
        <f t="shared" si="2"/>
        <v>1</v>
      </c>
      <c r="O5" s="21">
        <f t="shared" si="3"/>
        <v>1</v>
      </c>
      <c r="P5" s="2" t="str">
        <f t="shared" si="4"/>
        <v>SALUDABLE</v>
      </c>
    </row>
    <row r="6" spans="1:16" ht="19.95" customHeight="1" x14ac:dyDescent="0.3">
      <c r="A6" s="4">
        <v>2</v>
      </c>
      <c r="B6" s="4" t="s">
        <v>75</v>
      </c>
      <c r="C6" s="2" t="s">
        <v>14</v>
      </c>
      <c r="D6" s="3" t="s">
        <v>71</v>
      </c>
      <c r="E6" s="6">
        <f>SUM('01_PRESUPUESTO_CRONOGRAMA_BASE'!G2:G3)</f>
        <v>16336.4</v>
      </c>
      <c r="F6" s="6">
        <f>SUMIFS('02_CRONOGRAMA_PV_DIARIO'!E:E, '02_CRONOGRAMA_PV_DIARIO'!A:A, A6, '02_CRONOGRAMA_PV_DIARIO'!C:C, C6)</f>
        <v>1166.8899999999999</v>
      </c>
      <c r="G6" s="6">
        <f>SUMIFS(F$2:F6, C$2:C6, C6)</f>
        <v>2333.7799999999997</v>
      </c>
      <c r="H6" s="6">
        <f>SUMIFS('04_LOG_FIELD_ENTRIES'!J:J, '04_LOG_FIELD_ENTRIES'!B:B, B6, '04_LOG_FIELD_ENTRIES'!D:D, C6, '04_LOG_FIELD_ENTRIES'!K:K, "EV_PRODUCCION")</f>
        <v>0</v>
      </c>
      <c r="I6" s="6">
        <f>SUMIFS(H$2:H6, C$2:C6, C6)</f>
        <v>5823.2</v>
      </c>
      <c r="J6" s="6">
        <f>SUMIFS('04_LOG_FIELD_ENTRIES'!J:J, '04_LOG_FIELD_ENTRIES'!B:B, B6, '04_LOG_FIELD_ENTRIES'!D:D, C6, '04_LOG_FIELD_ENTRIES'!K:K, "AC_*")</f>
        <v>0</v>
      </c>
      <c r="K6" s="6">
        <f>SUMIFS(J$2:J6, C$2:C6, C6)</f>
        <v>6331</v>
      </c>
      <c r="L6" s="6">
        <f t="shared" si="0"/>
        <v>-507.80000000000018</v>
      </c>
      <c r="M6" s="6">
        <f t="shared" si="1"/>
        <v>3489.42</v>
      </c>
      <c r="N6" s="21">
        <f t="shared" si="2"/>
        <v>2.4951794942111083</v>
      </c>
      <c r="O6" s="21">
        <f t="shared" si="3"/>
        <v>0.91979150213236449</v>
      </c>
      <c r="P6" s="2" t="str">
        <f t="shared" si="4"/>
        <v>ALERTA SOBRECOSTO</v>
      </c>
    </row>
    <row r="7" spans="1:16" ht="19.95" customHeight="1" x14ac:dyDescent="0.3">
      <c r="A7" s="4">
        <v>2</v>
      </c>
      <c r="B7" s="4" t="s">
        <v>75</v>
      </c>
      <c r="C7" s="2" t="s">
        <v>23</v>
      </c>
      <c r="D7" s="3" t="s">
        <v>72</v>
      </c>
      <c r="E7" s="6">
        <f>SUM('01_PRESUPUESTO_CRONOGRAMA_BASE'!G4:G9)</f>
        <v>372046.56</v>
      </c>
      <c r="F7" s="6">
        <f>SUMIFS('02_CRONOGRAMA_PV_DIARIO'!E:E, '02_CRONOGRAMA_PV_DIARIO'!A:A, A7, '02_CRONOGRAMA_PV_DIARIO'!C:C, C7)</f>
        <v>0</v>
      </c>
      <c r="G7" s="6">
        <f>SUMIFS(F$2:F7, C$2:C7, C7)</f>
        <v>0</v>
      </c>
      <c r="H7" s="6">
        <f>SUMIFS('04_LOG_FIELD_ENTRIES'!J:J, '04_LOG_FIELD_ENTRIES'!B:B, B7, '04_LOG_FIELD_ENTRIES'!D:D, C7, '04_LOG_FIELD_ENTRIES'!K:K, "EV_PRODUCCION")</f>
        <v>8583</v>
      </c>
      <c r="I7" s="6">
        <f>SUMIFS(H$2:H7, C$2:C7, C7)</f>
        <v>8583</v>
      </c>
      <c r="J7" s="6">
        <f>SUMIFS('04_LOG_FIELD_ENTRIES'!J:J, '04_LOG_FIELD_ENTRIES'!B:B, B7, '04_LOG_FIELD_ENTRIES'!D:D, C7, '04_LOG_FIELD_ENTRIES'!K:K, "AC_*")</f>
        <v>4923</v>
      </c>
      <c r="K7" s="6">
        <f>SUMIFS(J$2:J7, C$2:C7, C7)</f>
        <v>4923</v>
      </c>
      <c r="L7" s="6">
        <f t="shared" si="0"/>
        <v>3660</v>
      </c>
      <c r="M7" s="6">
        <f t="shared" si="1"/>
        <v>8583</v>
      </c>
      <c r="N7" s="21">
        <f t="shared" si="2"/>
        <v>1</v>
      </c>
      <c r="O7" s="21">
        <f t="shared" si="3"/>
        <v>1.7434491163924437</v>
      </c>
      <c r="P7" s="2" t="str">
        <f t="shared" si="4"/>
        <v>SALUDABLE</v>
      </c>
    </row>
    <row r="8" spans="1:16" ht="19.95" customHeight="1" x14ac:dyDescent="0.3">
      <c r="A8" s="4">
        <v>2</v>
      </c>
      <c r="B8" s="4" t="s">
        <v>75</v>
      </c>
      <c r="C8" s="2" t="s">
        <v>49</v>
      </c>
      <c r="D8" s="3" t="s">
        <v>73</v>
      </c>
      <c r="E8" s="6">
        <f>SUM('01_PRESUPUESTO_CRONOGRAMA_BASE'!G10:G11)</f>
        <v>57565.2</v>
      </c>
      <c r="F8" s="6">
        <f>SUMIFS('02_CRONOGRAMA_PV_DIARIO'!E:E, '02_CRONOGRAMA_PV_DIARIO'!A:A, A8, '02_CRONOGRAMA_PV_DIARIO'!C:C, C8)</f>
        <v>0</v>
      </c>
      <c r="G8" s="6">
        <f>SUMIFS(F$2:F8, C$2:C8, C8)</f>
        <v>0</v>
      </c>
      <c r="H8" s="6">
        <f>SUMIFS('04_LOG_FIELD_ENTRIES'!J:J, '04_LOG_FIELD_ENTRIES'!B:B, B8, '04_LOG_FIELD_ENTRIES'!D:D, C8, '04_LOG_FIELD_ENTRIES'!K:K, "EV_PRODUCCION")</f>
        <v>0</v>
      </c>
      <c r="I8" s="6">
        <f>SUMIFS(H$2:H8, C$2:C8, C8)</f>
        <v>0</v>
      </c>
      <c r="J8" s="6">
        <f>SUMIFS('04_LOG_FIELD_ENTRIES'!J:J, '04_LOG_FIELD_ENTRIES'!B:B, B8, '04_LOG_FIELD_ENTRIES'!D:D, C8, '04_LOG_FIELD_ENTRIES'!K:K, "AC_*")</f>
        <v>0</v>
      </c>
      <c r="K8" s="6">
        <f>SUMIFS(J$2:J8, C$2:C8, C8)</f>
        <v>0</v>
      </c>
      <c r="L8" s="6">
        <f t="shared" si="0"/>
        <v>0</v>
      </c>
      <c r="M8" s="6">
        <f t="shared" si="1"/>
        <v>0</v>
      </c>
      <c r="N8" s="21">
        <f t="shared" si="2"/>
        <v>1</v>
      </c>
      <c r="O8" s="21">
        <f t="shared" si="3"/>
        <v>1</v>
      </c>
      <c r="P8" s="2" t="str">
        <f t="shared" si="4"/>
        <v>SALUDABLE</v>
      </c>
    </row>
    <row r="9" spans="1:16" ht="19.95" customHeight="1" x14ac:dyDescent="0.3">
      <c r="A9" s="4">
        <v>2</v>
      </c>
      <c r="B9" s="4" t="s">
        <v>75</v>
      </c>
      <c r="C9" s="2" t="s">
        <v>56</v>
      </c>
      <c r="D9" s="3" t="s">
        <v>74</v>
      </c>
      <c r="E9" s="6">
        <f>SUM('01_PRESUPUESTO_CRONOGRAMA_BASE'!G12:G12)</f>
        <v>9348.06</v>
      </c>
      <c r="F9" s="6">
        <f>SUMIFS('02_CRONOGRAMA_PV_DIARIO'!E:E, '02_CRONOGRAMA_PV_DIARIO'!A:A, A9, '02_CRONOGRAMA_PV_DIARIO'!C:C, C9)</f>
        <v>0</v>
      </c>
      <c r="G9" s="6">
        <f>SUMIFS(F$2:F9, C$2:C9, C9)</f>
        <v>0</v>
      </c>
      <c r="H9" s="6">
        <f>SUMIFS('04_LOG_FIELD_ENTRIES'!J:J, '04_LOG_FIELD_ENTRIES'!B:B, B9, '04_LOG_FIELD_ENTRIES'!D:D, C9, '04_LOG_FIELD_ENTRIES'!K:K, "EV_PRODUCCION")</f>
        <v>0</v>
      </c>
      <c r="I9" s="6">
        <f>SUMIFS(H$2:H9, C$2:C9, C9)</f>
        <v>0</v>
      </c>
      <c r="J9" s="6">
        <f>SUMIFS('04_LOG_FIELD_ENTRIES'!J:J, '04_LOG_FIELD_ENTRIES'!B:B, B9, '04_LOG_FIELD_ENTRIES'!D:D, C9, '04_LOG_FIELD_ENTRIES'!K:K, "AC_*")</f>
        <v>0</v>
      </c>
      <c r="K9" s="6">
        <f>SUMIFS(J$2:J9, C$2:C9, C9)</f>
        <v>0</v>
      </c>
      <c r="L9" s="6">
        <f t="shared" si="0"/>
        <v>0</v>
      </c>
      <c r="M9" s="6">
        <f t="shared" si="1"/>
        <v>0</v>
      </c>
      <c r="N9" s="21">
        <f t="shared" si="2"/>
        <v>1</v>
      </c>
      <c r="O9" s="21">
        <f t="shared" si="3"/>
        <v>1</v>
      </c>
      <c r="P9" s="2" t="str">
        <f t="shared" si="4"/>
        <v>SALUDABLE</v>
      </c>
    </row>
    <row r="10" spans="1:16" ht="19.95" customHeight="1" x14ac:dyDescent="0.3">
      <c r="A10" s="4">
        <v>3</v>
      </c>
      <c r="B10" s="4" t="s">
        <v>76</v>
      </c>
      <c r="C10" s="2" t="s">
        <v>14</v>
      </c>
      <c r="D10" s="3" t="s">
        <v>71</v>
      </c>
      <c r="E10" s="6">
        <f>SUM('01_PRESUPUESTO_CRONOGRAMA_BASE'!G2:G3)</f>
        <v>16336.4</v>
      </c>
      <c r="F10" s="6">
        <f>SUMIFS('02_CRONOGRAMA_PV_DIARIO'!E:E, '02_CRONOGRAMA_PV_DIARIO'!A:A, A10, '02_CRONOGRAMA_PV_DIARIO'!C:C, C10)</f>
        <v>1166.8899999999999</v>
      </c>
      <c r="G10" s="6">
        <f>SUMIFS(F$2:F10, C$2:C10, C10)</f>
        <v>3500.6699999999996</v>
      </c>
      <c r="H10" s="6">
        <f>SUMIFS('04_LOG_FIELD_ENTRIES'!J:J, '04_LOG_FIELD_ENTRIES'!B:B, B10, '04_LOG_FIELD_ENTRIES'!D:D, C10, '04_LOG_FIELD_ENTRIES'!K:K, "EV_PRODUCCION")</f>
        <v>0</v>
      </c>
      <c r="I10" s="6">
        <f>SUMIFS(H$2:H10, C$2:C10, C10)</f>
        <v>5823.2</v>
      </c>
      <c r="J10" s="6">
        <f>SUMIFS('04_LOG_FIELD_ENTRIES'!J:J, '04_LOG_FIELD_ENTRIES'!B:B, B10, '04_LOG_FIELD_ENTRIES'!D:D, C10, '04_LOG_FIELD_ENTRIES'!K:K, "AC_*")</f>
        <v>0</v>
      </c>
      <c r="K10" s="6">
        <f>SUMIFS(J$2:J10, C$2:C10, C10)</f>
        <v>6331</v>
      </c>
      <c r="L10" s="6">
        <f t="shared" si="0"/>
        <v>-507.80000000000018</v>
      </c>
      <c r="M10" s="6">
        <f t="shared" si="1"/>
        <v>2322.5300000000002</v>
      </c>
      <c r="N10" s="21">
        <f t="shared" si="2"/>
        <v>1.6634529961407389</v>
      </c>
      <c r="O10" s="21">
        <f t="shared" si="3"/>
        <v>0.91979150213236449</v>
      </c>
      <c r="P10" s="2" t="str">
        <f t="shared" si="4"/>
        <v>ALERTA SOBRECOSTO</v>
      </c>
    </row>
    <row r="11" spans="1:16" ht="19.95" customHeight="1" x14ac:dyDescent="0.3">
      <c r="A11" s="4">
        <v>3</v>
      </c>
      <c r="B11" s="4" t="s">
        <v>76</v>
      </c>
      <c r="C11" s="2" t="s">
        <v>23</v>
      </c>
      <c r="D11" s="3" t="s">
        <v>72</v>
      </c>
      <c r="E11" s="6">
        <f>SUM('01_PRESUPUESTO_CRONOGRAMA_BASE'!G4:G9)</f>
        <v>372046.56</v>
      </c>
      <c r="F11" s="6">
        <f>SUMIFS('02_CRONOGRAMA_PV_DIARIO'!E:E, '02_CRONOGRAMA_PV_DIARIO'!A:A, A11, '02_CRONOGRAMA_PV_DIARIO'!C:C, C11)</f>
        <v>0</v>
      </c>
      <c r="G11" s="6">
        <f>SUMIFS(F$2:F11, C$2:C11, C11)</f>
        <v>0</v>
      </c>
      <c r="H11" s="6">
        <f>SUMIFS('04_LOG_FIELD_ENTRIES'!J:J, '04_LOG_FIELD_ENTRIES'!B:B, B11, '04_LOG_FIELD_ENTRIES'!D:D, C11, '04_LOG_FIELD_ENTRIES'!K:K, "EV_PRODUCCION")</f>
        <v>19585.5</v>
      </c>
      <c r="I11" s="6">
        <f>SUMIFS(H$2:H11, C$2:C11, C11)</f>
        <v>28168.5</v>
      </c>
      <c r="J11" s="6">
        <f>SUMIFS('04_LOG_FIELD_ENTRIES'!J:J, '04_LOG_FIELD_ENTRIES'!B:B, B11, '04_LOG_FIELD_ENTRIES'!D:D, C11, '04_LOG_FIELD_ENTRIES'!K:K, "AC_*")</f>
        <v>17373.599999999999</v>
      </c>
      <c r="K11" s="6">
        <f>SUMIFS(J$2:J11, C$2:C11, C11)</f>
        <v>22296.6</v>
      </c>
      <c r="L11" s="6">
        <f t="shared" si="0"/>
        <v>5871.9000000000015</v>
      </c>
      <c r="M11" s="6">
        <f t="shared" si="1"/>
        <v>28168.5</v>
      </c>
      <c r="N11" s="21">
        <f t="shared" si="2"/>
        <v>1</v>
      </c>
      <c r="O11" s="21">
        <f t="shared" si="3"/>
        <v>1.2633540539813246</v>
      </c>
      <c r="P11" s="2" t="str">
        <f t="shared" si="4"/>
        <v>SALUDABLE</v>
      </c>
    </row>
    <row r="12" spans="1:16" ht="19.95" customHeight="1" x14ac:dyDescent="0.3">
      <c r="A12" s="4">
        <v>3</v>
      </c>
      <c r="B12" s="4" t="s">
        <v>76</v>
      </c>
      <c r="C12" s="2" t="s">
        <v>49</v>
      </c>
      <c r="D12" s="3" t="s">
        <v>73</v>
      </c>
      <c r="E12" s="6">
        <f>SUM('01_PRESUPUESTO_CRONOGRAMA_BASE'!G10:G11)</f>
        <v>57565.2</v>
      </c>
      <c r="F12" s="6">
        <f>SUMIFS('02_CRONOGRAMA_PV_DIARIO'!E:E, '02_CRONOGRAMA_PV_DIARIO'!A:A, A12, '02_CRONOGRAMA_PV_DIARIO'!C:C, C12)</f>
        <v>0</v>
      </c>
      <c r="G12" s="6">
        <f>SUMIFS(F$2:F12, C$2:C12, C12)</f>
        <v>0</v>
      </c>
      <c r="H12" s="6">
        <f>SUMIFS('04_LOG_FIELD_ENTRIES'!J:J, '04_LOG_FIELD_ENTRIES'!B:B, B12, '04_LOG_FIELD_ENTRIES'!D:D, C12, '04_LOG_FIELD_ENTRIES'!K:K, "EV_PRODUCCION")</f>
        <v>0</v>
      </c>
      <c r="I12" s="6">
        <f>SUMIFS(H$2:H12, C$2:C12, C12)</f>
        <v>0</v>
      </c>
      <c r="J12" s="6">
        <f>SUMIFS('04_LOG_FIELD_ENTRIES'!J:J, '04_LOG_FIELD_ENTRIES'!B:B, B12, '04_LOG_FIELD_ENTRIES'!D:D, C12, '04_LOG_FIELD_ENTRIES'!K:K, "AC_*")</f>
        <v>0</v>
      </c>
      <c r="K12" s="6">
        <f>SUMIFS(J$2:J12, C$2:C12, C12)</f>
        <v>0</v>
      </c>
      <c r="L12" s="6">
        <f t="shared" si="0"/>
        <v>0</v>
      </c>
      <c r="M12" s="6">
        <f t="shared" si="1"/>
        <v>0</v>
      </c>
      <c r="N12" s="21">
        <f t="shared" si="2"/>
        <v>1</v>
      </c>
      <c r="O12" s="21">
        <f t="shared" si="3"/>
        <v>1</v>
      </c>
      <c r="P12" s="2" t="str">
        <f t="shared" si="4"/>
        <v>SALUDABLE</v>
      </c>
    </row>
    <row r="13" spans="1:16" ht="19.95" customHeight="1" x14ac:dyDescent="0.3">
      <c r="A13" s="4">
        <v>3</v>
      </c>
      <c r="B13" s="4" t="s">
        <v>76</v>
      </c>
      <c r="C13" s="2" t="s">
        <v>56</v>
      </c>
      <c r="D13" s="3" t="s">
        <v>74</v>
      </c>
      <c r="E13" s="6">
        <f>SUM('01_PRESUPUESTO_CRONOGRAMA_BASE'!G12:G12)</f>
        <v>9348.06</v>
      </c>
      <c r="F13" s="6">
        <f>SUMIFS('02_CRONOGRAMA_PV_DIARIO'!E:E, '02_CRONOGRAMA_PV_DIARIO'!A:A, A13, '02_CRONOGRAMA_PV_DIARIO'!C:C, C13)</f>
        <v>0</v>
      </c>
      <c r="G13" s="6">
        <f>SUMIFS(F$2:F13, C$2:C13, C13)</f>
        <v>0</v>
      </c>
      <c r="H13" s="6">
        <f>SUMIFS('04_LOG_FIELD_ENTRIES'!J:J, '04_LOG_FIELD_ENTRIES'!B:B, B13, '04_LOG_FIELD_ENTRIES'!D:D, C13, '04_LOG_FIELD_ENTRIES'!K:K, "EV_PRODUCCION")</f>
        <v>0</v>
      </c>
      <c r="I13" s="6">
        <f>SUMIFS(H$2:H13, C$2:C13, C13)</f>
        <v>0</v>
      </c>
      <c r="J13" s="6">
        <f>SUMIFS('04_LOG_FIELD_ENTRIES'!J:J, '04_LOG_FIELD_ENTRIES'!B:B, B13, '04_LOG_FIELD_ENTRIES'!D:D, C13, '04_LOG_FIELD_ENTRIES'!K:K, "AC_*")</f>
        <v>0</v>
      </c>
      <c r="K13" s="6">
        <f>SUMIFS(J$2:J13, C$2:C13, C13)</f>
        <v>0</v>
      </c>
      <c r="L13" s="6">
        <f t="shared" si="0"/>
        <v>0</v>
      </c>
      <c r="M13" s="6">
        <f t="shared" si="1"/>
        <v>0</v>
      </c>
      <c r="N13" s="21">
        <f t="shared" si="2"/>
        <v>1</v>
      </c>
      <c r="O13" s="21">
        <f t="shared" si="3"/>
        <v>1</v>
      </c>
      <c r="P13" s="2" t="str">
        <f t="shared" si="4"/>
        <v>SALUDABLE</v>
      </c>
    </row>
    <row r="14" spans="1:16" ht="19.95" customHeight="1" x14ac:dyDescent="0.3">
      <c r="A14" s="4">
        <v>4</v>
      </c>
      <c r="B14" s="4" t="s">
        <v>77</v>
      </c>
      <c r="C14" s="2" t="s">
        <v>14</v>
      </c>
      <c r="D14" s="3" t="s">
        <v>71</v>
      </c>
      <c r="E14" s="6">
        <f>SUM('01_PRESUPUESTO_CRONOGRAMA_BASE'!G2:G3)</f>
        <v>16336.4</v>
      </c>
      <c r="F14" s="6">
        <f>SUMIFS('02_CRONOGRAMA_PV_DIARIO'!E:E, '02_CRONOGRAMA_PV_DIARIO'!A:A, A14, '02_CRONOGRAMA_PV_DIARIO'!C:C, C14)</f>
        <v>1166.8899999999999</v>
      </c>
      <c r="G14" s="6">
        <f>SUMIFS(F$2:F14, C$2:C14, C14)</f>
        <v>4667.5599999999995</v>
      </c>
      <c r="H14" s="6">
        <f>SUMIFS('04_LOG_FIELD_ENTRIES'!J:J, '04_LOG_FIELD_ENTRIES'!B:B, B14, '04_LOG_FIELD_ENTRIES'!D:D, C14, '04_LOG_FIELD_ENTRIES'!K:K, "EV_PRODUCCION")</f>
        <v>0</v>
      </c>
      <c r="I14" s="6">
        <f>SUMIFS(H$2:H14, C$2:C14, C14)</f>
        <v>5823.2</v>
      </c>
      <c r="J14" s="6">
        <f>SUMIFS('04_LOG_FIELD_ENTRIES'!J:J, '04_LOG_FIELD_ENTRIES'!B:B, B14, '04_LOG_FIELD_ENTRIES'!D:D, C14, '04_LOG_FIELD_ENTRIES'!K:K, "AC_*")</f>
        <v>0</v>
      </c>
      <c r="K14" s="6">
        <f>SUMIFS(J$2:J14, C$2:C14, C14)</f>
        <v>6331</v>
      </c>
      <c r="L14" s="6">
        <f t="shared" si="0"/>
        <v>-507.80000000000018</v>
      </c>
      <c r="M14" s="6">
        <f t="shared" si="1"/>
        <v>1155.6400000000003</v>
      </c>
      <c r="N14" s="21">
        <f t="shared" si="2"/>
        <v>1.2475897471055541</v>
      </c>
      <c r="O14" s="21">
        <f t="shared" si="3"/>
        <v>0.91979150213236449</v>
      </c>
      <c r="P14" s="2" t="str">
        <f t="shared" si="4"/>
        <v>ALERTA SOBRECOSTO</v>
      </c>
    </row>
    <row r="15" spans="1:16" ht="19.95" customHeight="1" x14ac:dyDescent="0.3">
      <c r="A15" s="4">
        <v>4</v>
      </c>
      <c r="B15" s="4" t="s">
        <v>77</v>
      </c>
      <c r="C15" s="2" t="s">
        <v>23</v>
      </c>
      <c r="D15" s="3" t="s">
        <v>72</v>
      </c>
      <c r="E15" s="6">
        <f>SUM('01_PRESUPUESTO_CRONOGRAMA_BASE'!G4:G9)</f>
        <v>372046.56</v>
      </c>
      <c r="F15" s="6">
        <f>SUMIFS('02_CRONOGRAMA_PV_DIARIO'!E:E, '02_CRONOGRAMA_PV_DIARIO'!A:A, A15, '02_CRONOGRAMA_PV_DIARIO'!C:C, C15)</f>
        <v>0</v>
      </c>
      <c r="G15" s="6">
        <f>SUMIFS(F$2:F15, C$2:C15, C15)</f>
        <v>0</v>
      </c>
      <c r="H15" s="6">
        <f>SUMIFS('04_LOG_FIELD_ENTRIES'!J:J, '04_LOG_FIELD_ENTRIES'!B:B, B15, '04_LOG_FIELD_ENTRIES'!D:D, C15, '04_LOG_FIELD_ENTRIES'!K:K, "EV_PRODUCCION")</f>
        <v>10002.92</v>
      </c>
      <c r="I15" s="6">
        <f>SUMIFS(H$2:H15, C$2:C15, C15)</f>
        <v>38171.42</v>
      </c>
      <c r="J15" s="6">
        <f>SUMIFS('04_LOG_FIELD_ENTRIES'!J:J, '04_LOG_FIELD_ENTRIES'!B:B, B15, '04_LOG_FIELD_ENTRIES'!D:D, C15, '04_LOG_FIELD_ENTRIES'!K:K, "AC_*")</f>
        <v>6588.8</v>
      </c>
      <c r="K15" s="6">
        <f>SUMIFS(J$2:J15, C$2:C15, C15)</f>
        <v>28885.399999999998</v>
      </c>
      <c r="L15" s="6">
        <f t="shared" si="0"/>
        <v>9286.02</v>
      </c>
      <c r="M15" s="6">
        <f t="shared" si="1"/>
        <v>38171.42</v>
      </c>
      <c r="N15" s="21">
        <f t="shared" si="2"/>
        <v>1</v>
      </c>
      <c r="O15" s="21">
        <f t="shared" si="3"/>
        <v>1.3214779784943258</v>
      </c>
      <c r="P15" s="2" t="str">
        <f t="shared" si="4"/>
        <v>SALUDABLE</v>
      </c>
    </row>
    <row r="16" spans="1:16" ht="19.95" customHeight="1" x14ac:dyDescent="0.3">
      <c r="A16" s="4">
        <v>4</v>
      </c>
      <c r="B16" s="4" t="s">
        <v>77</v>
      </c>
      <c r="C16" s="2" t="s">
        <v>49</v>
      </c>
      <c r="D16" s="3" t="s">
        <v>73</v>
      </c>
      <c r="E16" s="6">
        <f>SUM('01_PRESUPUESTO_CRONOGRAMA_BASE'!G10:G11)</f>
        <v>57565.2</v>
      </c>
      <c r="F16" s="6">
        <f>SUMIFS('02_CRONOGRAMA_PV_DIARIO'!E:E, '02_CRONOGRAMA_PV_DIARIO'!A:A, A16, '02_CRONOGRAMA_PV_DIARIO'!C:C, C16)</f>
        <v>0</v>
      </c>
      <c r="G16" s="6">
        <f>SUMIFS(F$2:F16, C$2:C16, C16)</f>
        <v>0</v>
      </c>
      <c r="H16" s="6">
        <f>SUMIFS('04_LOG_FIELD_ENTRIES'!J:J, '04_LOG_FIELD_ENTRIES'!B:B, B16, '04_LOG_FIELD_ENTRIES'!D:D, C16, '04_LOG_FIELD_ENTRIES'!K:K, "EV_PRODUCCION")</f>
        <v>6976.8</v>
      </c>
      <c r="I16" s="6">
        <f>SUMIFS(H$2:H16, C$2:C16, C16)</f>
        <v>6976.8</v>
      </c>
      <c r="J16" s="6">
        <f>SUMIFS('04_LOG_FIELD_ENTRIES'!J:J, '04_LOG_FIELD_ENTRIES'!B:B, B16, '04_LOG_FIELD_ENTRIES'!D:D, C16, '04_LOG_FIELD_ENTRIES'!K:K, "AC_*")</f>
        <v>6372</v>
      </c>
      <c r="K16" s="6">
        <f>SUMIFS(J$2:J16, C$2:C16, C16)</f>
        <v>6372</v>
      </c>
      <c r="L16" s="6">
        <f t="shared" si="0"/>
        <v>604.80000000000018</v>
      </c>
      <c r="M16" s="6">
        <f t="shared" si="1"/>
        <v>6976.8</v>
      </c>
      <c r="N16" s="21">
        <f t="shared" si="2"/>
        <v>1</v>
      </c>
      <c r="O16" s="21">
        <f t="shared" si="3"/>
        <v>1.0949152542372882</v>
      </c>
      <c r="P16" s="2" t="str">
        <f t="shared" si="4"/>
        <v>SALUDABLE</v>
      </c>
    </row>
    <row r="17" spans="1:16" ht="19.95" customHeight="1" x14ac:dyDescent="0.3">
      <c r="A17" s="4">
        <v>4</v>
      </c>
      <c r="B17" s="4" t="s">
        <v>77</v>
      </c>
      <c r="C17" s="2" t="s">
        <v>56</v>
      </c>
      <c r="D17" s="3" t="s">
        <v>74</v>
      </c>
      <c r="E17" s="6">
        <f>SUM('01_PRESUPUESTO_CRONOGRAMA_BASE'!G12:G12)</f>
        <v>9348.06</v>
      </c>
      <c r="F17" s="6">
        <f>SUMIFS('02_CRONOGRAMA_PV_DIARIO'!E:E, '02_CRONOGRAMA_PV_DIARIO'!A:A, A17, '02_CRONOGRAMA_PV_DIARIO'!C:C, C17)</f>
        <v>0</v>
      </c>
      <c r="G17" s="6">
        <f>SUMIFS(F$2:F17, C$2:C17, C17)</f>
        <v>0</v>
      </c>
      <c r="H17" s="6">
        <f>SUMIFS('04_LOG_FIELD_ENTRIES'!J:J, '04_LOG_FIELD_ENTRIES'!B:B, B17, '04_LOG_FIELD_ENTRIES'!D:D, C17, '04_LOG_FIELD_ENTRIES'!K:K, "EV_PRODUCCION")</f>
        <v>0</v>
      </c>
      <c r="I17" s="6">
        <f>SUMIFS(H$2:H17, C$2:C17, C17)</f>
        <v>0</v>
      </c>
      <c r="J17" s="6">
        <f>SUMIFS('04_LOG_FIELD_ENTRIES'!J:J, '04_LOG_FIELD_ENTRIES'!B:B, B17, '04_LOG_FIELD_ENTRIES'!D:D, C17, '04_LOG_FIELD_ENTRIES'!K:K, "AC_*")</f>
        <v>0</v>
      </c>
      <c r="K17" s="6">
        <f>SUMIFS(J$2:J17, C$2:C17, C17)</f>
        <v>0</v>
      </c>
      <c r="L17" s="6">
        <f t="shared" si="0"/>
        <v>0</v>
      </c>
      <c r="M17" s="6">
        <f t="shared" si="1"/>
        <v>0</v>
      </c>
      <c r="N17" s="21">
        <f t="shared" si="2"/>
        <v>1</v>
      </c>
      <c r="O17" s="21">
        <f t="shared" si="3"/>
        <v>1</v>
      </c>
      <c r="P17" s="2" t="str">
        <f t="shared" si="4"/>
        <v>SALUDABLE</v>
      </c>
    </row>
    <row r="18" spans="1:16" ht="19.95" customHeight="1" x14ac:dyDescent="0.3">
      <c r="A18" s="4">
        <v>5</v>
      </c>
      <c r="B18" s="4" t="s">
        <v>78</v>
      </c>
      <c r="C18" s="2" t="s">
        <v>14</v>
      </c>
      <c r="D18" s="3" t="s">
        <v>71</v>
      </c>
      <c r="E18" s="6">
        <f>SUM('01_PRESUPUESTO_CRONOGRAMA_BASE'!G2:G3)</f>
        <v>16336.4</v>
      </c>
      <c r="F18" s="6">
        <f>SUMIFS('02_CRONOGRAMA_PV_DIARIO'!E:E, '02_CRONOGRAMA_PV_DIARIO'!A:A, A18, '02_CRONOGRAMA_PV_DIARIO'!C:C, C18)</f>
        <v>1166.8899999999999</v>
      </c>
      <c r="G18" s="6">
        <f>SUMIFS(F$2:F18, C$2:C18, C18)</f>
        <v>5834.4499999999989</v>
      </c>
      <c r="H18" s="6">
        <f>SUMIFS('04_LOG_FIELD_ENTRIES'!J:J, '04_LOG_FIELD_ENTRIES'!B:B, B18, '04_LOG_FIELD_ENTRIES'!D:D, C18, '04_LOG_FIELD_ENTRIES'!K:K, "EV_PRODUCCION")</f>
        <v>0</v>
      </c>
      <c r="I18" s="6">
        <f>SUMIFS(H$2:H18, C$2:C18, C18)</f>
        <v>5823.2</v>
      </c>
      <c r="J18" s="6">
        <f>SUMIFS('04_LOG_FIELD_ENTRIES'!J:J, '04_LOG_FIELD_ENTRIES'!B:B, B18, '04_LOG_FIELD_ENTRIES'!D:D, C18, '04_LOG_FIELD_ENTRIES'!K:K, "AC_*")</f>
        <v>0</v>
      </c>
      <c r="K18" s="6">
        <f>SUMIFS(J$2:J18, C$2:C18, C18)</f>
        <v>6331</v>
      </c>
      <c r="L18" s="6">
        <f t="shared" si="0"/>
        <v>-507.80000000000018</v>
      </c>
      <c r="M18" s="6">
        <f t="shared" si="1"/>
        <v>-11.249999999999091</v>
      </c>
      <c r="N18" s="21">
        <f t="shared" si="2"/>
        <v>0.99807179768444343</v>
      </c>
      <c r="O18" s="21">
        <f t="shared" si="3"/>
        <v>0.91979150213236449</v>
      </c>
      <c r="P18" s="2" t="str">
        <f t="shared" si="4"/>
        <v>ALERTA SOBRECOSTO</v>
      </c>
    </row>
    <row r="19" spans="1:16" ht="19.95" customHeight="1" x14ac:dyDescent="0.3">
      <c r="A19" s="4">
        <v>5</v>
      </c>
      <c r="B19" s="4" t="s">
        <v>78</v>
      </c>
      <c r="C19" s="2" t="s">
        <v>23</v>
      </c>
      <c r="D19" s="3" t="s">
        <v>72</v>
      </c>
      <c r="E19" s="6">
        <f>SUM('01_PRESUPUESTO_CRONOGRAMA_BASE'!G4:G9)</f>
        <v>372046.56</v>
      </c>
      <c r="F19" s="6">
        <f>SUMIFS('02_CRONOGRAMA_PV_DIARIO'!E:E, '02_CRONOGRAMA_PV_DIARIO'!A:A, A19, '02_CRONOGRAMA_PV_DIARIO'!C:C, C19)</f>
        <v>0</v>
      </c>
      <c r="G19" s="6">
        <f>SUMIFS(F$2:F19, C$2:C19, C19)</f>
        <v>0</v>
      </c>
      <c r="H19" s="6">
        <f>SUMIFS('04_LOG_FIELD_ENTRIES'!J:J, '04_LOG_FIELD_ENTRIES'!B:B, B19, '04_LOG_FIELD_ENTRIES'!D:D, C19, '04_LOG_FIELD_ENTRIES'!K:K, "EV_PRODUCCION")</f>
        <v>6083.1</v>
      </c>
      <c r="I19" s="6">
        <f>SUMIFS(H$2:H19, C$2:C19, C19)</f>
        <v>44254.52</v>
      </c>
      <c r="J19" s="6">
        <f>SUMIFS('04_LOG_FIELD_ENTRIES'!J:J, '04_LOG_FIELD_ENTRIES'!B:B, B19, '04_LOG_FIELD_ENTRIES'!D:D, C19, '04_LOG_FIELD_ENTRIES'!K:K, "AC_*")</f>
        <v>5383.8</v>
      </c>
      <c r="K19" s="6">
        <f>SUMIFS(J$2:J19, C$2:C19, C19)</f>
        <v>34269.199999999997</v>
      </c>
      <c r="L19" s="6">
        <f t="shared" si="0"/>
        <v>9985.32</v>
      </c>
      <c r="M19" s="6">
        <f t="shared" si="1"/>
        <v>44254.52</v>
      </c>
      <c r="N19" s="21">
        <f t="shared" si="2"/>
        <v>1</v>
      </c>
      <c r="O19" s="21">
        <f t="shared" si="3"/>
        <v>1.291378847478202</v>
      </c>
      <c r="P19" s="2" t="str">
        <f t="shared" si="4"/>
        <v>SALUDABLE</v>
      </c>
    </row>
    <row r="20" spans="1:16" ht="19.95" customHeight="1" x14ac:dyDescent="0.3">
      <c r="A20" s="4">
        <v>5</v>
      </c>
      <c r="B20" s="4" t="s">
        <v>78</v>
      </c>
      <c r="C20" s="2" t="s">
        <v>49</v>
      </c>
      <c r="D20" s="3" t="s">
        <v>73</v>
      </c>
      <c r="E20" s="6">
        <f>SUM('01_PRESUPUESTO_CRONOGRAMA_BASE'!G10:G11)</f>
        <v>57565.2</v>
      </c>
      <c r="F20" s="6">
        <f>SUMIFS('02_CRONOGRAMA_PV_DIARIO'!E:E, '02_CRONOGRAMA_PV_DIARIO'!A:A, A20, '02_CRONOGRAMA_PV_DIARIO'!C:C, C20)</f>
        <v>0</v>
      </c>
      <c r="G20" s="6">
        <f>SUMIFS(F$2:F20, C$2:C20, C20)</f>
        <v>0</v>
      </c>
      <c r="H20" s="6">
        <f>SUMIFS('04_LOG_FIELD_ENTRIES'!J:J, '04_LOG_FIELD_ENTRIES'!B:B, B20, '04_LOG_FIELD_ENTRIES'!D:D, C20, '04_LOG_FIELD_ENTRIES'!K:K, "EV_PRODUCCION")</f>
        <v>2350.65</v>
      </c>
      <c r="I20" s="6">
        <f>SUMIFS(H$2:H20, C$2:C20, C20)</f>
        <v>9327.4500000000007</v>
      </c>
      <c r="J20" s="6">
        <f>SUMIFS('04_LOG_FIELD_ENTRIES'!J:J, '04_LOG_FIELD_ENTRIES'!B:B, B20, '04_LOG_FIELD_ENTRIES'!D:D, C20, '04_LOG_FIELD_ENTRIES'!K:K, "AC_*")</f>
        <v>1358.8</v>
      </c>
      <c r="K20" s="6">
        <f>SUMIFS(J$2:J20, C$2:C20, C20)</f>
        <v>7730.8</v>
      </c>
      <c r="L20" s="6">
        <f t="shared" si="0"/>
        <v>1596.6500000000005</v>
      </c>
      <c r="M20" s="6">
        <f t="shared" si="1"/>
        <v>9327.4500000000007</v>
      </c>
      <c r="N20" s="21">
        <f t="shared" si="2"/>
        <v>1</v>
      </c>
      <c r="O20" s="21">
        <f t="shared" si="3"/>
        <v>1.2065310187820149</v>
      </c>
      <c r="P20" s="2" t="str">
        <f t="shared" si="4"/>
        <v>SALUDABLE</v>
      </c>
    </row>
    <row r="21" spans="1:16" ht="19.95" customHeight="1" x14ac:dyDescent="0.3">
      <c r="A21" s="4">
        <v>5</v>
      </c>
      <c r="B21" s="4" t="s">
        <v>78</v>
      </c>
      <c r="C21" s="2" t="s">
        <v>56</v>
      </c>
      <c r="D21" s="3" t="s">
        <v>74</v>
      </c>
      <c r="E21" s="6">
        <f>SUM('01_PRESUPUESTO_CRONOGRAMA_BASE'!G12:G12)</f>
        <v>9348.06</v>
      </c>
      <c r="F21" s="6">
        <f>SUMIFS('02_CRONOGRAMA_PV_DIARIO'!E:E, '02_CRONOGRAMA_PV_DIARIO'!A:A, A21, '02_CRONOGRAMA_PV_DIARIO'!C:C, C21)</f>
        <v>0</v>
      </c>
      <c r="G21" s="6">
        <f>SUMIFS(F$2:F21, C$2:C21, C21)</f>
        <v>0</v>
      </c>
      <c r="H21" s="6">
        <f>SUMIFS('04_LOG_FIELD_ENTRIES'!J:J, '04_LOG_FIELD_ENTRIES'!B:B, B21, '04_LOG_FIELD_ENTRIES'!D:D, C21, '04_LOG_FIELD_ENTRIES'!K:K, "EV_PRODUCCION")</f>
        <v>2337.02</v>
      </c>
      <c r="I21" s="6">
        <f>SUMIFS(H$2:H21, C$2:C21, C21)</f>
        <v>2337.02</v>
      </c>
      <c r="J21" s="6">
        <f>SUMIFS('04_LOG_FIELD_ENTRIES'!J:J, '04_LOG_FIELD_ENTRIES'!B:B, B21, '04_LOG_FIELD_ENTRIES'!D:D, C21, '04_LOG_FIELD_ENTRIES'!K:K, "AC_*")</f>
        <v>1299.2</v>
      </c>
      <c r="K21" s="6">
        <f>SUMIFS(J$2:J21, C$2:C21, C21)</f>
        <v>1299.2</v>
      </c>
      <c r="L21" s="6">
        <f t="shared" si="0"/>
        <v>1037.82</v>
      </c>
      <c r="M21" s="6">
        <f t="shared" si="1"/>
        <v>2337.02</v>
      </c>
      <c r="N21" s="21">
        <f t="shared" si="2"/>
        <v>1</v>
      </c>
      <c r="O21" s="21">
        <f t="shared" si="3"/>
        <v>1.7988146551724138</v>
      </c>
      <c r="P21" s="2" t="str">
        <f t="shared" si="4"/>
        <v>SALUDABLE</v>
      </c>
    </row>
    <row r="22" spans="1:16" ht="19.95" customHeight="1" x14ac:dyDescent="0.3">
      <c r="A22" s="4">
        <v>6</v>
      </c>
      <c r="B22" s="4" t="s">
        <v>79</v>
      </c>
      <c r="C22" s="2" t="s">
        <v>14</v>
      </c>
      <c r="D22" s="3" t="s">
        <v>71</v>
      </c>
      <c r="E22" s="6">
        <f>SUM('01_PRESUPUESTO_CRONOGRAMA_BASE'!G2:G3)</f>
        <v>16336.4</v>
      </c>
      <c r="F22" s="6">
        <f>SUMIFS('02_CRONOGRAMA_PV_DIARIO'!E:E, '02_CRONOGRAMA_PV_DIARIO'!A:A, A22, '02_CRONOGRAMA_PV_DIARIO'!C:C, C22)</f>
        <v>1166.8899999999999</v>
      </c>
      <c r="G22" s="6">
        <f>SUMIFS(F$2:F22, C$2:C22, C22)</f>
        <v>7001.3399999999983</v>
      </c>
      <c r="H22" s="6">
        <f>SUMIFS('04_LOG_FIELD_ENTRIES'!J:J, '04_LOG_FIELD_ENTRIES'!B:B, B22, '04_LOG_FIELD_ENTRIES'!D:D, C22, '04_LOG_FIELD_ENTRIES'!K:K, "EV_PRODUCCION")</f>
        <v>0</v>
      </c>
      <c r="I22" s="6">
        <f>SUMIFS(H$2:H22, C$2:C22, C22)</f>
        <v>5823.2</v>
      </c>
      <c r="J22" s="6">
        <f>SUMIFS('04_LOG_FIELD_ENTRIES'!J:J, '04_LOG_FIELD_ENTRIES'!B:B, B22, '04_LOG_FIELD_ENTRIES'!D:D, C22, '04_LOG_FIELD_ENTRIES'!K:K, "AC_*")</f>
        <v>0</v>
      </c>
      <c r="K22" s="6">
        <f>SUMIFS(J$2:J22, C$2:C22, C22)</f>
        <v>6331</v>
      </c>
      <c r="L22" s="6">
        <f t="shared" si="0"/>
        <v>-507.80000000000018</v>
      </c>
      <c r="M22" s="6">
        <f t="shared" si="1"/>
        <v>-1178.1399999999985</v>
      </c>
      <c r="N22" s="21">
        <f t="shared" si="2"/>
        <v>0.83172649807036958</v>
      </c>
      <c r="O22" s="21">
        <f t="shared" si="3"/>
        <v>0.91979150213236449</v>
      </c>
      <c r="P22" s="2" t="str">
        <f t="shared" si="4"/>
        <v>ALERTA RETRASO</v>
      </c>
    </row>
    <row r="23" spans="1:16" ht="19.95" customHeight="1" x14ac:dyDescent="0.3">
      <c r="A23" s="4">
        <v>6</v>
      </c>
      <c r="B23" s="4" t="s">
        <v>79</v>
      </c>
      <c r="C23" s="2" t="s">
        <v>23</v>
      </c>
      <c r="D23" s="3" t="s">
        <v>72</v>
      </c>
      <c r="E23" s="6">
        <f>SUM('01_PRESUPUESTO_CRONOGRAMA_BASE'!G4:G9)</f>
        <v>372046.56</v>
      </c>
      <c r="F23" s="6">
        <f>SUMIFS('02_CRONOGRAMA_PV_DIARIO'!E:E, '02_CRONOGRAMA_PV_DIARIO'!A:A, A23, '02_CRONOGRAMA_PV_DIARIO'!C:C, C23)</f>
        <v>0</v>
      </c>
      <c r="G23" s="6">
        <f>SUMIFS(F$2:F23, C$2:C23, C23)</f>
        <v>0</v>
      </c>
      <c r="H23" s="6">
        <f>SUMIFS('04_LOG_FIELD_ENTRIES'!J:J, '04_LOG_FIELD_ENTRIES'!B:B, B23, '04_LOG_FIELD_ENTRIES'!D:D, C23, '04_LOG_FIELD_ENTRIES'!K:K, "EV_PRODUCCION")</f>
        <v>0</v>
      </c>
      <c r="I23" s="6">
        <f>SUMIFS(H$2:H23, C$2:C23, C23)</f>
        <v>44254.52</v>
      </c>
      <c r="J23" s="6">
        <f>SUMIFS('04_LOG_FIELD_ENTRIES'!J:J, '04_LOG_FIELD_ENTRIES'!B:B, B23, '04_LOG_FIELD_ENTRIES'!D:D, C23, '04_LOG_FIELD_ENTRIES'!K:K, "AC_*")</f>
        <v>0</v>
      </c>
      <c r="K23" s="6">
        <f>SUMIFS(J$2:J23, C$2:C23, C23)</f>
        <v>34269.199999999997</v>
      </c>
      <c r="L23" s="6">
        <f t="shared" si="0"/>
        <v>9985.32</v>
      </c>
      <c r="M23" s="6">
        <f t="shared" si="1"/>
        <v>44254.52</v>
      </c>
      <c r="N23" s="21">
        <f t="shared" si="2"/>
        <v>1</v>
      </c>
      <c r="O23" s="21">
        <f t="shared" si="3"/>
        <v>1.291378847478202</v>
      </c>
      <c r="P23" s="2" t="str">
        <f t="shared" si="4"/>
        <v>SALUDABLE</v>
      </c>
    </row>
    <row r="24" spans="1:16" ht="19.95" customHeight="1" x14ac:dyDescent="0.3">
      <c r="A24" s="4">
        <v>6</v>
      </c>
      <c r="B24" s="4" t="s">
        <v>79</v>
      </c>
      <c r="C24" s="2" t="s">
        <v>49</v>
      </c>
      <c r="D24" s="3" t="s">
        <v>73</v>
      </c>
      <c r="E24" s="6">
        <f>SUM('01_PRESUPUESTO_CRONOGRAMA_BASE'!G10:G11)</f>
        <v>57565.2</v>
      </c>
      <c r="F24" s="6">
        <f>SUMIFS('02_CRONOGRAMA_PV_DIARIO'!E:E, '02_CRONOGRAMA_PV_DIARIO'!A:A, A24, '02_CRONOGRAMA_PV_DIARIO'!C:C, C24)</f>
        <v>0</v>
      </c>
      <c r="G24" s="6">
        <f>SUMIFS(F$2:F24, C$2:C24, C24)</f>
        <v>0</v>
      </c>
      <c r="H24" s="6">
        <f>SUMIFS('04_LOG_FIELD_ENTRIES'!J:J, '04_LOG_FIELD_ENTRIES'!B:B, B24, '04_LOG_FIELD_ENTRIES'!D:D, C24, '04_LOG_FIELD_ENTRIES'!K:K, "EV_PRODUCCION")</f>
        <v>0</v>
      </c>
      <c r="I24" s="6">
        <f>SUMIFS(H$2:H24, C$2:C24, C24)</f>
        <v>9327.4500000000007</v>
      </c>
      <c r="J24" s="6">
        <f>SUMIFS('04_LOG_FIELD_ENTRIES'!J:J, '04_LOG_FIELD_ENTRIES'!B:B, B24, '04_LOG_FIELD_ENTRIES'!D:D, C24, '04_LOG_FIELD_ENTRIES'!K:K, "AC_*")</f>
        <v>0</v>
      </c>
      <c r="K24" s="6">
        <f>SUMIFS(J$2:J24, C$2:C24, C24)</f>
        <v>7730.8</v>
      </c>
      <c r="L24" s="6">
        <f t="shared" si="0"/>
        <v>1596.6500000000005</v>
      </c>
      <c r="M24" s="6">
        <f t="shared" si="1"/>
        <v>9327.4500000000007</v>
      </c>
      <c r="N24" s="21">
        <f t="shared" si="2"/>
        <v>1</v>
      </c>
      <c r="O24" s="21">
        <f t="shared" si="3"/>
        <v>1.2065310187820149</v>
      </c>
      <c r="P24" s="2" t="str">
        <f t="shared" si="4"/>
        <v>SALUDABLE</v>
      </c>
    </row>
    <row r="25" spans="1:16" ht="19.95" customHeight="1" x14ac:dyDescent="0.3">
      <c r="A25" s="4">
        <v>6</v>
      </c>
      <c r="B25" s="4" t="s">
        <v>79</v>
      </c>
      <c r="C25" s="2" t="s">
        <v>56</v>
      </c>
      <c r="D25" s="3" t="s">
        <v>74</v>
      </c>
      <c r="E25" s="6">
        <f>SUM('01_PRESUPUESTO_CRONOGRAMA_BASE'!G12:G12)</f>
        <v>9348.06</v>
      </c>
      <c r="F25" s="6">
        <f>SUMIFS('02_CRONOGRAMA_PV_DIARIO'!E:E, '02_CRONOGRAMA_PV_DIARIO'!A:A, A25, '02_CRONOGRAMA_PV_DIARIO'!C:C, C25)</f>
        <v>0</v>
      </c>
      <c r="G25" s="6">
        <f>SUMIFS(F$2:F25, C$2:C25, C25)</f>
        <v>0</v>
      </c>
      <c r="H25" s="6">
        <f>SUMIFS('04_LOG_FIELD_ENTRIES'!J:J, '04_LOG_FIELD_ENTRIES'!B:B, B25, '04_LOG_FIELD_ENTRIES'!D:D, C25, '04_LOG_FIELD_ENTRIES'!K:K, "EV_PRODUCCION")</f>
        <v>0</v>
      </c>
      <c r="I25" s="6">
        <f>SUMIFS(H$2:H25, C$2:C25, C25)</f>
        <v>2337.02</v>
      </c>
      <c r="J25" s="6">
        <f>SUMIFS('04_LOG_FIELD_ENTRIES'!J:J, '04_LOG_FIELD_ENTRIES'!B:B, B25, '04_LOG_FIELD_ENTRIES'!D:D, C25, '04_LOG_FIELD_ENTRIES'!K:K, "AC_*")</f>
        <v>0</v>
      </c>
      <c r="K25" s="6">
        <f>SUMIFS(J$2:J25, C$2:C25, C25)</f>
        <v>1299.2</v>
      </c>
      <c r="L25" s="6">
        <f t="shared" si="0"/>
        <v>1037.82</v>
      </c>
      <c r="M25" s="6">
        <f t="shared" si="1"/>
        <v>2337.02</v>
      </c>
      <c r="N25" s="21">
        <f t="shared" si="2"/>
        <v>1</v>
      </c>
      <c r="O25" s="21">
        <f t="shared" si="3"/>
        <v>1.7988146551724138</v>
      </c>
      <c r="P25" s="2" t="str">
        <f t="shared" si="4"/>
        <v>SALUDABLE</v>
      </c>
    </row>
    <row r="26" spans="1:16" ht="19.95" customHeight="1" x14ac:dyDescent="0.3">
      <c r="A26" s="4">
        <v>7</v>
      </c>
      <c r="B26" s="4" t="s">
        <v>80</v>
      </c>
      <c r="C26" s="2" t="s">
        <v>14</v>
      </c>
      <c r="D26" s="3" t="s">
        <v>71</v>
      </c>
      <c r="E26" s="6">
        <f>SUM('01_PRESUPUESTO_CRONOGRAMA_BASE'!G2:G3)</f>
        <v>16336.4</v>
      </c>
      <c r="F26" s="6">
        <f>SUMIFS('02_CRONOGRAMA_PV_DIARIO'!E:E, '02_CRONOGRAMA_PV_DIARIO'!A:A, A26, '02_CRONOGRAMA_PV_DIARIO'!C:C, C26)</f>
        <v>1166.8899999999999</v>
      </c>
      <c r="G26" s="6">
        <f>SUMIFS(F$2:F26, C$2:C26, C26)</f>
        <v>8168.2299999999977</v>
      </c>
      <c r="H26" s="6">
        <f>SUMIFS('04_LOG_FIELD_ENTRIES'!J:J, '04_LOG_FIELD_ENTRIES'!B:B, B26, '04_LOG_FIELD_ENTRIES'!D:D, C26, '04_LOG_FIELD_ENTRIES'!K:K, "EV_PRODUCCION")</f>
        <v>0</v>
      </c>
      <c r="I26" s="6">
        <f>SUMIFS(H$2:H26, C$2:C26, C26)</f>
        <v>5823.2</v>
      </c>
      <c r="J26" s="6">
        <f>SUMIFS('04_LOG_FIELD_ENTRIES'!J:J, '04_LOG_FIELD_ENTRIES'!B:B, B26, '04_LOG_FIELD_ENTRIES'!D:D, C26, '04_LOG_FIELD_ENTRIES'!K:K, "AC_*")</f>
        <v>0</v>
      </c>
      <c r="K26" s="6">
        <f>SUMIFS(J$2:J26, C$2:C26, C26)</f>
        <v>6331</v>
      </c>
      <c r="L26" s="6">
        <f t="shared" si="0"/>
        <v>-507.80000000000018</v>
      </c>
      <c r="M26" s="6">
        <f t="shared" si="1"/>
        <v>-2345.0299999999979</v>
      </c>
      <c r="N26" s="21">
        <f t="shared" si="2"/>
        <v>0.7129084269174597</v>
      </c>
      <c r="O26" s="21">
        <f t="shared" si="3"/>
        <v>0.91979150213236449</v>
      </c>
      <c r="P26" s="2" t="str">
        <f t="shared" si="4"/>
        <v>ALERTA RETRASO</v>
      </c>
    </row>
    <row r="27" spans="1:16" ht="19.95" customHeight="1" x14ac:dyDescent="0.3">
      <c r="A27" s="4">
        <v>7</v>
      </c>
      <c r="B27" s="4" t="s">
        <v>80</v>
      </c>
      <c r="C27" s="2" t="s">
        <v>23</v>
      </c>
      <c r="D27" s="3" t="s">
        <v>72</v>
      </c>
      <c r="E27" s="6">
        <f>SUM('01_PRESUPUESTO_CRONOGRAMA_BASE'!G4:G9)</f>
        <v>372046.56</v>
      </c>
      <c r="F27" s="6">
        <f>SUMIFS('02_CRONOGRAMA_PV_DIARIO'!E:E, '02_CRONOGRAMA_PV_DIARIO'!A:A, A27, '02_CRONOGRAMA_PV_DIARIO'!C:C, C27)</f>
        <v>0</v>
      </c>
      <c r="G27" s="6">
        <f>SUMIFS(F$2:F27, C$2:C27, C27)</f>
        <v>0</v>
      </c>
      <c r="H27" s="6">
        <f>SUMIFS('04_LOG_FIELD_ENTRIES'!J:J, '04_LOG_FIELD_ENTRIES'!B:B, B27, '04_LOG_FIELD_ENTRIES'!D:D, C27, '04_LOG_FIELD_ENTRIES'!K:K, "EV_PRODUCCION")</f>
        <v>0</v>
      </c>
      <c r="I27" s="6">
        <f>SUMIFS(H$2:H27, C$2:C27, C27)</f>
        <v>44254.52</v>
      </c>
      <c r="J27" s="6">
        <f>SUMIFS('04_LOG_FIELD_ENTRIES'!J:J, '04_LOG_FIELD_ENTRIES'!B:B, B27, '04_LOG_FIELD_ENTRIES'!D:D, C27, '04_LOG_FIELD_ENTRIES'!K:K, "AC_*")</f>
        <v>0</v>
      </c>
      <c r="K27" s="6">
        <f>SUMIFS(J$2:J27, C$2:C27, C27)</f>
        <v>34269.199999999997</v>
      </c>
      <c r="L27" s="6">
        <f t="shared" si="0"/>
        <v>9985.32</v>
      </c>
      <c r="M27" s="6">
        <f t="shared" si="1"/>
        <v>44254.52</v>
      </c>
      <c r="N27" s="21">
        <f t="shared" si="2"/>
        <v>1</v>
      </c>
      <c r="O27" s="21">
        <f t="shared" si="3"/>
        <v>1.291378847478202</v>
      </c>
      <c r="P27" s="2" t="str">
        <f t="shared" si="4"/>
        <v>SALUDABLE</v>
      </c>
    </row>
    <row r="28" spans="1:16" ht="19.95" customHeight="1" x14ac:dyDescent="0.3">
      <c r="A28" s="4">
        <v>7</v>
      </c>
      <c r="B28" s="4" t="s">
        <v>80</v>
      </c>
      <c r="C28" s="2" t="s">
        <v>49</v>
      </c>
      <c r="D28" s="3" t="s">
        <v>73</v>
      </c>
      <c r="E28" s="6">
        <f>SUM('01_PRESUPUESTO_CRONOGRAMA_BASE'!G10:G11)</f>
        <v>57565.2</v>
      </c>
      <c r="F28" s="6">
        <f>SUMIFS('02_CRONOGRAMA_PV_DIARIO'!E:E, '02_CRONOGRAMA_PV_DIARIO'!A:A, A28, '02_CRONOGRAMA_PV_DIARIO'!C:C, C28)</f>
        <v>0</v>
      </c>
      <c r="G28" s="6">
        <f>SUMIFS(F$2:F28, C$2:C28, C28)</f>
        <v>0</v>
      </c>
      <c r="H28" s="6">
        <f>SUMIFS('04_LOG_FIELD_ENTRIES'!J:J, '04_LOG_FIELD_ENTRIES'!B:B, B28, '04_LOG_FIELD_ENTRIES'!D:D, C28, '04_LOG_FIELD_ENTRIES'!K:K, "EV_PRODUCCION")</f>
        <v>0</v>
      </c>
      <c r="I28" s="6">
        <f>SUMIFS(H$2:H28, C$2:C28, C28)</f>
        <v>9327.4500000000007</v>
      </c>
      <c r="J28" s="6">
        <f>SUMIFS('04_LOG_FIELD_ENTRIES'!J:J, '04_LOG_FIELD_ENTRIES'!B:B, B28, '04_LOG_FIELD_ENTRIES'!D:D, C28, '04_LOG_FIELD_ENTRIES'!K:K, "AC_*")</f>
        <v>0</v>
      </c>
      <c r="K28" s="6">
        <f>SUMIFS(J$2:J28, C$2:C28, C28)</f>
        <v>7730.8</v>
      </c>
      <c r="L28" s="6">
        <f t="shared" si="0"/>
        <v>1596.6500000000005</v>
      </c>
      <c r="M28" s="6">
        <f t="shared" si="1"/>
        <v>9327.4500000000007</v>
      </c>
      <c r="N28" s="21">
        <f t="shared" si="2"/>
        <v>1</v>
      </c>
      <c r="O28" s="21">
        <f t="shared" si="3"/>
        <v>1.2065310187820149</v>
      </c>
      <c r="P28" s="2" t="str">
        <f t="shared" si="4"/>
        <v>SALUDABLE</v>
      </c>
    </row>
    <row r="29" spans="1:16" ht="19.95" customHeight="1" x14ac:dyDescent="0.3">
      <c r="A29" s="4">
        <v>7</v>
      </c>
      <c r="B29" s="4" t="s">
        <v>80</v>
      </c>
      <c r="C29" s="2" t="s">
        <v>56</v>
      </c>
      <c r="D29" s="3" t="s">
        <v>74</v>
      </c>
      <c r="E29" s="6">
        <f>SUM('01_PRESUPUESTO_CRONOGRAMA_BASE'!G12:G12)</f>
        <v>9348.06</v>
      </c>
      <c r="F29" s="6">
        <f>SUMIFS('02_CRONOGRAMA_PV_DIARIO'!E:E, '02_CRONOGRAMA_PV_DIARIO'!A:A, A29, '02_CRONOGRAMA_PV_DIARIO'!C:C, C29)</f>
        <v>0</v>
      </c>
      <c r="G29" s="6">
        <f>SUMIFS(F$2:F29, C$2:C29, C29)</f>
        <v>0</v>
      </c>
      <c r="H29" s="6">
        <f>SUMIFS('04_LOG_FIELD_ENTRIES'!J:J, '04_LOG_FIELD_ENTRIES'!B:B, B29, '04_LOG_FIELD_ENTRIES'!D:D, C29, '04_LOG_FIELD_ENTRIES'!K:K, "EV_PRODUCCION")</f>
        <v>0</v>
      </c>
      <c r="I29" s="6">
        <f>SUMIFS(H$2:H29, C$2:C29, C29)</f>
        <v>2337.02</v>
      </c>
      <c r="J29" s="6">
        <f>SUMIFS('04_LOG_FIELD_ENTRIES'!J:J, '04_LOG_FIELD_ENTRIES'!B:B, B29, '04_LOG_FIELD_ENTRIES'!D:D, C29, '04_LOG_FIELD_ENTRIES'!K:K, "AC_*")</f>
        <v>0</v>
      </c>
      <c r="K29" s="6">
        <f>SUMIFS(J$2:J29, C$2:C29, C29)</f>
        <v>1299.2</v>
      </c>
      <c r="L29" s="6">
        <f t="shared" si="0"/>
        <v>1037.82</v>
      </c>
      <c r="M29" s="6">
        <f t="shared" si="1"/>
        <v>2337.02</v>
      </c>
      <c r="N29" s="21">
        <f t="shared" si="2"/>
        <v>1</v>
      </c>
      <c r="O29" s="21">
        <f t="shared" si="3"/>
        <v>1.7988146551724138</v>
      </c>
      <c r="P29" s="2" t="str">
        <f t="shared" si="4"/>
        <v>SALUDABLE</v>
      </c>
    </row>
    <row r="30" spans="1:16" ht="19.95" customHeight="1" x14ac:dyDescent="0.3">
      <c r="A30" s="4">
        <v>8</v>
      </c>
      <c r="B30" s="4" t="s">
        <v>81</v>
      </c>
      <c r="C30" s="2" t="s">
        <v>14</v>
      </c>
      <c r="D30" s="3" t="s">
        <v>71</v>
      </c>
      <c r="E30" s="6">
        <f>SUM('01_PRESUPUESTO_CRONOGRAMA_BASE'!G2:G3)</f>
        <v>16336.4</v>
      </c>
      <c r="F30" s="6">
        <f>SUMIFS('02_CRONOGRAMA_PV_DIARIO'!E:E, '02_CRONOGRAMA_PV_DIARIO'!A:A, A30, '02_CRONOGRAMA_PV_DIARIO'!C:C, C30)</f>
        <v>1166.8899999999999</v>
      </c>
      <c r="G30" s="6">
        <f>SUMIFS(F$2:F30, C$2:C30, C30)</f>
        <v>9335.1199999999972</v>
      </c>
      <c r="H30" s="6">
        <f>SUMIFS('04_LOG_FIELD_ENTRIES'!J:J, '04_LOG_FIELD_ENTRIES'!B:B, B30, '04_LOG_FIELD_ENTRIES'!D:D, C30, '04_LOG_FIELD_ENTRIES'!K:K, "EV_PRODUCCION")</f>
        <v>0</v>
      </c>
      <c r="I30" s="6">
        <f>SUMIFS(H$2:H30, C$2:C30, C30)</f>
        <v>5823.2</v>
      </c>
      <c r="J30" s="6">
        <f>SUMIFS('04_LOG_FIELD_ENTRIES'!J:J, '04_LOG_FIELD_ENTRIES'!B:B, B30, '04_LOG_FIELD_ENTRIES'!D:D, C30, '04_LOG_FIELD_ENTRIES'!K:K, "AC_*")</f>
        <v>0</v>
      </c>
      <c r="K30" s="6">
        <f>SUMIFS(J$2:J30, C$2:C30, C30)</f>
        <v>6331</v>
      </c>
      <c r="L30" s="6">
        <f t="shared" si="0"/>
        <v>-507.80000000000018</v>
      </c>
      <c r="M30" s="6">
        <f t="shared" si="1"/>
        <v>-3511.9199999999973</v>
      </c>
      <c r="N30" s="21">
        <f t="shared" si="2"/>
        <v>0.62379487355277718</v>
      </c>
      <c r="O30" s="21">
        <f t="shared" si="3"/>
        <v>0.91979150213236449</v>
      </c>
      <c r="P30" s="2" t="str">
        <f t="shared" si="4"/>
        <v>ALERTA RETRASO</v>
      </c>
    </row>
    <row r="31" spans="1:16" ht="19.95" customHeight="1" x14ac:dyDescent="0.3">
      <c r="A31" s="4">
        <v>8</v>
      </c>
      <c r="B31" s="4" t="s">
        <v>81</v>
      </c>
      <c r="C31" s="2" t="s">
        <v>23</v>
      </c>
      <c r="D31" s="3" t="s">
        <v>72</v>
      </c>
      <c r="E31" s="6">
        <f>SUM('01_PRESUPUESTO_CRONOGRAMA_BASE'!G4:G9)</f>
        <v>372046.56</v>
      </c>
      <c r="F31" s="6">
        <f>SUMIFS('02_CRONOGRAMA_PV_DIARIO'!E:E, '02_CRONOGRAMA_PV_DIARIO'!A:A, A31, '02_CRONOGRAMA_PV_DIARIO'!C:C, C31)</f>
        <v>0</v>
      </c>
      <c r="G31" s="6">
        <f>SUMIFS(F$2:F31, C$2:C31, C31)</f>
        <v>0</v>
      </c>
      <c r="H31" s="6">
        <f>SUMIFS('04_LOG_FIELD_ENTRIES'!J:J, '04_LOG_FIELD_ENTRIES'!B:B, B31, '04_LOG_FIELD_ENTRIES'!D:D, C31, '04_LOG_FIELD_ENTRIES'!K:K, "EV_PRODUCCION")</f>
        <v>0</v>
      </c>
      <c r="I31" s="6">
        <f>SUMIFS(H$2:H31, C$2:C31, C31)</f>
        <v>44254.52</v>
      </c>
      <c r="J31" s="6">
        <f>SUMIFS('04_LOG_FIELD_ENTRIES'!J:J, '04_LOG_FIELD_ENTRIES'!B:B, B31, '04_LOG_FIELD_ENTRIES'!D:D, C31, '04_LOG_FIELD_ENTRIES'!K:K, "AC_*")</f>
        <v>0</v>
      </c>
      <c r="K31" s="6">
        <f>SUMIFS(J$2:J31, C$2:C31, C31)</f>
        <v>34269.199999999997</v>
      </c>
      <c r="L31" s="6">
        <f t="shared" si="0"/>
        <v>9985.32</v>
      </c>
      <c r="M31" s="6">
        <f t="shared" si="1"/>
        <v>44254.52</v>
      </c>
      <c r="N31" s="21">
        <f t="shared" si="2"/>
        <v>1</v>
      </c>
      <c r="O31" s="21">
        <f t="shared" si="3"/>
        <v>1.291378847478202</v>
      </c>
      <c r="P31" s="2" t="str">
        <f t="shared" si="4"/>
        <v>SALUDABLE</v>
      </c>
    </row>
    <row r="32" spans="1:16" ht="19.95" customHeight="1" x14ac:dyDescent="0.3">
      <c r="A32" s="4">
        <v>8</v>
      </c>
      <c r="B32" s="4" t="s">
        <v>81</v>
      </c>
      <c r="C32" s="2" t="s">
        <v>49</v>
      </c>
      <c r="D32" s="3" t="s">
        <v>73</v>
      </c>
      <c r="E32" s="6">
        <f>SUM('01_PRESUPUESTO_CRONOGRAMA_BASE'!G10:G11)</f>
        <v>57565.2</v>
      </c>
      <c r="F32" s="6">
        <f>SUMIFS('02_CRONOGRAMA_PV_DIARIO'!E:E, '02_CRONOGRAMA_PV_DIARIO'!A:A, A32, '02_CRONOGRAMA_PV_DIARIO'!C:C, C32)</f>
        <v>0</v>
      </c>
      <c r="G32" s="6">
        <f>SUMIFS(F$2:F32, C$2:C32, C32)</f>
        <v>0</v>
      </c>
      <c r="H32" s="6">
        <f>SUMIFS('04_LOG_FIELD_ENTRIES'!J:J, '04_LOG_FIELD_ENTRIES'!B:B, B32, '04_LOG_FIELD_ENTRIES'!D:D, C32, '04_LOG_FIELD_ENTRIES'!K:K, "EV_PRODUCCION")</f>
        <v>0</v>
      </c>
      <c r="I32" s="6">
        <f>SUMIFS(H$2:H32, C$2:C32, C32)</f>
        <v>9327.4500000000007</v>
      </c>
      <c r="J32" s="6">
        <f>SUMIFS('04_LOG_FIELD_ENTRIES'!J:J, '04_LOG_FIELD_ENTRIES'!B:B, B32, '04_LOG_FIELD_ENTRIES'!D:D, C32, '04_LOG_FIELD_ENTRIES'!K:K, "AC_*")</f>
        <v>0</v>
      </c>
      <c r="K32" s="6">
        <f>SUMIFS(J$2:J32, C$2:C32, C32)</f>
        <v>7730.8</v>
      </c>
      <c r="L32" s="6">
        <f t="shared" si="0"/>
        <v>1596.6500000000005</v>
      </c>
      <c r="M32" s="6">
        <f t="shared" si="1"/>
        <v>9327.4500000000007</v>
      </c>
      <c r="N32" s="21">
        <f t="shared" si="2"/>
        <v>1</v>
      </c>
      <c r="O32" s="21">
        <f t="shared" si="3"/>
        <v>1.2065310187820149</v>
      </c>
      <c r="P32" s="2" t="str">
        <f t="shared" si="4"/>
        <v>SALUDABLE</v>
      </c>
    </row>
    <row r="33" spans="1:16" ht="19.95" customHeight="1" x14ac:dyDescent="0.3">
      <c r="A33" s="4">
        <v>8</v>
      </c>
      <c r="B33" s="4" t="s">
        <v>81</v>
      </c>
      <c r="C33" s="2" t="s">
        <v>56</v>
      </c>
      <c r="D33" s="3" t="s">
        <v>74</v>
      </c>
      <c r="E33" s="6">
        <f>SUM('01_PRESUPUESTO_CRONOGRAMA_BASE'!G12:G12)</f>
        <v>9348.06</v>
      </c>
      <c r="F33" s="6">
        <f>SUMIFS('02_CRONOGRAMA_PV_DIARIO'!E:E, '02_CRONOGRAMA_PV_DIARIO'!A:A, A33, '02_CRONOGRAMA_PV_DIARIO'!C:C, C33)</f>
        <v>0</v>
      </c>
      <c r="G33" s="6">
        <f>SUMIFS(F$2:F33, C$2:C33, C33)</f>
        <v>0</v>
      </c>
      <c r="H33" s="6">
        <f>SUMIFS('04_LOG_FIELD_ENTRIES'!J:J, '04_LOG_FIELD_ENTRIES'!B:B, B33, '04_LOG_FIELD_ENTRIES'!D:D, C33, '04_LOG_FIELD_ENTRIES'!K:K, "EV_PRODUCCION")</f>
        <v>0</v>
      </c>
      <c r="I33" s="6">
        <f>SUMIFS(H$2:H33, C$2:C33, C33)</f>
        <v>2337.02</v>
      </c>
      <c r="J33" s="6">
        <f>SUMIFS('04_LOG_FIELD_ENTRIES'!J:J, '04_LOG_FIELD_ENTRIES'!B:B, B33, '04_LOG_FIELD_ENTRIES'!D:D, C33, '04_LOG_FIELD_ENTRIES'!K:K, "AC_*")</f>
        <v>0</v>
      </c>
      <c r="K33" s="6">
        <f>SUMIFS(J$2:J33, C$2:C33, C33)</f>
        <v>1299.2</v>
      </c>
      <c r="L33" s="6">
        <f t="shared" si="0"/>
        <v>1037.82</v>
      </c>
      <c r="M33" s="6">
        <f t="shared" si="1"/>
        <v>2337.02</v>
      </c>
      <c r="N33" s="21">
        <f t="shared" si="2"/>
        <v>1</v>
      </c>
      <c r="O33" s="21">
        <f t="shared" si="3"/>
        <v>1.7988146551724138</v>
      </c>
      <c r="P33" s="2" t="str">
        <f t="shared" si="4"/>
        <v>SALUDABLE</v>
      </c>
    </row>
    <row r="34" spans="1:16" ht="19.95" customHeight="1" x14ac:dyDescent="0.3">
      <c r="A34" s="4">
        <v>9</v>
      </c>
      <c r="B34" s="4" t="s">
        <v>82</v>
      </c>
      <c r="C34" s="2" t="s">
        <v>14</v>
      </c>
      <c r="D34" s="3" t="s">
        <v>71</v>
      </c>
      <c r="E34" s="6">
        <f>SUM('01_PRESUPUESTO_CRONOGRAMA_BASE'!G2:G3)</f>
        <v>16336.4</v>
      </c>
      <c r="F34" s="6">
        <f>SUMIFS('02_CRONOGRAMA_PV_DIARIO'!E:E, '02_CRONOGRAMA_PV_DIARIO'!A:A, A34, '02_CRONOGRAMA_PV_DIARIO'!C:C, C34)</f>
        <v>1166.8899999999999</v>
      </c>
      <c r="G34" s="6">
        <f>SUMIFS(F$2:F34, C$2:C34, C34)</f>
        <v>10502.009999999997</v>
      </c>
      <c r="H34" s="6">
        <f>SUMIFS('04_LOG_FIELD_ENTRIES'!J:J, '04_LOG_FIELD_ENTRIES'!B:B, B34, '04_LOG_FIELD_ENTRIES'!D:D, C34, '04_LOG_FIELD_ENTRIES'!K:K, "EV_PRODUCCION")</f>
        <v>0</v>
      </c>
      <c r="I34" s="6">
        <f>SUMIFS(H$2:H34, C$2:C34, C34)</f>
        <v>5823.2</v>
      </c>
      <c r="J34" s="6">
        <f>SUMIFS('04_LOG_FIELD_ENTRIES'!J:J, '04_LOG_FIELD_ENTRIES'!B:B, B34, '04_LOG_FIELD_ENTRIES'!D:D, C34, '04_LOG_FIELD_ENTRIES'!K:K, "AC_*")</f>
        <v>0</v>
      </c>
      <c r="K34" s="6">
        <f>SUMIFS(J$2:J34, C$2:C34, C34)</f>
        <v>6331</v>
      </c>
      <c r="L34" s="6">
        <f t="shared" si="0"/>
        <v>-507.80000000000018</v>
      </c>
      <c r="M34" s="6">
        <f t="shared" si="1"/>
        <v>-4678.8099999999968</v>
      </c>
      <c r="N34" s="21">
        <f t="shared" si="2"/>
        <v>0.55448433204691305</v>
      </c>
      <c r="O34" s="21">
        <f t="shared" si="3"/>
        <v>0.91979150213236449</v>
      </c>
      <c r="P34" s="2" t="str">
        <f t="shared" si="4"/>
        <v>ALERTA RETRASO</v>
      </c>
    </row>
    <row r="35" spans="1:16" ht="19.95" customHeight="1" x14ac:dyDescent="0.3">
      <c r="A35" s="4">
        <v>9</v>
      </c>
      <c r="B35" s="4" t="s">
        <v>82</v>
      </c>
      <c r="C35" s="2" t="s">
        <v>23</v>
      </c>
      <c r="D35" s="3" t="s">
        <v>72</v>
      </c>
      <c r="E35" s="6">
        <f>SUM('01_PRESUPUESTO_CRONOGRAMA_BASE'!G4:G9)</f>
        <v>372046.56</v>
      </c>
      <c r="F35" s="6">
        <f>SUMIFS('02_CRONOGRAMA_PV_DIARIO'!E:E, '02_CRONOGRAMA_PV_DIARIO'!A:A, A35, '02_CRONOGRAMA_PV_DIARIO'!C:C, C35)</f>
        <v>0</v>
      </c>
      <c r="G35" s="6">
        <f>SUMIFS(F$2:F35, C$2:C35, C35)</f>
        <v>0</v>
      </c>
      <c r="H35" s="6">
        <f>SUMIFS('04_LOG_FIELD_ENTRIES'!J:J, '04_LOG_FIELD_ENTRIES'!B:B, B35, '04_LOG_FIELD_ENTRIES'!D:D, C35, '04_LOG_FIELD_ENTRIES'!K:K, "EV_PRODUCCION")</f>
        <v>0</v>
      </c>
      <c r="I35" s="6">
        <f>SUMIFS(H$2:H35, C$2:C35, C35)</f>
        <v>44254.52</v>
      </c>
      <c r="J35" s="6">
        <f>SUMIFS('04_LOG_FIELD_ENTRIES'!J:J, '04_LOG_FIELD_ENTRIES'!B:B, B35, '04_LOG_FIELD_ENTRIES'!D:D, C35, '04_LOG_FIELD_ENTRIES'!K:K, "AC_*")</f>
        <v>0</v>
      </c>
      <c r="K35" s="6">
        <f>SUMIFS(J$2:J35, C$2:C35, C35)</f>
        <v>34269.199999999997</v>
      </c>
      <c r="L35" s="6">
        <f t="shared" si="0"/>
        <v>9985.32</v>
      </c>
      <c r="M35" s="6">
        <f t="shared" si="1"/>
        <v>44254.52</v>
      </c>
      <c r="N35" s="21">
        <f t="shared" si="2"/>
        <v>1</v>
      </c>
      <c r="O35" s="21">
        <f t="shared" si="3"/>
        <v>1.291378847478202</v>
      </c>
      <c r="P35" s="2" t="str">
        <f t="shared" si="4"/>
        <v>SALUDABLE</v>
      </c>
    </row>
    <row r="36" spans="1:16" ht="19.95" customHeight="1" x14ac:dyDescent="0.3">
      <c r="A36" s="4">
        <v>9</v>
      </c>
      <c r="B36" s="4" t="s">
        <v>82</v>
      </c>
      <c r="C36" s="2" t="s">
        <v>49</v>
      </c>
      <c r="D36" s="3" t="s">
        <v>73</v>
      </c>
      <c r="E36" s="6">
        <f>SUM('01_PRESUPUESTO_CRONOGRAMA_BASE'!G10:G11)</f>
        <v>57565.2</v>
      </c>
      <c r="F36" s="6">
        <f>SUMIFS('02_CRONOGRAMA_PV_DIARIO'!E:E, '02_CRONOGRAMA_PV_DIARIO'!A:A, A36, '02_CRONOGRAMA_PV_DIARIO'!C:C, C36)</f>
        <v>0</v>
      </c>
      <c r="G36" s="6">
        <f>SUMIFS(F$2:F36, C$2:C36, C36)</f>
        <v>0</v>
      </c>
      <c r="H36" s="6">
        <f>SUMIFS('04_LOG_FIELD_ENTRIES'!J:J, '04_LOG_FIELD_ENTRIES'!B:B, B36, '04_LOG_FIELD_ENTRIES'!D:D, C36, '04_LOG_FIELD_ENTRIES'!K:K, "EV_PRODUCCION")</f>
        <v>0</v>
      </c>
      <c r="I36" s="6">
        <f>SUMIFS(H$2:H36, C$2:C36, C36)</f>
        <v>9327.4500000000007</v>
      </c>
      <c r="J36" s="6">
        <f>SUMIFS('04_LOG_FIELD_ENTRIES'!J:J, '04_LOG_FIELD_ENTRIES'!B:B, B36, '04_LOG_FIELD_ENTRIES'!D:D, C36, '04_LOG_FIELD_ENTRIES'!K:K, "AC_*")</f>
        <v>0</v>
      </c>
      <c r="K36" s="6">
        <f>SUMIFS(J$2:J36, C$2:C36, C36)</f>
        <v>7730.8</v>
      </c>
      <c r="L36" s="6">
        <f t="shared" si="0"/>
        <v>1596.6500000000005</v>
      </c>
      <c r="M36" s="6">
        <f t="shared" si="1"/>
        <v>9327.4500000000007</v>
      </c>
      <c r="N36" s="21">
        <f t="shared" si="2"/>
        <v>1</v>
      </c>
      <c r="O36" s="21">
        <f t="shared" si="3"/>
        <v>1.2065310187820149</v>
      </c>
      <c r="P36" s="2" t="str">
        <f t="shared" si="4"/>
        <v>SALUDABLE</v>
      </c>
    </row>
    <row r="37" spans="1:16" ht="19.95" customHeight="1" x14ac:dyDescent="0.3">
      <c r="A37" s="4">
        <v>9</v>
      </c>
      <c r="B37" s="4" t="s">
        <v>82</v>
      </c>
      <c r="C37" s="2" t="s">
        <v>56</v>
      </c>
      <c r="D37" s="3" t="s">
        <v>74</v>
      </c>
      <c r="E37" s="6">
        <f>SUM('01_PRESUPUESTO_CRONOGRAMA_BASE'!G12:G12)</f>
        <v>9348.06</v>
      </c>
      <c r="F37" s="6">
        <f>SUMIFS('02_CRONOGRAMA_PV_DIARIO'!E:E, '02_CRONOGRAMA_PV_DIARIO'!A:A, A37, '02_CRONOGRAMA_PV_DIARIO'!C:C, C37)</f>
        <v>0</v>
      </c>
      <c r="G37" s="6">
        <f>SUMIFS(F$2:F37, C$2:C37, C37)</f>
        <v>0</v>
      </c>
      <c r="H37" s="6">
        <f>SUMIFS('04_LOG_FIELD_ENTRIES'!J:J, '04_LOG_FIELD_ENTRIES'!B:B, B37, '04_LOG_FIELD_ENTRIES'!D:D, C37, '04_LOG_FIELD_ENTRIES'!K:K, "EV_PRODUCCION")</f>
        <v>0</v>
      </c>
      <c r="I37" s="6">
        <f>SUMIFS(H$2:H37, C$2:C37, C37)</f>
        <v>2337.02</v>
      </c>
      <c r="J37" s="6">
        <f>SUMIFS('04_LOG_FIELD_ENTRIES'!J:J, '04_LOG_FIELD_ENTRIES'!B:B, B37, '04_LOG_FIELD_ENTRIES'!D:D, C37, '04_LOG_FIELD_ENTRIES'!K:K, "AC_*")</f>
        <v>0</v>
      </c>
      <c r="K37" s="6">
        <f>SUMIFS(J$2:J37, C$2:C37, C37)</f>
        <v>1299.2</v>
      </c>
      <c r="L37" s="6">
        <f t="shared" si="0"/>
        <v>1037.82</v>
      </c>
      <c r="M37" s="6">
        <f t="shared" si="1"/>
        <v>2337.02</v>
      </c>
      <c r="N37" s="21">
        <f t="shared" si="2"/>
        <v>1</v>
      </c>
      <c r="O37" s="21">
        <f t="shared" si="3"/>
        <v>1.7988146551724138</v>
      </c>
      <c r="P37" s="2" t="str">
        <f t="shared" si="4"/>
        <v>SALUDABLE</v>
      </c>
    </row>
    <row r="38" spans="1:16" ht="19.95" customHeight="1" x14ac:dyDescent="0.3">
      <c r="A38" s="4">
        <v>10</v>
      </c>
      <c r="B38" s="4" t="s">
        <v>26</v>
      </c>
      <c r="C38" s="2" t="s">
        <v>14</v>
      </c>
      <c r="D38" s="3" t="s">
        <v>71</v>
      </c>
      <c r="E38" s="6">
        <f>SUM('01_PRESUPUESTO_CRONOGRAMA_BASE'!G2:G3)</f>
        <v>16336.4</v>
      </c>
      <c r="F38" s="6">
        <f>SUMIFS('02_CRONOGRAMA_PV_DIARIO'!E:E, '02_CRONOGRAMA_PV_DIARIO'!A:A, A38, '02_CRONOGRAMA_PV_DIARIO'!C:C, C38)</f>
        <v>1166.8899999999999</v>
      </c>
      <c r="G38" s="6">
        <f>SUMIFS(F$2:F38, C$2:C38, C38)</f>
        <v>11668.899999999996</v>
      </c>
      <c r="H38" s="6">
        <f>SUMIFS('04_LOG_FIELD_ENTRIES'!J:J, '04_LOG_FIELD_ENTRIES'!B:B, B38, '04_LOG_FIELD_ENTRIES'!D:D, C38, '04_LOG_FIELD_ENTRIES'!K:K, "EV_PRODUCCION")</f>
        <v>0</v>
      </c>
      <c r="I38" s="6">
        <f>SUMIFS(H$2:H38, C$2:C38, C38)</f>
        <v>5823.2</v>
      </c>
      <c r="J38" s="6">
        <f>SUMIFS('04_LOG_FIELD_ENTRIES'!J:J, '04_LOG_FIELD_ENTRIES'!B:B, B38, '04_LOG_FIELD_ENTRIES'!D:D, C38, '04_LOG_FIELD_ENTRIES'!K:K, "AC_*")</f>
        <v>0</v>
      </c>
      <c r="K38" s="6">
        <f>SUMIFS(J$2:J38, C$2:C38, C38)</f>
        <v>6331</v>
      </c>
      <c r="L38" s="6">
        <f t="shared" si="0"/>
        <v>-507.80000000000018</v>
      </c>
      <c r="M38" s="6">
        <f t="shared" si="1"/>
        <v>-5845.6999999999962</v>
      </c>
      <c r="N38" s="21">
        <f t="shared" si="2"/>
        <v>0.49903589884222177</v>
      </c>
      <c r="O38" s="21">
        <f t="shared" si="3"/>
        <v>0.91979150213236449</v>
      </c>
      <c r="P38" s="2" t="str">
        <f t="shared" si="4"/>
        <v>ALERTA RETRASO</v>
      </c>
    </row>
    <row r="39" spans="1:16" ht="19.95" customHeight="1" x14ac:dyDescent="0.3">
      <c r="A39" s="4">
        <v>10</v>
      </c>
      <c r="B39" s="4" t="s">
        <v>26</v>
      </c>
      <c r="C39" s="2" t="s">
        <v>23</v>
      </c>
      <c r="D39" s="3" t="s">
        <v>72</v>
      </c>
      <c r="E39" s="6">
        <f>SUM('01_PRESUPUESTO_CRONOGRAMA_BASE'!G4:G9)</f>
        <v>372046.56</v>
      </c>
      <c r="F39" s="6">
        <f>SUMIFS('02_CRONOGRAMA_PV_DIARIO'!E:E, '02_CRONOGRAMA_PV_DIARIO'!A:A, A39, '02_CRONOGRAMA_PV_DIARIO'!C:C, C39)</f>
        <v>2798.4</v>
      </c>
      <c r="G39" s="6">
        <f>SUMIFS(F$2:F39, C$2:C39, C39)</f>
        <v>2798.4</v>
      </c>
      <c r="H39" s="6">
        <f>SUMIFS('04_LOG_FIELD_ENTRIES'!J:J, '04_LOG_FIELD_ENTRIES'!B:B, B39, '04_LOG_FIELD_ENTRIES'!D:D, C39, '04_LOG_FIELD_ENTRIES'!K:K, "EV_PRODUCCION")</f>
        <v>0</v>
      </c>
      <c r="I39" s="6">
        <f>SUMIFS(H$2:H39, C$2:C39, C39)</f>
        <v>44254.52</v>
      </c>
      <c r="J39" s="6">
        <f>SUMIFS('04_LOG_FIELD_ENTRIES'!J:J, '04_LOG_FIELD_ENTRIES'!B:B, B39, '04_LOG_FIELD_ENTRIES'!D:D, C39, '04_LOG_FIELD_ENTRIES'!K:K, "AC_*")</f>
        <v>0</v>
      </c>
      <c r="K39" s="6">
        <f>SUMIFS(J$2:J39, C$2:C39, C39)</f>
        <v>34269.199999999997</v>
      </c>
      <c r="L39" s="6">
        <f t="shared" si="0"/>
        <v>9985.32</v>
      </c>
      <c r="M39" s="6">
        <f t="shared" si="1"/>
        <v>41456.119999999995</v>
      </c>
      <c r="N39" s="21">
        <f t="shared" si="2"/>
        <v>15.814222412807316</v>
      </c>
      <c r="O39" s="21">
        <f t="shared" si="3"/>
        <v>1.291378847478202</v>
      </c>
      <c r="P39" s="2" t="str">
        <f t="shared" si="4"/>
        <v>SALUDABLE</v>
      </c>
    </row>
    <row r="40" spans="1:16" ht="19.95" customHeight="1" x14ac:dyDescent="0.3">
      <c r="A40" s="4">
        <v>10</v>
      </c>
      <c r="B40" s="4" t="s">
        <v>26</v>
      </c>
      <c r="C40" s="2" t="s">
        <v>49</v>
      </c>
      <c r="D40" s="3" t="s">
        <v>73</v>
      </c>
      <c r="E40" s="6">
        <f>SUM('01_PRESUPUESTO_CRONOGRAMA_BASE'!G10:G11)</f>
        <v>57565.2</v>
      </c>
      <c r="F40" s="6">
        <f>SUMIFS('02_CRONOGRAMA_PV_DIARIO'!E:E, '02_CRONOGRAMA_PV_DIARIO'!A:A, A40, '02_CRONOGRAMA_PV_DIARIO'!C:C, C40)</f>
        <v>0</v>
      </c>
      <c r="G40" s="6">
        <f>SUMIFS(F$2:F40, C$2:C40, C40)</f>
        <v>0</v>
      </c>
      <c r="H40" s="6">
        <f>SUMIFS('04_LOG_FIELD_ENTRIES'!J:J, '04_LOG_FIELD_ENTRIES'!B:B, B40, '04_LOG_FIELD_ENTRIES'!D:D, C40, '04_LOG_FIELD_ENTRIES'!K:K, "EV_PRODUCCION")</f>
        <v>0</v>
      </c>
      <c r="I40" s="6">
        <f>SUMIFS(H$2:H40, C$2:C40, C40)</f>
        <v>9327.4500000000007</v>
      </c>
      <c r="J40" s="6">
        <f>SUMIFS('04_LOG_FIELD_ENTRIES'!J:J, '04_LOG_FIELD_ENTRIES'!B:B, B40, '04_LOG_FIELD_ENTRIES'!D:D, C40, '04_LOG_FIELD_ENTRIES'!K:K, "AC_*")</f>
        <v>0</v>
      </c>
      <c r="K40" s="6">
        <f>SUMIFS(J$2:J40, C$2:C40, C40)</f>
        <v>7730.8</v>
      </c>
      <c r="L40" s="6">
        <f t="shared" si="0"/>
        <v>1596.6500000000005</v>
      </c>
      <c r="M40" s="6">
        <f t="shared" si="1"/>
        <v>9327.4500000000007</v>
      </c>
      <c r="N40" s="21">
        <f t="shared" si="2"/>
        <v>1</v>
      </c>
      <c r="O40" s="21">
        <f t="shared" si="3"/>
        <v>1.2065310187820149</v>
      </c>
      <c r="P40" s="2" t="str">
        <f t="shared" si="4"/>
        <v>SALUDABLE</v>
      </c>
    </row>
    <row r="41" spans="1:16" ht="19.95" customHeight="1" x14ac:dyDescent="0.3">
      <c r="A41" s="4">
        <v>10</v>
      </c>
      <c r="B41" s="4" t="s">
        <v>26</v>
      </c>
      <c r="C41" s="2" t="s">
        <v>56</v>
      </c>
      <c r="D41" s="3" t="s">
        <v>74</v>
      </c>
      <c r="E41" s="6">
        <f>SUM('01_PRESUPUESTO_CRONOGRAMA_BASE'!G12:G12)</f>
        <v>9348.06</v>
      </c>
      <c r="F41" s="6">
        <f>SUMIFS('02_CRONOGRAMA_PV_DIARIO'!E:E, '02_CRONOGRAMA_PV_DIARIO'!A:A, A41, '02_CRONOGRAMA_PV_DIARIO'!C:C, C41)</f>
        <v>0</v>
      </c>
      <c r="G41" s="6">
        <f>SUMIFS(F$2:F41, C$2:C41, C41)</f>
        <v>0</v>
      </c>
      <c r="H41" s="6">
        <f>SUMIFS('04_LOG_FIELD_ENTRIES'!J:J, '04_LOG_FIELD_ENTRIES'!B:B, B41, '04_LOG_FIELD_ENTRIES'!D:D, C41, '04_LOG_FIELD_ENTRIES'!K:K, "EV_PRODUCCION")</f>
        <v>0</v>
      </c>
      <c r="I41" s="6">
        <f>SUMIFS(H$2:H41, C$2:C41, C41)</f>
        <v>2337.02</v>
      </c>
      <c r="J41" s="6">
        <f>SUMIFS('04_LOG_FIELD_ENTRIES'!J:J, '04_LOG_FIELD_ENTRIES'!B:B, B41, '04_LOG_FIELD_ENTRIES'!D:D, C41, '04_LOG_FIELD_ENTRIES'!K:K, "AC_*")</f>
        <v>0</v>
      </c>
      <c r="K41" s="6">
        <f>SUMIFS(J$2:J41, C$2:C41, C41)</f>
        <v>1299.2</v>
      </c>
      <c r="L41" s="6">
        <f t="shared" si="0"/>
        <v>1037.82</v>
      </c>
      <c r="M41" s="6">
        <f t="shared" si="1"/>
        <v>2337.02</v>
      </c>
      <c r="N41" s="21">
        <f t="shared" si="2"/>
        <v>1</v>
      </c>
      <c r="O41" s="21">
        <f t="shared" si="3"/>
        <v>1.7988146551724138</v>
      </c>
      <c r="P41" s="2" t="str">
        <f t="shared" si="4"/>
        <v>SALUDABLE</v>
      </c>
    </row>
    <row r="42" spans="1:16" ht="19.95" customHeight="1" x14ac:dyDescent="0.3">
      <c r="A42" s="4">
        <v>11</v>
      </c>
      <c r="B42" s="4" t="s">
        <v>83</v>
      </c>
      <c r="C42" s="2" t="s">
        <v>14</v>
      </c>
      <c r="D42" s="3" t="s">
        <v>71</v>
      </c>
      <c r="E42" s="6">
        <f>SUM('01_PRESUPUESTO_CRONOGRAMA_BASE'!G2:G3)</f>
        <v>16336.4</v>
      </c>
      <c r="F42" s="6">
        <f>SUMIFS('02_CRONOGRAMA_PV_DIARIO'!E:E, '02_CRONOGRAMA_PV_DIARIO'!A:A, A42, '02_CRONOGRAMA_PV_DIARIO'!C:C, C42)</f>
        <v>1166.8899999999999</v>
      </c>
      <c r="G42" s="6">
        <f>SUMIFS(F$2:F42, C$2:C42, C42)</f>
        <v>12835.789999999995</v>
      </c>
      <c r="H42" s="6">
        <f>SUMIFS('04_LOG_FIELD_ENTRIES'!J:J, '04_LOG_FIELD_ENTRIES'!B:B, B42, '04_LOG_FIELD_ENTRIES'!D:D, C42, '04_LOG_FIELD_ENTRIES'!K:K, "EV_PRODUCCION")</f>
        <v>0</v>
      </c>
      <c r="I42" s="6">
        <f>SUMIFS(H$2:H42, C$2:C42, C42)</f>
        <v>5823.2</v>
      </c>
      <c r="J42" s="6">
        <f>SUMIFS('04_LOG_FIELD_ENTRIES'!J:J, '04_LOG_FIELD_ENTRIES'!B:B, B42, '04_LOG_FIELD_ENTRIES'!D:D, C42, '04_LOG_FIELD_ENTRIES'!K:K, "AC_*")</f>
        <v>0</v>
      </c>
      <c r="K42" s="6">
        <f>SUMIFS(J$2:J42, C$2:C42, C42)</f>
        <v>6331</v>
      </c>
      <c r="L42" s="6">
        <f t="shared" si="0"/>
        <v>-507.80000000000018</v>
      </c>
      <c r="M42" s="6">
        <f t="shared" si="1"/>
        <v>-7012.5899999999956</v>
      </c>
      <c r="N42" s="21">
        <f t="shared" si="2"/>
        <v>0.45366899894747437</v>
      </c>
      <c r="O42" s="21">
        <f t="shared" si="3"/>
        <v>0.91979150213236449</v>
      </c>
      <c r="P42" s="2" t="str">
        <f t="shared" si="4"/>
        <v>ALERTA RETRASO</v>
      </c>
    </row>
    <row r="43" spans="1:16" ht="19.95" customHeight="1" x14ac:dyDescent="0.3">
      <c r="A43" s="4">
        <v>11</v>
      </c>
      <c r="B43" s="4" t="s">
        <v>83</v>
      </c>
      <c r="C43" s="2" t="s">
        <v>23</v>
      </c>
      <c r="D43" s="3" t="s">
        <v>72</v>
      </c>
      <c r="E43" s="6">
        <f>SUM('01_PRESUPUESTO_CRONOGRAMA_BASE'!G4:G9)</f>
        <v>372046.56</v>
      </c>
      <c r="F43" s="6">
        <f>SUMIFS('02_CRONOGRAMA_PV_DIARIO'!E:E, '02_CRONOGRAMA_PV_DIARIO'!A:A, A43, '02_CRONOGRAMA_PV_DIARIO'!C:C, C43)</f>
        <v>2798.4</v>
      </c>
      <c r="G43" s="6">
        <f>SUMIFS(F$2:F43, C$2:C43, C43)</f>
        <v>5596.8</v>
      </c>
      <c r="H43" s="6">
        <f>SUMIFS('04_LOG_FIELD_ENTRIES'!J:J, '04_LOG_FIELD_ENTRIES'!B:B, B43, '04_LOG_FIELD_ENTRIES'!D:D, C43, '04_LOG_FIELD_ENTRIES'!K:K, "EV_PRODUCCION")</f>
        <v>0</v>
      </c>
      <c r="I43" s="6">
        <f>SUMIFS(H$2:H43, C$2:C43, C43)</f>
        <v>44254.52</v>
      </c>
      <c r="J43" s="6">
        <f>SUMIFS('04_LOG_FIELD_ENTRIES'!J:J, '04_LOG_FIELD_ENTRIES'!B:B, B43, '04_LOG_FIELD_ENTRIES'!D:D, C43, '04_LOG_FIELD_ENTRIES'!K:K, "AC_*")</f>
        <v>0</v>
      </c>
      <c r="K43" s="6">
        <f>SUMIFS(J$2:J43, C$2:C43, C43)</f>
        <v>34269.199999999997</v>
      </c>
      <c r="L43" s="6">
        <f t="shared" si="0"/>
        <v>9985.32</v>
      </c>
      <c r="M43" s="6">
        <f t="shared" si="1"/>
        <v>38657.719999999994</v>
      </c>
      <c r="N43" s="21">
        <f t="shared" si="2"/>
        <v>7.9071112064036582</v>
      </c>
      <c r="O43" s="21">
        <f t="shared" si="3"/>
        <v>1.291378847478202</v>
      </c>
      <c r="P43" s="2" t="str">
        <f t="shared" si="4"/>
        <v>SALUDABLE</v>
      </c>
    </row>
    <row r="44" spans="1:16" ht="19.95" customHeight="1" x14ac:dyDescent="0.3">
      <c r="A44" s="4">
        <v>11</v>
      </c>
      <c r="B44" s="4" t="s">
        <v>83</v>
      </c>
      <c r="C44" s="2" t="s">
        <v>49</v>
      </c>
      <c r="D44" s="3" t="s">
        <v>73</v>
      </c>
      <c r="E44" s="6">
        <f>SUM('01_PRESUPUESTO_CRONOGRAMA_BASE'!G10:G11)</f>
        <v>57565.2</v>
      </c>
      <c r="F44" s="6">
        <f>SUMIFS('02_CRONOGRAMA_PV_DIARIO'!E:E, '02_CRONOGRAMA_PV_DIARIO'!A:A, A44, '02_CRONOGRAMA_PV_DIARIO'!C:C, C44)</f>
        <v>0</v>
      </c>
      <c r="G44" s="6">
        <f>SUMIFS(F$2:F44, C$2:C44, C44)</f>
        <v>0</v>
      </c>
      <c r="H44" s="6">
        <f>SUMIFS('04_LOG_FIELD_ENTRIES'!J:J, '04_LOG_FIELD_ENTRIES'!B:B, B44, '04_LOG_FIELD_ENTRIES'!D:D, C44, '04_LOG_FIELD_ENTRIES'!K:K, "EV_PRODUCCION")</f>
        <v>0</v>
      </c>
      <c r="I44" s="6">
        <f>SUMIFS(H$2:H44, C$2:C44, C44)</f>
        <v>9327.4500000000007</v>
      </c>
      <c r="J44" s="6">
        <f>SUMIFS('04_LOG_FIELD_ENTRIES'!J:J, '04_LOG_FIELD_ENTRIES'!B:B, B44, '04_LOG_FIELD_ENTRIES'!D:D, C44, '04_LOG_FIELD_ENTRIES'!K:K, "AC_*")</f>
        <v>0</v>
      </c>
      <c r="K44" s="6">
        <f>SUMIFS(J$2:J44, C$2:C44, C44)</f>
        <v>7730.8</v>
      </c>
      <c r="L44" s="6">
        <f t="shared" si="0"/>
        <v>1596.6500000000005</v>
      </c>
      <c r="M44" s="6">
        <f t="shared" si="1"/>
        <v>9327.4500000000007</v>
      </c>
      <c r="N44" s="21">
        <f t="shared" si="2"/>
        <v>1</v>
      </c>
      <c r="O44" s="21">
        <f t="shared" si="3"/>
        <v>1.2065310187820149</v>
      </c>
      <c r="P44" s="2" t="str">
        <f t="shared" si="4"/>
        <v>SALUDABLE</v>
      </c>
    </row>
    <row r="45" spans="1:16" ht="19.95" customHeight="1" x14ac:dyDescent="0.3">
      <c r="A45" s="4">
        <v>11</v>
      </c>
      <c r="B45" s="4" t="s">
        <v>83</v>
      </c>
      <c r="C45" s="2" t="s">
        <v>56</v>
      </c>
      <c r="D45" s="3" t="s">
        <v>74</v>
      </c>
      <c r="E45" s="6">
        <f>SUM('01_PRESUPUESTO_CRONOGRAMA_BASE'!G12:G12)</f>
        <v>9348.06</v>
      </c>
      <c r="F45" s="6">
        <f>SUMIFS('02_CRONOGRAMA_PV_DIARIO'!E:E, '02_CRONOGRAMA_PV_DIARIO'!A:A, A45, '02_CRONOGRAMA_PV_DIARIO'!C:C, C45)</f>
        <v>0</v>
      </c>
      <c r="G45" s="6">
        <f>SUMIFS(F$2:F45, C$2:C45, C45)</f>
        <v>0</v>
      </c>
      <c r="H45" s="6">
        <f>SUMIFS('04_LOG_FIELD_ENTRIES'!J:J, '04_LOG_FIELD_ENTRIES'!B:B, B45, '04_LOG_FIELD_ENTRIES'!D:D, C45, '04_LOG_FIELD_ENTRIES'!K:K, "EV_PRODUCCION")</f>
        <v>0</v>
      </c>
      <c r="I45" s="6">
        <f>SUMIFS(H$2:H45, C$2:C45, C45)</f>
        <v>2337.02</v>
      </c>
      <c r="J45" s="6">
        <f>SUMIFS('04_LOG_FIELD_ENTRIES'!J:J, '04_LOG_FIELD_ENTRIES'!B:B, B45, '04_LOG_FIELD_ENTRIES'!D:D, C45, '04_LOG_FIELD_ENTRIES'!K:K, "AC_*")</f>
        <v>0</v>
      </c>
      <c r="K45" s="6">
        <f>SUMIFS(J$2:J45, C$2:C45, C45)</f>
        <v>1299.2</v>
      </c>
      <c r="L45" s="6">
        <f t="shared" si="0"/>
        <v>1037.82</v>
      </c>
      <c r="M45" s="6">
        <f t="shared" si="1"/>
        <v>2337.02</v>
      </c>
      <c r="N45" s="21">
        <f t="shared" si="2"/>
        <v>1</v>
      </c>
      <c r="O45" s="21">
        <f t="shared" si="3"/>
        <v>1.7988146551724138</v>
      </c>
      <c r="P45" s="2" t="str">
        <f t="shared" si="4"/>
        <v>SALUDABLE</v>
      </c>
    </row>
    <row r="46" spans="1:16" ht="19.95" customHeight="1" x14ac:dyDescent="0.3">
      <c r="A46" s="4">
        <v>12</v>
      </c>
      <c r="B46" s="4" t="s">
        <v>30</v>
      </c>
      <c r="C46" s="2" t="s">
        <v>14</v>
      </c>
      <c r="D46" s="3" t="s">
        <v>71</v>
      </c>
      <c r="E46" s="6">
        <f>SUM('01_PRESUPUESTO_CRONOGRAMA_BASE'!G2:G3)</f>
        <v>16336.4</v>
      </c>
      <c r="F46" s="6">
        <f>SUMIFS('02_CRONOGRAMA_PV_DIARIO'!E:E, '02_CRONOGRAMA_PV_DIARIO'!A:A, A46, '02_CRONOGRAMA_PV_DIARIO'!C:C, C46)</f>
        <v>1166.8899999999999</v>
      </c>
      <c r="G46" s="6">
        <f>SUMIFS(F$2:F46, C$2:C46, C46)</f>
        <v>14002.679999999995</v>
      </c>
      <c r="H46" s="6">
        <f>SUMIFS('04_LOG_FIELD_ENTRIES'!J:J, '04_LOG_FIELD_ENTRIES'!B:B, B46, '04_LOG_FIELD_ENTRIES'!D:D, C46, '04_LOG_FIELD_ENTRIES'!K:K, "EV_PRODUCCION")</f>
        <v>0</v>
      </c>
      <c r="I46" s="6">
        <f>SUMIFS(H$2:H46, C$2:C46, C46)</f>
        <v>5823.2</v>
      </c>
      <c r="J46" s="6">
        <f>SUMIFS('04_LOG_FIELD_ENTRIES'!J:J, '04_LOG_FIELD_ENTRIES'!B:B, B46, '04_LOG_FIELD_ENTRIES'!D:D, C46, '04_LOG_FIELD_ENTRIES'!K:K, "AC_*")</f>
        <v>0</v>
      </c>
      <c r="K46" s="6">
        <f>SUMIFS(J$2:J46, C$2:C46, C46)</f>
        <v>6331</v>
      </c>
      <c r="L46" s="6">
        <f t="shared" si="0"/>
        <v>-507.80000000000018</v>
      </c>
      <c r="M46" s="6">
        <f t="shared" si="1"/>
        <v>-8179.479999999995</v>
      </c>
      <c r="N46" s="21">
        <f t="shared" si="2"/>
        <v>0.41586324903518485</v>
      </c>
      <c r="O46" s="21">
        <f t="shared" si="3"/>
        <v>0.91979150213236449</v>
      </c>
      <c r="P46" s="2" t="str">
        <f t="shared" si="4"/>
        <v>ALERTA RETRASO</v>
      </c>
    </row>
    <row r="47" spans="1:16" ht="19.95" customHeight="1" x14ac:dyDescent="0.3">
      <c r="A47" s="4">
        <v>12</v>
      </c>
      <c r="B47" s="4" t="s">
        <v>30</v>
      </c>
      <c r="C47" s="2" t="s">
        <v>23</v>
      </c>
      <c r="D47" s="3" t="s">
        <v>72</v>
      </c>
      <c r="E47" s="6">
        <f>SUM('01_PRESUPUESTO_CRONOGRAMA_BASE'!G4:G9)</f>
        <v>372046.56</v>
      </c>
      <c r="F47" s="6">
        <f>SUMIFS('02_CRONOGRAMA_PV_DIARIO'!E:E, '02_CRONOGRAMA_PV_DIARIO'!A:A, A47, '02_CRONOGRAMA_PV_DIARIO'!C:C, C47)</f>
        <v>4368.2800000000007</v>
      </c>
      <c r="G47" s="6">
        <f>SUMIFS(F$2:F47, C$2:C47, C47)</f>
        <v>9965.0800000000017</v>
      </c>
      <c r="H47" s="6">
        <f>SUMIFS('04_LOG_FIELD_ENTRIES'!J:J, '04_LOG_FIELD_ENTRIES'!B:B, B47, '04_LOG_FIELD_ENTRIES'!D:D, C47, '04_LOG_FIELD_ENTRIES'!K:K, "EV_PRODUCCION")</f>
        <v>0</v>
      </c>
      <c r="I47" s="6">
        <f>SUMIFS(H$2:H47, C$2:C47, C47)</f>
        <v>44254.52</v>
      </c>
      <c r="J47" s="6">
        <f>SUMIFS('04_LOG_FIELD_ENTRIES'!J:J, '04_LOG_FIELD_ENTRIES'!B:B, B47, '04_LOG_FIELD_ENTRIES'!D:D, C47, '04_LOG_FIELD_ENTRIES'!K:K, "AC_*")</f>
        <v>0</v>
      </c>
      <c r="K47" s="6">
        <f>SUMIFS(J$2:J47, C$2:C47, C47)</f>
        <v>34269.199999999997</v>
      </c>
      <c r="L47" s="6">
        <f t="shared" si="0"/>
        <v>9985.32</v>
      </c>
      <c r="M47" s="6">
        <f t="shared" si="1"/>
        <v>34289.439999999995</v>
      </c>
      <c r="N47" s="21">
        <f t="shared" si="2"/>
        <v>4.4409598317324086</v>
      </c>
      <c r="O47" s="21">
        <f t="shared" si="3"/>
        <v>1.291378847478202</v>
      </c>
      <c r="P47" s="2" t="str">
        <f t="shared" si="4"/>
        <v>SALUDABLE</v>
      </c>
    </row>
    <row r="48" spans="1:16" ht="19.95" customHeight="1" x14ac:dyDescent="0.3">
      <c r="A48" s="4">
        <v>12</v>
      </c>
      <c r="B48" s="4" t="s">
        <v>30</v>
      </c>
      <c r="C48" s="2" t="s">
        <v>49</v>
      </c>
      <c r="D48" s="3" t="s">
        <v>73</v>
      </c>
      <c r="E48" s="6">
        <f>SUM('01_PRESUPUESTO_CRONOGRAMA_BASE'!G10:G11)</f>
        <v>57565.2</v>
      </c>
      <c r="F48" s="6">
        <f>SUMIFS('02_CRONOGRAMA_PV_DIARIO'!E:E, '02_CRONOGRAMA_PV_DIARIO'!A:A, A48, '02_CRONOGRAMA_PV_DIARIO'!C:C, C48)</f>
        <v>0</v>
      </c>
      <c r="G48" s="6">
        <f>SUMIFS(F$2:F48, C$2:C48, C48)</f>
        <v>0</v>
      </c>
      <c r="H48" s="6">
        <f>SUMIFS('04_LOG_FIELD_ENTRIES'!J:J, '04_LOG_FIELD_ENTRIES'!B:B, B48, '04_LOG_FIELD_ENTRIES'!D:D, C48, '04_LOG_FIELD_ENTRIES'!K:K, "EV_PRODUCCION")</f>
        <v>0</v>
      </c>
      <c r="I48" s="6">
        <f>SUMIFS(H$2:H48, C$2:C48, C48)</f>
        <v>9327.4500000000007</v>
      </c>
      <c r="J48" s="6">
        <f>SUMIFS('04_LOG_FIELD_ENTRIES'!J:J, '04_LOG_FIELD_ENTRIES'!B:B, B48, '04_LOG_FIELD_ENTRIES'!D:D, C48, '04_LOG_FIELD_ENTRIES'!K:K, "AC_*")</f>
        <v>0</v>
      </c>
      <c r="K48" s="6">
        <f>SUMIFS(J$2:J48, C$2:C48, C48)</f>
        <v>7730.8</v>
      </c>
      <c r="L48" s="6">
        <f t="shared" si="0"/>
        <v>1596.6500000000005</v>
      </c>
      <c r="M48" s="6">
        <f t="shared" si="1"/>
        <v>9327.4500000000007</v>
      </c>
      <c r="N48" s="21">
        <f t="shared" si="2"/>
        <v>1</v>
      </c>
      <c r="O48" s="21">
        <f t="shared" si="3"/>
        <v>1.2065310187820149</v>
      </c>
      <c r="P48" s="2" t="str">
        <f t="shared" si="4"/>
        <v>SALUDABLE</v>
      </c>
    </row>
    <row r="49" spans="1:16" ht="19.95" customHeight="1" x14ac:dyDescent="0.3">
      <c r="A49" s="4">
        <v>12</v>
      </c>
      <c r="B49" s="4" t="s">
        <v>30</v>
      </c>
      <c r="C49" s="2" t="s">
        <v>56</v>
      </c>
      <c r="D49" s="3" t="s">
        <v>74</v>
      </c>
      <c r="E49" s="6">
        <f>SUM('01_PRESUPUESTO_CRONOGRAMA_BASE'!G12:G12)</f>
        <v>9348.06</v>
      </c>
      <c r="F49" s="6">
        <f>SUMIFS('02_CRONOGRAMA_PV_DIARIO'!E:E, '02_CRONOGRAMA_PV_DIARIO'!A:A, A49, '02_CRONOGRAMA_PV_DIARIO'!C:C, C49)</f>
        <v>0</v>
      </c>
      <c r="G49" s="6">
        <f>SUMIFS(F$2:F49, C$2:C49, C49)</f>
        <v>0</v>
      </c>
      <c r="H49" s="6">
        <f>SUMIFS('04_LOG_FIELD_ENTRIES'!J:J, '04_LOG_FIELD_ENTRIES'!B:B, B49, '04_LOG_FIELD_ENTRIES'!D:D, C49, '04_LOG_FIELD_ENTRIES'!K:K, "EV_PRODUCCION")</f>
        <v>0</v>
      </c>
      <c r="I49" s="6">
        <f>SUMIFS(H$2:H49, C$2:C49, C49)</f>
        <v>2337.02</v>
      </c>
      <c r="J49" s="6">
        <f>SUMIFS('04_LOG_FIELD_ENTRIES'!J:J, '04_LOG_FIELD_ENTRIES'!B:B, B49, '04_LOG_FIELD_ENTRIES'!D:D, C49, '04_LOG_FIELD_ENTRIES'!K:K, "AC_*")</f>
        <v>0</v>
      </c>
      <c r="K49" s="6">
        <f>SUMIFS(J$2:J49, C$2:C49, C49)</f>
        <v>1299.2</v>
      </c>
      <c r="L49" s="6">
        <f t="shared" si="0"/>
        <v>1037.82</v>
      </c>
      <c r="M49" s="6">
        <f t="shared" si="1"/>
        <v>2337.02</v>
      </c>
      <c r="N49" s="21">
        <f t="shared" si="2"/>
        <v>1</v>
      </c>
      <c r="O49" s="21">
        <f t="shared" si="3"/>
        <v>1.7988146551724138</v>
      </c>
      <c r="P49" s="2" t="str">
        <f t="shared" si="4"/>
        <v>SALUDABLE</v>
      </c>
    </row>
    <row r="50" spans="1:16" ht="19.95" customHeight="1" x14ac:dyDescent="0.3">
      <c r="A50" s="4">
        <v>13</v>
      </c>
      <c r="B50" s="4" t="s">
        <v>84</v>
      </c>
      <c r="C50" s="2" t="s">
        <v>14</v>
      </c>
      <c r="D50" s="3" t="s">
        <v>71</v>
      </c>
      <c r="E50" s="6">
        <f>SUM('01_PRESUPUESTO_CRONOGRAMA_BASE'!G2:G3)</f>
        <v>16336.4</v>
      </c>
      <c r="F50" s="6">
        <f>SUMIFS('02_CRONOGRAMA_PV_DIARIO'!E:E, '02_CRONOGRAMA_PV_DIARIO'!A:A, A50, '02_CRONOGRAMA_PV_DIARIO'!C:C, C50)</f>
        <v>1166.8899999999999</v>
      </c>
      <c r="G50" s="6">
        <f>SUMIFS(F$2:F50, C$2:C50, C50)</f>
        <v>15169.569999999994</v>
      </c>
      <c r="H50" s="6">
        <f>SUMIFS('04_LOG_FIELD_ENTRIES'!J:J, '04_LOG_FIELD_ENTRIES'!B:B, B50, '04_LOG_FIELD_ENTRIES'!D:D, C50, '04_LOG_FIELD_ENTRIES'!K:K, "EV_PRODUCCION")</f>
        <v>0</v>
      </c>
      <c r="I50" s="6">
        <f>SUMIFS(H$2:H50, C$2:C50, C50)</f>
        <v>5823.2</v>
      </c>
      <c r="J50" s="6">
        <f>SUMIFS('04_LOG_FIELD_ENTRIES'!J:J, '04_LOG_FIELD_ENTRIES'!B:B, B50, '04_LOG_FIELD_ENTRIES'!D:D, C50, '04_LOG_FIELD_ENTRIES'!K:K, "AC_*")</f>
        <v>0</v>
      </c>
      <c r="K50" s="6">
        <f>SUMIFS(J$2:J50, C$2:C50, C50)</f>
        <v>6331</v>
      </c>
      <c r="L50" s="6">
        <f t="shared" si="0"/>
        <v>-507.80000000000018</v>
      </c>
      <c r="M50" s="6">
        <f t="shared" si="1"/>
        <v>-9346.3699999999953</v>
      </c>
      <c r="N50" s="21">
        <f t="shared" si="2"/>
        <v>0.38387376834017062</v>
      </c>
      <c r="O50" s="21">
        <f t="shared" si="3"/>
        <v>0.91979150213236449</v>
      </c>
      <c r="P50" s="2" t="str">
        <f t="shared" si="4"/>
        <v>ALERTA RETRASO</v>
      </c>
    </row>
    <row r="51" spans="1:16" ht="19.95" customHeight="1" x14ac:dyDescent="0.3">
      <c r="A51" s="4">
        <v>13</v>
      </c>
      <c r="B51" s="4" t="s">
        <v>84</v>
      </c>
      <c r="C51" s="2" t="s">
        <v>23</v>
      </c>
      <c r="D51" s="3" t="s">
        <v>72</v>
      </c>
      <c r="E51" s="6">
        <f>SUM('01_PRESUPUESTO_CRONOGRAMA_BASE'!G4:G9)</f>
        <v>372046.56</v>
      </c>
      <c r="F51" s="6">
        <f>SUMIFS('02_CRONOGRAMA_PV_DIARIO'!E:E, '02_CRONOGRAMA_PV_DIARIO'!A:A, A51, '02_CRONOGRAMA_PV_DIARIO'!C:C, C51)</f>
        <v>4368.2800000000007</v>
      </c>
      <c r="G51" s="6">
        <f>SUMIFS(F$2:F51, C$2:C51, C51)</f>
        <v>14333.360000000002</v>
      </c>
      <c r="H51" s="6">
        <f>SUMIFS('04_LOG_FIELD_ENTRIES'!J:J, '04_LOG_FIELD_ENTRIES'!B:B, B51, '04_LOG_FIELD_ENTRIES'!D:D, C51, '04_LOG_FIELD_ENTRIES'!K:K, "EV_PRODUCCION")</f>
        <v>0</v>
      </c>
      <c r="I51" s="6">
        <f>SUMIFS(H$2:H51, C$2:C51, C51)</f>
        <v>44254.52</v>
      </c>
      <c r="J51" s="6">
        <f>SUMIFS('04_LOG_FIELD_ENTRIES'!J:J, '04_LOG_FIELD_ENTRIES'!B:B, B51, '04_LOG_FIELD_ENTRIES'!D:D, C51, '04_LOG_FIELD_ENTRIES'!K:K, "AC_*")</f>
        <v>0</v>
      </c>
      <c r="K51" s="6">
        <f>SUMIFS(J$2:J51, C$2:C51, C51)</f>
        <v>34269.199999999997</v>
      </c>
      <c r="L51" s="6">
        <f t="shared" si="0"/>
        <v>9985.32</v>
      </c>
      <c r="M51" s="6">
        <f t="shared" si="1"/>
        <v>29921.159999999996</v>
      </c>
      <c r="N51" s="21">
        <f t="shared" si="2"/>
        <v>3.0875189069415678</v>
      </c>
      <c r="O51" s="21">
        <f t="shared" si="3"/>
        <v>1.291378847478202</v>
      </c>
      <c r="P51" s="2" t="str">
        <f t="shared" si="4"/>
        <v>SALUDABLE</v>
      </c>
    </row>
    <row r="52" spans="1:16" ht="19.95" customHeight="1" x14ac:dyDescent="0.3">
      <c r="A52" s="4">
        <v>13</v>
      </c>
      <c r="B52" s="4" t="s">
        <v>84</v>
      </c>
      <c r="C52" s="2" t="s">
        <v>49</v>
      </c>
      <c r="D52" s="3" t="s">
        <v>73</v>
      </c>
      <c r="E52" s="6">
        <f>SUM('01_PRESUPUESTO_CRONOGRAMA_BASE'!G10:G11)</f>
        <v>57565.2</v>
      </c>
      <c r="F52" s="6">
        <f>SUMIFS('02_CRONOGRAMA_PV_DIARIO'!E:E, '02_CRONOGRAMA_PV_DIARIO'!A:A, A52, '02_CRONOGRAMA_PV_DIARIO'!C:C, C52)</f>
        <v>0</v>
      </c>
      <c r="G52" s="6">
        <f>SUMIFS(F$2:F52, C$2:C52, C52)</f>
        <v>0</v>
      </c>
      <c r="H52" s="6">
        <f>SUMIFS('04_LOG_FIELD_ENTRIES'!J:J, '04_LOG_FIELD_ENTRIES'!B:B, B52, '04_LOG_FIELD_ENTRIES'!D:D, C52, '04_LOG_FIELD_ENTRIES'!K:K, "EV_PRODUCCION")</f>
        <v>0</v>
      </c>
      <c r="I52" s="6">
        <f>SUMIFS(H$2:H52, C$2:C52, C52)</f>
        <v>9327.4500000000007</v>
      </c>
      <c r="J52" s="6">
        <f>SUMIFS('04_LOG_FIELD_ENTRIES'!J:J, '04_LOG_FIELD_ENTRIES'!B:B, B52, '04_LOG_FIELD_ENTRIES'!D:D, C52, '04_LOG_FIELD_ENTRIES'!K:K, "AC_*")</f>
        <v>0</v>
      </c>
      <c r="K52" s="6">
        <f>SUMIFS(J$2:J52, C$2:C52, C52)</f>
        <v>7730.8</v>
      </c>
      <c r="L52" s="6">
        <f t="shared" si="0"/>
        <v>1596.6500000000005</v>
      </c>
      <c r="M52" s="6">
        <f t="shared" si="1"/>
        <v>9327.4500000000007</v>
      </c>
      <c r="N52" s="21">
        <f t="shared" si="2"/>
        <v>1</v>
      </c>
      <c r="O52" s="21">
        <f t="shared" si="3"/>
        <v>1.2065310187820149</v>
      </c>
      <c r="P52" s="2" t="str">
        <f t="shared" si="4"/>
        <v>SALUDABLE</v>
      </c>
    </row>
    <row r="53" spans="1:16" ht="19.95" customHeight="1" x14ac:dyDescent="0.3">
      <c r="A53" s="4">
        <v>13</v>
      </c>
      <c r="B53" s="4" t="s">
        <v>84</v>
      </c>
      <c r="C53" s="2" t="s">
        <v>56</v>
      </c>
      <c r="D53" s="3" t="s">
        <v>74</v>
      </c>
      <c r="E53" s="6">
        <f>SUM('01_PRESUPUESTO_CRONOGRAMA_BASE'!G12:G12)</f>
        <v>9348.06</v>
      </c>
      <c r="F53" s="6">
        <f>SUMIFS('02_CRONOGRAMA_PV_DIARIO'!E:E, '02_CRONOGRAMA_PV_DIARIO'!A:A, A53, '02_CRONOGRAMA_PV_DIARIO'!C:C, C53)</f>
        <v>0</v>
      </c>
      <c r="G53" s="6">
        <f>SUMIFS(F$2:F53, C$2:C53, C53)</f>
        <v>0</v>
      </c>
      <c r="H53" s="6">
        <f>SUMIFS('04_LOG_FIELD_ENTRIES'!J:J, '04_LOG_FIELD_ENTRIES'!B:B, B53, '04_LOG_FIELD_ENTRIES'!D:D, C53, '04_LOG_FIELD_ENTRIES'!K:K, "EV_PRODUCCION")</f>
        <v>0</v>
      </c>
      <c r="I53" s="6">
        <f>SUMIFS(H$2:H53, C$2:C53, C53)</f>
        <v>2337.02</v>
      </c>
      <c r="J53" s="6">
        <f>SUMIFS('04_LOG_FIELD_ENTRIES'!J:J, '04_LOG_FIELD_ENTRIES'!B:B, B53, '04_LOG_FIELD_ENTRIES'!D:D, C53, '04_LOG_FIELD_ENTRIES'!K:K, "AC_*")</f>
        <v>0</v>
      </c>
      <c r="K53" s="6">
        <f>SUMIFS(J$2:J53, C$2:C53, C53)</f>
        <v>1299.2</v>
      </c>
      <c r="L53" s="6">
        <f t="shared" si="0"/>
        <v>1037.82</v>
      </c>
      <c r="M53" s="6">
        <f t="shared" si="1"/>
        <v>2337.02</v>
      </c>
      <c r="N53" s="21">
        <f t="shared" si="2"/>
        <v>1</v>
      </c>
      <c r="O53" s="21">
        <f t="shared" si="3"/>
        <v>1.7988146551724138</v>
      </c>
      <c r="P53" s="2" t="str">
        <f t="shared" si="4"/>
        <v>SALUDABLE</v>
      </c>
    </row>
    <row r="54" spans="1:16" ht="19.95" customHeight="1" x14ac:dyDescent="0.3">
      <c r="A54" s="4">
        <v>14</v>
      </c>
      <c r="B54" s="4" t="s">
        <v>18</v>
      </c>
      <c r="C54" s="2" t="s">
        <v>14</v>
      </c>
      <c r="D54" s="3" t="s">
        <v>71</v>
      </c>
      <c r="E54" s="6">
        <f>SUM('01_PRESUPUESTO_CRONOGRAMA_BASE'!G2:G3)</f>
        <v>16336.4</v>
      </c>
      <c r="F54" s="6">
        <f>SUMIFS('02_CRONOGRAMA_PV_DIARIO'!E:E, '02_CRONOGRAMA_PV_DIARIO'!A:A, A54, '02_CRONOGRAMA_PV_DIARIO'!C:C, C54)</f>
        <v>1166.8899999999999</v>
      </c>
      <c r="G54" s="6">
        <f>SUMIFS(F$2:F54, C$2:C54, C54)</f>
        <v>16336.459999999994</v>
      </c>
      <c r="H54" s="6">
        <f>SUMIFS('04_LOG_FIELD_ENTRIES'!J:J, '04_LOG_FIELD_ENTRIES'!B:B, B54, '04_LOG_FIELD_ENTRIES'!D:D, C54, '04_LOG_FIELD_ENTRIES'!K:K, "EV_PRODUCCION")</f>
        <v>0</v>
      </c>
      <c r="I54" s="6">
        <f>SUMIFS(H$2:H54, C$2:C54, C54)</f>
        <v>5823.2</v>
      </c>
      <c r="J54" s="6">
        <f>SUMIFS('04_LOG_FIELD_ENTRIES'!J:J, '04_LOG_FIELD_ENTRIES'!B:B, B54, '04_LOG_FIELD_ENTRIES'!D:D, C54, '04_LOG_FIELD_ENTRIES'!K:K, "AC_*")</f>
        <v>0</v>
      </c>
      <c r="K54" s="6">
        <f>SUMIFS(J$2:J54, C$2:C54, C54)</f>
        <v>6331</v>
      </c>
      <c r="L54" s="6">
        <f t="shared" si="0"/>
        <v>-507.80000000000018</v>
      </c>
      <c r="M54" s="6">
        <f t="shared" si="1"/>
        <v>-10513.259999999995</v>
      </c>
      <c r="N54" s="21">
        <f t="shared" si="2"/>
        <v>0.35645421345872985</v>
      </c>
      <c r="O54" s="21">
        <f t="shared" si="3"/>
        <v>0.91979150213236449</v>
      </c>
      <c r="P54" s="2" t="str">
        <f t="shared" si="4"/>
        <v>ALERTA RETRASO</v>
      </c>
    </row>
    <row r="55" spans="1:16" ht="19.95" customHeight="1" x14ac:dyDescent="0.3">
      <c r="A55" s="4">
        <v>14</v>
      </c>
      <c r="B55" s="4" t="s">
        <v>18</v>
      </c>
      <c r="C55" s="2" t="s">
        <v>23</v>
      </c>
      <c r="D55" s="3" t="s">
        <v>72</v>
      </c>
      <c r="E55" s="6">
        <f>SUM('01_PRESUPUESTO_CRONOGRAMA_BASE'!G4:G9)</f>
        <v>372046.56</v>
      </c>
      <c r="F55" s="6">
        <f>SUMIFS('02_CRONOGRAMA_PV_DIARIO'!E:E, '02_CRONOGRAMA_PV_DIARIO'!A:A, A55, '02_CRONOGRAMA_PV_DIARIO'!C:C, C55)</f>
        <v>4368.2800000000007</v>
      </c>
      <c r="G55" s="6">
        <f>SUMIFS(F$2:F55, C$2:C55, C55)</f>
        <v>18701.640000000003</v>
      </c>
      <c r="H55" s="6">
        <f>SUMIFS('04_LOG_FIELD_ENTRIES'!J:J, '04_LOG_FIELD_ENTRIES'!B:B, B55, '04_LOG_FIELD_ENTRIES'!D:D, C55, '04_LOG_FIELD_ENTRIES'!K:K, "EV_PRODUCCION")</f>
        <v>0</v>
      </c>
      <c r="I55" s="6">
        <f>SUMIFS(H$2:H55, C$2:C55, C55)</f>
        <v>44254.52</v>
      </c>
      <c r="J55" s="6">
        <f>SUMIFS('04_LOG_FIELD_ENTRIES'!J:J, '04_LOG_FIELD_ENTRIES'!B:B, B55, '04_LOG_FIELD_ENTRIES'!D:D, C55, '04_LOG_FIELD_ENTRIES'!K:K, "AC_*")</f>
        <v>0</v>
      </c>
      <c r="K55" s="6">
        <f>SUMIFS(J$2:J55, C$2:C55, C55)</f>
        <v>34269.199999999997</v>
      </c>
      <c r="L55" s="6">
        <f t="shared" si="0"/>
        <v>9985.32</v>
      </c>
      <c r="M55" s="6">
        <f t="shared" si="1"/>
        <v>25552.879999999994</v>
      </c>
      <c r="N55" s="21">
        <f t="shared" si="2"/>
        <v>2.3663443419935359</v>
      </c>
      <c r="O55" s="21">
        <f t="shared" si="3"/>
        <v>1.291378847478202</v>
      </c>
      <c r="P55" s="2" t="str">
        <f t="shared" si="4"/>
        <v>SALUDABLE</v>
      </c>
    </row>
    <row r="56" spans="1:16" ht="19.95" customHeight="1" x14ac:dyDescent="0.3">
      <c r="A56" s="4">
        <v>14</v>
      </c>
      <c r="B56" s="4" t="s">
        <v>18</v>
      </c>
      <c r="C56" s="2" t="s">
        <v>49</v>
      </c>
      <c r="D56" s="3" t="s">
        <v>73</v>
      </c>
      <c r="E56" s="6">
        <f>SUM('01_PRESUPUESTO_CRONOGRAMA_BASE'!G10:G11)</f>
        <v>57565.2</v>
      </c>
      <c r="F56" s="6">
        <f>SUMIFS('02_CRONOGRAMA_PV_DIARIO'!E:E, '02_CRONOGRAMA_PV_DIARIO'!A:A, A56, '02_CRONOGRAMA_PV_DIARIO'!C:C, C56)</f>
        <v>0</v>
      </c>
      <c r="G56" s="6">
        <f>SUMIFS(F$2:F56, C$2:C56, C56)</f>
        <v>0</v>
      </c>
      <c r="H56" s="6">
        <f>SUMIFS('04_LOG_FIELD_ENTRIES'!J:J, '04_LOG_FIELD_ENTRIES'!B:B, B56, '04_LOG_FIELD_ENTRIES'!D:D, C56, '04_LOG_FIELD_ENTRIES'!K:K, "EV_PRODUCCION")</f>
        <v>0</v>
      </c>
      <c r="I56" s="6">
        <f>SUMIFS(H$2:H56, C$2:C56, C56)</f>
        <v>9327.4500000000007</v>
      </c>
      <c r="J56" s="6">
        <f>SUMIFS('04_LOG_FIELD_ENTRIES'!J:J, '04_LOG_FIELD_ENTRIES'!B:B, B56, '04_LOG_FIELD_ENTRIES'!D:D, C56, '04_LOG_FIELD_ENTRIES'!K:K, "AC_*")</f>
        <v>0</v>
      </c>
      <c r="K56" s="6">
        <f>SUMIFS(J$2:J56, C$2:C56, C56)</f>
        <v>7730.8</v>
      </c>
      <c r="L56" s="6">
        <f t="shared" si="0"/>
        <v>1596.6500000000005</v>
      </c>
      <c r="M56" s="6">
        <f t="shared" si="1"/>
        <v>9327.4500000000007</v>
      </c>
      <c r="N56" s="21">
        <f t="shared" si="2"/>
        <v>1</v>
      </c>
      <c r="O56" s="21">
        <f t="shared" si="3"/>
        <v>1.2065310187820149</v>
      </c>
      <c r="P56" s="2" t="str">
        <f t="shared" si="4"/>
        <v>SALUDABLE</v>
      </c>
    </row>
    <row r="57" spans="1:16" ht="19.95" customHeight="1" x14ac:dyDescent="0.3">
      <c r="A57" s="4">
        <v>14</v>
      </c>
      <c r="B57" s="4" t="s">
        <v>18</v>
      </c>
      <c r="C57" s="2" t="s">
        <v>56</v>
      </c>
      <c r="D57" s="3" t="s">
        <v>74</v>
      </c>
      <c r="E57" s="6">
        <f>SUM('01_PRESUPUESTO_CRONOGRAMA_BASE'!G12:G12)</f>
        <v>9348.06</v>
      </c>
      <c r="F57" s="6">
        <f>SUMIFS('02_CRONOGRAMA_PV_DIARIO'!E:E, '02_CRONOGRAMA_PV_DIARIO'!A:A, A57, '02_CRONOGRAMA_PV_DIARIO'!C:C, C57)</f>
        <v>0</v>
      </c>
      <c r="G57" s="6">
        <f>SUMIFS(F$2:F57, C$2:C57, C57)</f>
        <v>0</v>
      </c>
      <c r="H57" s="6">
        <f>SUMIFS('04_LOG_FIELD_ENTRIES'!J:J, '04_LOG_FIELD_ENTRIES'!B:B, B57, '04_LOG_FIELD_ENTRIES'!D:D, C57, '04_LOG_FIELD_ENTRIES'!K:K, "EV_PRODUCCION")</f>
        <v>0</v>
      </c>
      <c r="I57" s="6">
        <f>SUMIFS(H$2:H57, C$2:C57, C57)</f>
        <v>2337.02</v>
      </c>
      <c r="J57" s="6">
        <f>SUMIFS('04_LOG_FIELD_ENTRIES'!J:J, '04_LOG_FIELD_ENTRIES'!B:B, B57, '04_LOG_FIELD_ENTRIES'!D:D, C57, '04_LOG_FIELD_ENTRIES'!K:K, "AC_*")</f>
        <v>0</v>
      </c>
      <c r="K57" s="6">
        <f>SUMIFS(J$2:J57, C$2:C57, C57)</f>
        <v>1299.2</v>
      </c>
      <c r="L57" s="6">
        <f t="shared" si="0"/>
        <v>1037.82</v>
      </c>
      <c r="M57" s="6">
        <f t="shared" si="1"/>
        <v>2337.02</v>
      </c>
      <c r="N57" s="21">
        <f t="shared" si="2"/>
        <v>1</v>
      </c>
      <c r="O57" s="21">
        <f t="shared" si="3"/>
        <v>1.7988146551724138</v>
      </c>
      <c r="P57" s="2" t="str">
        <f t="shared" si="4"/>
        <v>SALUDABLE</v>
      </c>
    </row>
    <row r="58" spans="1:16" ht="19.95" customHeight="1" x14ac:dyDescent="0.3">
      <c r="A58" s="4">
        <v>15</v>
      </c>
      <c r="B58" s="4" t="s">
        <v>34</v>
      </c>
      <c r="C58" s="2" t="s">
        <v>14</v>
      </c>
      <c r="D58" s="3" t="s">
        <v>71</v>
      </c>
      <c r="E58" s="6">
        <f>SUM('01_PRESUPUESTO_CRONOGRAMA_BASE'!G2:G3)</f>
        <v>16336.4</v>
      </c>
      <c r="F58" s="6">
        <f>SUMIFS('02_CRONOGRAMA_PV_DIARIO'!E:E, '02_CRONOGRAMA_PV_DIARIO'!A:A, A58, '02_CRONOGRAMA_PV_DIARIO'!C:C, C58)</f>
        <v>0</v>
      </c>
      <c r="G58" s="6">
        <f>SUMIFS(F$2:F58, C$2:C58, C58)</f>
        <v>16336.459999999994</v>
      </c>
      <c r="H58" s="6">
        <f>SUMIFS('04_LOG_FIELD_ENTRIES'!J:J, '04_LOG_FIELD_ENTRIES'!B:B, B58, '04_LOG_FIELD_ENTRIES'!D:D, C58, '04_LOG_FIELD_ENTRIES'!K:K, "EV_PRODUCCION")</f>
        <v>0</v>
      </c>
      <c r="I58" s="6">
        <f>SUMIFS(H$2:H58, C$2:C58, C58)</f>
        <v>5823.2</v>
      </c>
      <c r="J58" s="6">
        <f>SUMIFS('04_LOG_FIELD_ENTRIES'!J:J, '04_LOG_FIELD_ENTRIES'!B:B, B58, '04_LOG_FIELD_ENTRIES'!D:D, C58, '04_LOG_FIELD_ENTRIES'!K:K, "AC_*")</f>
        <v>0</v>
      </c>
      <c r="K58" s="6">
        <f>SUMIFS(J$2:J58, C$2:C58, C58)</f>
        <v>6331</v>
      </c>
      <c r="L58" s="6">
        <f t="shared" si="0"/>
        <v>-507.80000000000018</v>
      </c>
      <c r="M58" s="6">
        <f t="shared" si="1"/>
        <v>-10513.259999999995</v>
      </c>
      <c r="N58" s="21">
        <f t="shared" si="2"/>
        <v>0.35645421345872985</v>
      </c>
      <c r="O58" s="21">
        <f t="shared" si="3"/>
        <v>0.91979150213236449</v>
      </c>
      <c r="P58" s="2" t="str">
        <f t="shared" si="4"/>
        <v>ALERTA RETRASO</v>
      </c>
    </row>
    <row r="59" spans="1:16" ht="19.95" customHeight="1" x14ac:dyDescent="0.3">
      <c r="A59" s="4">
        <v>15</v>
      </c>
      <c r="B59" s="4" t="s">
        <v>34</v>
      </c>
      <c r="C59" s="2" t="s">
        <v>23</v>
      </c>
      <c r="D59" s="3" t="s">
        <v>72</v>
      </c>
      <c r="E59" s="6">
        <f>SUM('01_PRESUPUESTO_CRONOGRAMA_BASE'!G4:G9)</f>
        <v>372046.56</v>
      </c>
      <c r="F59" s="6">
        <f>SUMIFS('02_CRONOGRAMA_PV_DIARIO'!E:E, '02_CRONOGRAMA_PV_DIARIO'!A:A, A59, '02_CRONOGRAMA_PV_DIARIO'!C:C, C59)</f>
        <v>8939.69</v>
      </c>
      <c r="G59" s="6">
        <f>SUMIFS(F$2:F59, C$2:C59, C59)</f>
        <v>27641.33</v>
      </c>
      <c r="H59" s="6">
        <f>SUMIFS('04_LOG_FIELD_ENTRIES'!J:J, '04_LOG_FIELD_ENTRIES'!B:B, B59, '04_LOG_FIELD_ENTRIES'!D:D, C59, '04_LOG_FIELD_ENTRIES'!K:K, "EV_PRODUCCION")</f>
        <v>0</v>
      </c>
      <c r="I59" s="6">
        <f>SUMIFS(H$2:H59, C$2:C59, C59)</f>
        <v>44254.52</v>
      </c>
      <c r="J59" s="6">
        <f>SUMIFS('04_LOG_FIELD_ENTRIES'!J:J, '04_LOG_FIELD_ENTRIES'!B:B, B59, '04_LOG_FIELD_ENTRIES'!D:D, C59, '04_LOG_FIELD_ENTRIES'!K:K, "AC_*")</f>
        <v>0</v>
      </c>
      <c r="K59" s="6">
        <f>SUMIFS(J$2:J59, C$2:C59, C59)</f>
        <v>34269.199999999997</v>
      </c>
      <c r="L59" s="6">
        <f t="shared" si="0"/>
        <v>9985.32</v>
      </c>
      <c r="M59" s="6">
        <f t="shared" si="1"/>
        <v>16613.189999999995</v>
      </c>
      <c r="N59" s="21">
        <f t="shared" si="2"/>
        <v>1.6010271575210018</v>
      </c>
      <c r="O59" s="21">
        <f t="shared" si="3"/>
        <v>1.291378847478202</v>
      </c>
      <c r="P59" s="2" t="str">
        <f t="shared" si="4"/>
        <v>SALUDABLE</v>
      </c>
    </row>
    <row r="60" spans="1:16" ht="19.95" customHeight="1" x14ac:dyDescent="0.3">
      <c r="A60" s="4">
        <v>15</v>
      </c>
      <c r="B60" s="4" t="s">
        <v>34</v>
      </c>
      <c r="C60" s="2" t="s">
        <v>49</v>
      </c>
      <c r="D60" s="3" t="s">
        <v>73</v>
      </c>
      <c r="E60" s="6">
        <f>SUM('01_PRESUPUESTO_CRONOGRAMA_BASE'!G10:G11)</f>
        <v>57565.2</v>
      </c>
      <c r="F60" s="6">
        <f>SUMIFS('02_CRONOGRAMA_PV_DIARIO'!E:E, '02_CRONOGRAMA_PV_DIARIO'!A:A, A60, '02_CRONOGRAMA_PV_DIARIO'!C:C, C60)</f>
        <v>0</v>
      </c>
      <c r="G60" s="6">
        <f>SUMIFS(F$2:F60, C$2:C60, C60)</f>
        <v>0</v>
      </c>
      <c r="H60" s="6">
        <f>SUMIFS('04_LOG_FIELD_ENTRIES'!J:J, '04_LOG_FIELD_ENTRIES'!B:B, B60, '04_LOG_FIELD_ENTRIES'!D:D, C60, '04_LOG_FIELD_ENTRIES'!K:K, "EV_PRODUCCION")</f>
        <v>0</v>
      </c>
      <c r="I60" s="6">
        <f>SUMIFS(H$2:H60, C$2:C60, C60)</f>
        <v>9327.4500000000007</v>
      </c>
      <c r="J60" s="6">
        <f>SUMIFS('04_LOG_FIELD_ENTRIES'!J:J, '04_LOG_FIELD_ENTRIES'!B:B, B60, '04_LOG_FIELD_ENTRIES'!D:D, C60, '04_LOG_FIELD_ENTRIES'!K:K, "AC_*")</f>
        <v>0</v>
      </c>
      <c r="K60" s="6">
        <f>SUMIFS(J$2:J60, C$2:C60, C60)</f>
        <v>7730.8</v>
      </c>
      <c r="L60" s="6">
        <f t="shared" si="0"/>
        <v>1596.6500000000005</v>
      </c>
      <c r="M60" s="6">
        <f t="shared" si="1"/>
        <v>9327.4500000000007</v>
      </c>
      <c r="N60" s="21">
        <f t="shared" si="2"/>
        <v>1</v>
      </c>
      <c r="O60" s="21">
        <f t="shared" si="3"/>
        <v>1.2065310187820149</v>
      </c>
      <c r="P60" s="2" t="str">
        <f t="shared" si="4"/>
        <v>SALUDABLE</v>
      </c>
    </row>
    <row r="61" spans="1:16" ht="19.95" customHeight="1" x14ac:dyDescent="0.3">
      <c r="A61" s="4">
        <v>15</v>
      </c>
      <c r="B61" s="4" t="s">
        <v>34</v>
      </c>
      <c r="C61" s="2" t="s">
        <v>56</v>
      </c>
      <c r="D61" s="3" t="s">
        <v>74</v>
      </c>
      <c r="E61" s="6">
        <f>SUM('01_PRESUPUESTO_CRONOGRAMA_BASE'!G12:G12)</f>
        <v>9348.06</v>
      </c>
      <c r="F61" s="6">
        <f>SUMIFS('02_CRONOGRAMA_PV_DIARIO'!E:E, '02_CRONOGRAMA_PV_DIARIO'!A:A, A61, '02_CRONOGRAMA_PV_DIARIO'!C:C, C61)</f>
        <v>0</v>
      </c>
      <c r="G61" s="6">
        <f>SUMIFS(F$2:F61, C$2:C61, C61)</f>
        <v>0</v>
      </c>
      <c r="H61" s="6">
        <f>SUMIFS('04_LOG_FIELD_ENTRIES'!J:J, '04_LOG_FIELD_ENTRIES'!B:B, B61, '04_LOG_FIELD_ENTRIES'!D:D, C61, '04_LOG_FIELD_ENTRIES'!K:K, "EV_PRODUCCION")</f>
        <v>0</v>
      </c>
      <c r="I61" s="6">
        <f>SUMIFS(H$2:H61, C$2:C61, C61)</f>
        <v>2337.02</v>
      </c>
      <c r="J61" s="6">
        <f>SUMIFS('04_LOG_FIELD_ENTRIES'!J:J, '04_LOG_FIELD_ENTRIES'!B:B, B61, '04_LOG_FIELD_ENTRIES'!D:D, C61, '04_LOG_FIELD_ENTRIES'!K:K, "AC_*")</f>
        <v>0</v>
      </c>
      <c r="K61" s="6">
        <f>SUMIFS(J$2:J61, C$2:C61, C61)</f>
        <v>1299.2</v>
      </c>
      <c r="L61" s="6">
        <f t="shared" si="0"/>
        <v>1037.82</v>
      </c>
      <c r="M61" s="6">
        <f t="shared" si="1"/>
        <v>2337.02</v>
      </c>
      <c r="N61" s="21">
        <f t="shared" si="2"/>
        <v>1</v>
      </c>
      <c r="O61" s="21">
        <f t="shared" si="3"/>
        <v>1.7988146551724138</v>
      </c>
      <c r="P61" s="2" t="str">
        <f t="shared" si="4"/>
        <v>SALUDABLE</v>
      </c>
    </row>
    <row r="62" spans="1:16" ht="19.95" customHeight="1" x14ac:dyDescent="0.3">
      <c r="A62" s="4">
        <v>16</v>
      </c>
      <c r="B62" s="4" t="s">
        <v>85</v>
      </c>
      <c r="C62" s="2" t="s">
        <v>14</v>
      </c>
      <c r="D62" s="3" t="s">
        <v>71</v>
      </c>
      <c r="E62" s="6">
        <f>SUM('01_PRESUPUESTO_CRONOGRAMA_BASE'!G2:G3)</f>
        <v>16336.4</v>
      </c>
      <c r="F62" s="6">
        <f>SUMIFS('02_CRONOGRAMA_PV_DIARIO'!E:E, '02_CRONOGRAMA_PV_DIARIO'!A:A, A62, '02_CRONOGRAMA_PV_DIARIO'!C:C, C62)</f>
        <v>0</v>
      </c>
      <c r="G62" s="6">
        <f>SUMIFS(F$2:F62, C$2:C62, C62)</f>
        <v>16336.459999999994</v>
      </c>
      <c r="H62" s="6">
        <f>SUMIFS('04_LOG_FIELD_ENTRIES'!J:J, '04_LOG_FIELD_ENTRIES'!B:B, B62, '04_LOG_FIELD_ENTRIES'!D:D, C62, '04_LOG_FIELD_ENTRIES'!K:K, "EV_PRODUCCION")</f>
        <v>0</v>
      </c>
      <c r="I62" s="6">
        <f>SUMIFS(H$2:H62, C$2:C62, C62)</f>
        <v>5823.2</v>
      </c>
      <c r="J62" s="6">
        <f>SUMIFS('04_LOG_FIELD_ENTRIES'!J:J, '04_LOG_FIELD_ENTRIES'!B:B, B62, '04_LOG_FIELD_ENTRIES'!D:D, C62, '04_LOG_FIELD_ENTRIES'!K:K, "AC_*")</f>
        <v>0</v>
      </c>
      <c r="K62" s="6">
        <f>SUMIFS(J$2:J62, C$2:C62, C62)</f>
        <v>6331</v>
      </c>
      <c r="L62" s="6">
        <f t="shared" si="0"/>
        <v>-507.80000000000018</v>
      </c>
      <c r="M62" s="6">
        <f t="shared" si="1"/>
        <v>-10513.259999999995</v>
      </c>
      <c r="N62" s="21">
        <f t="shared" si="2"/>
        <v>0.35645421345872985</v>
      </c>
      <c r="O62" s="21">
        <f t="shared" si="3"/>
        <v>0.91979150213236449</v>
      </c>
      <c r="P62" s="2" t="str">
        <f t="shared" si="4"/>
        <v>ALERTA RETRASO</v>
      </c>
    </row>
    <row r="63" spans="1:16" ht="19.95" customHeight="1" x14ac:dyDescent="0.3">
      <c r="A63" s="4">
        <v>16</v>
      </c>
      <c r="B63" s="4" t="s">
        <v>85</v>
      </c>
      <c r="C63" s="2" t="s">
        <v>23</v>
      </c>
      <c r="D63" s="3" t="s">
        <v>72</v>
      </c>
      <c r="E63" s="6">
        <f>SUM('01_PRESUPUESTO_CRONOGRAMA_BASE'!G4:G9)</f>
        <v>372046.56</v>
      </c>
      <c r="F63" s="6">
        <f>SUMIFS('02_CRONOGRAMA_PV_DIARIO'!E:E, '02_CRONOGRAMA_PV_DIARIO'!A:A, A63, '02_CRONOGRAMA_PV_DIARIO'!C:C, C63)</f>
        <v>8939.69</v>
      </c>
      <c r="G63" s="6">
        <f>SUMIFS(F$2:F63, C$2:C63, C63)</f>
        <v>36581.020000000004</v>
      </c>
      <c r="H63" s="6">
        <f>SUMIFS('04_LOG_FIELD_ENTRIES'!J:J, '04_LOG_FIELD_ENTRIES'!B:B, B63, '04_LOG_FIELD_ENTRIES'!D:D, C63, '04_LOG_FIELD_ENTRIES'!K:K, "EV_PRODUCCION")</f>
        <v>0</v>
      </c>
      <c r="I63" s="6">
        <f>SUMIFS(H$2:H63, C$2:C63, C63)</f>
        <v>44254.52</v>
      </c>
      <c r="J63" s="6">
        <f>SUMIFS('04_LOG_FIELD_ENTRIES'!J:J, '04_LOG_FIELD_ENTRIES'!B:B, B63, '04_LOG_FIELD_ENTRIES'!D:D, C63, '04_LOG_FIELD_ENTRIES'!K:K, "AC_*")</f>
        <v>0</v>
      </c>
      <c r="K63" s="6">
        <f>SUMIFS(J$2:J63, C$2:C63, C63)</f>
        <v>34269.199999999997</v>
      </c>
      <c r="L63" s="6">
        <f t="shared" si="0"/>
        <v>9985.32</v>
      </c>
      <c r="M63" s="6">
        <f t="shared" si="1"/>
        <v>7673.4999999999927</v>
      </c>
      <c r="N63" s="21">
        <f t="shared" si="2"/>
        <v>1.2097672508858417</v>
      </c>
      <c r="O63" s="21">
        <f t="shared" si="3"/>
        <v>1.291378847478202</v>
      </c>
      <c r="P63" s="2" t="str">
        <f t="shared" si="4"/>
        <v>SALUDABLE</v>
      </c>
    </row>
    <row r="64" spans="1:16" ht="19.95" customHeight="1" x14ac:dyDescent="0.3">
      <c r="A64" s="4">
        <v>16</v>
      </c>
      <c r="B64" s="4" t="s">
        <v>85</v>
      </c>
      <c r="C64" s="2" t="s">
        <v>49</v>
      </c>
      <c r="D64" s="3" t="s">
        <v>73</v>
      </c>
      <c r="E64" s="6">
        <f>SUM('01_PRESUPUESTO_CRONOGRAMA_BASE'!G10:G11)</f>
        <v>57565.2</v>
      </c>
      <c r="F64" s="6">
        <f>SUMIFS('02_CRONOGRAMA_PV_DIARIO'!E:E, '02_CRONOGRAMA_PV_DIARIO'!A:A, A64, '02_CRONOGRAMA_PV_DIARIO'!C:C, C64)</f>
        <v>0</v>
      </c>
      <c r="G64" s="6">
        <f>SUMIFS(F$2:F64, C$2:C64, C64)</f>
        <v>0</v>
      </c>
      <c r="H64" s="6">
        <f>SUMIFS('04_LOG_FIELD_ENTRIES'!J:J, '04_LOG_FIELD_ENTRIES'!B:B, B64, '04_LOG_FIELD_ENTRIES'!D:D, C64, '04_LOG_FIELD_ENTRIES'!K:K, "EV_PRODUCCION")</f>
        <v>0</v>
      </c>
      <c r="I64" s="6">
        <f>SUMIFS(H$2:H64, C$2:C64, C64)</f>
        <v>9327.4500000000007</v>
      </c>
      <c r="J64" s="6">
        <f>SUMIFS('04_LOG_FIELD_ENTRIES'!J:J, '04_LOG_FIELD_ENTRIES'!B:B, B64, '04_LOG_FIELD_ENTRIES'!D:D, C64, '04_LOG_FIELD_ENTRIES'!K:K, "AC_*")</f>
        <v>0</v>
      </c>
      <c r="K64" s="6">
        <f>SUMIFS(J$2:J64, C$2:C64, C64)</f>
        <v>7730.8</v>
      </c>
      <c r="L64" s="6">
        <f t="shared" si="0"/>
        <v>1596.6500000000005</v>
      </c>
      <c r="M64" s="6">
        <f t="shared" si="1"/>
        <v>9327.4500000000007</v>
      </c>
      <c r="N64" s="21">
        <f t="shared" si="2"/>
        <v>1</v>
      </c>
      <c r="O64" s="21">
        <f t="shared" si="3"/>
        <v>1.2065310187820149</v>
      </c>
      <c r="P64" s="2" t="str">
        <f t="shared" si="4"/>
        <v>SALUDABLE</v>
      </c>
    </row>
    <row r="65" spans="1:16" ht="19.95" customHeight="1" x14ac:dyDescent="0.3">
      <c r="A65" s="4">
        <v>16</v>
      </c>
      <c r="B65" s="4" t="s">
        <v>85</v>
      </c>
      <c r="C65" s="2" t="s">
        <v>56</v>
      </c>
      <c r="D65" s="3" t="s">
        <v>74</v>
      </c>
      <c r="E65" s="6">
        <f>SUM('01_PRESUPUESTO_CRONOGRAMA_BASE'!G12:G12)</f>
        <v>9348.06</v>
      </c>
      <c r="F65" s="6">
        <f>SUMIFS('02_CRONOGRAMA_PV_DIARIO'!E:E, '02_CRONOGRAMA_PV_DIARIO'!A:A, A65, '02_CRONOGRAMA_PV_DIARIO'!C:C, C65)</f>
        <v>0</v>
      </c>
      <c r="G65" s="6">
        <f>SUMIFS(F$2:F65, C$2:C65, C65)</f>
        <v>0</v>
      </c>
      <c r="H65" s="6">
        <f>SUMIFS('04_LOG_FIELD_ENTRIES'!J:J, '04_LOG_FIELD_ENTRIES'!B:B, B65, '04_LOG_FIELD_ENTRIES'!D:D, C65, '04_LOG_FIELD_ENTRIES'!K:K, "EV_PRODUCCION")</f>
        <v>0</v>
      </c>
      <c r="I65" s="6">
        <f>SUMIFS(H$2:H65, C$2:C65, C65)</f>
        <v>2337.02</v>
      </c>
      <c r="J65" s="6">
        <f>SUMIFS('04_LOG_FIELD_ENTRIES'!J:J, '04_LOG_FIELD_ENTRIES'!B:B, B65, '04_LOG_FIELD_ENTRIES'!D:D, C65, '04_LOG_FIELD_ENTRIES'!K:K, "AC_*")</f>
        <v>0</v>
      </c>
      <c r="K65" s="6">
        <f>SUMIFS(J$2:J65, C$2:C65, C65)</f>
        <v>1299.2</v>
      </c>
      <c r="L65" s="6">
        <f t="shared" si="0"/>
        <v>1037.82</v>
      </c>
      <c r="M65" s="6">
        <f t="shared" si="1"/>
        <v>2337.02</v>
      </c>
      <c r="N65" s="21">
        <f t="shared" si="2"/>
        <v>1</v>
      </c>
      <c r="O65" s="21">
        <f t="shared" si="3"/>
        <v>1.7988146551724138</v>
      </c>
      <c r="P65" s="2" t="str">
        <f t="shared" si="4"/>
        <v>SALUDABLE</v>
      </c>
    </row>
    <row r="66" spans="1:16" ht="19.95" customHeight="1" x14ac:dyDescent="0.3">
      <c r="A66" s="4">
        <v>17</v>
      </c>
      <c r="B66" s="4" t="s">
        <v>86</v>
      </c>
      <c r="C66" s="2" t="s">
        <v>14</v>
      </c>
      <c r="D66" s="3" t="s">
        <v>71</v>
      </c>
      <c r="E66" s="6">
        <f>SUM('01_PRESUPUESTO_CRONOGRAMA_BASE'!G2:G3)</f>
        <v>16336.4</v>
      </c>
      <c r="F66" s="6">
        <f>SUMIFS('02_CRONOGRAMA_PV_DIARIO'!E:E, '02_CRONOGRAMA_PV_DIARIO'!A:A, A66, '02_CRONOGRAMA_PV_DIARIO'!C:C, C66)</f>
        <v>0</v>
      </c>
      <c r="G66" s="6">
        <f>SUMIFS(F$2:F66, C$2:C66, C66)</f>
        <v>16336.459999999994</v>
      </c>
      <c r="H66" s="6">
        <f>SUMIFS('04_LOG_FIELD_ENTRIES'!J:J, '04_LOG_FIELD_ENTRIES'!B:B, B66, '04_LOG_FIELD_ENTRIES'!D:D, C66, '04_LOG_FIELD_ENTRIES'!K:K, "EV_PRODUCCION")</f>
        <v>0</v>
      </c>
      <c r="I66" s="6">
        <f>SUMIFS(H$2:H66, C$2:C66, C66)</f>
        <v>5823.2</v>
      </c>
      <c r="J66" s="6">
        <f>SUMIFS('04_LOG_FIELD_ENTRIES'!J:J, '04_LOG_FIELD_ENTRIES'!B:B, B66, '04_LOG_FIELD_ENTRIES'!D:D, C66, '04_LOG_FIELD_ENTRIES'!K:K, "AC_*")</f>
        <v>0</v>
      </c>
      <c r="K66" s="6">
        <f>SUMIFS(J$2:J66, C$2:C66, C66)</f>
        <v>6331</v>
      </c>
      <c r="L66" s="6">
        <f t="shared" ref="L66:L129" si="5">I66-K66</f>
        <v>-507.80000000000018</v>
      </c>
      <c r="M66" s="6">
        <f t="shared" ref="M66:M129" si="6">I66-G66</f>
        <v>-10513.259999999995</v>
      </c>
      <c r="N66" s="21">
        <f t="shared" ref="N66:N129" si="7">IF(G66&gt;0, I66/G66, 1)</f>
        <v>0.35645421345872985</v>
      </c>
      <c r="O66" s="21">
        <f t="shared" ref="O66:O129" si="8">IF(K66&gt;0, I66/K66, 1)</f>
        <v>0.91979150213236449</v>
      </c>
      <c r="P66" s="2" t="str">
        <f t="shared" ref="P66:P129" si="9">IF(AND(N66&gt;=0.95, O66&gt;=0.95), "SALUDABLE", IF(N66&lt;0.9, "ALERTA RETRASO", "ALERTA SOBRECOSTO"))</f>
        <v>ALERTA RETRASO</v>
      </c>
    </row>
    <row r="67" spans="1:16" ht="19.95" customHeight="1" x14ac:dyDescent="0.3">
      <c r="A67" s="4">
        <v>17</v>
      </c>
      <c r="B67" s="4" t="s">
        <v>86</v>
      </c>
      <c r="C67" s="2" t="s">
        <v>23</v>
      </c>
      <c r="D67" s="3" t="s">
        <v>72</v>
      </c>
      <c r="E67" s="6">
        <f>SUM('01_PRESUPUESTO_CRONOGRAMA_BASE'!G4:G9)</f>
        <v>372046.56</v>
      </c>
      <c r="F67" s="6">
        <f>SUMIFS('02_CRONOGRAMA_PV_DIARIO'!E:E, '02_CRONOGRAMA_PV_DIARIO'!A:A, A67, '02_CRONOGRAMA_PV_DIARIO'!C:C, C67)</f>
        <v>8939.69</v>
      </c>
      <c r="G67" s="6">
        <f>SUMIFS(F$2:F67, C$2:C67, C67)</f>
        <v>45520.710000000006</v>
      </c>
      <c r="H67" s="6">
        <f>SUMIFS('04_LOG_FIELD_ENTRIES'!J:J, '04_LOG_FIELD_ENTRIES'!B:B, B67, '04_LOG_FIELD_ENTRIES'!D:D, C67, '04_LOG_FIELD_ENTRIES'!K:K, "EV_PRODUCCION")</f>
        <v>0</v>
      </c>
      <c r="I67" s="6">
        <f>SUMIFS(H$2:H67, C$2:C67, C67)</f>
        <v>44254.52</v>
      </c>
      <c r="J67" s="6">
        <f>SUMIFS('04_LOG_FIELD_ENTRIES'!J:J, '04_LOG_FIELD_ENTRIES'!B:B, B67, '04_LOG_FIELD_ENTRIES'!D:D, C67, '04_LOG_FIELD_ENTRIES'!K:K, "AC_*")</f>
        <v>0</v>
      </c>
      <c r="K67" s="6">
        <f>SUMIFS(J$2:J67, C$2:C67, C67)</f>
        <v>34269.199999999997</v>
      </c>
      <c r="L67" s="6">
        <f t="shared" si="5"/>
        <v>9985.32</v>
      </c>
      <c r="M67" s="6">
        <f t="shared" si="6"/>
        <v>-1266.1900000000096</v>
      </c>
      <c r="N67" s="21">
        <f t="shared" si="7"/>
        <v>0.9721843090760226</v>
      </c>
      <c r="O67" s="21">
        <f t="shared" si="8"/>
        <v>1.291378847478202</v>
      </c>
      <c r="P67" s="2" t="str">
        <f t="shared" si="9"/>
        <v>SALUDABLE</v>
      </c>
    </row>
    <row r="68" spans="1:16" ht="19.95" customHeight="1" x14ac:dyDescent="0.3">
      <c r="A68" s="4">
        <v>17</v>
      </c>
      <c r="B68" s="4" t="s">
        <v>86</v>
      </c>
      <c r="C68" s="2" t="s">
        <v>49</v>
      </c>
      <c r="D68" s="3" t="s">
        <v>73</v>
      </c>
      <c r="E68" s="6">
        <f>SUM('01_PRESUPUESTO_CRONOGRAMA_BASE'!G10:G11)</f>
        <v>57565.2</v>
      </c>
      <c r="F68" s="6">
        <f>SUMIFS('02_CRONOGRAMA_PV_DIARIO'!E:E, '02_CRONOGRAMA_PV_DIARIO'!A:A, A68, '02_CRONOGRAMA_PV_DIARIO'!C:C, C68)</f>
        <v>0</v>
      </c>
      <c r="G68" s="6">
        <f>SUMIFS(F$2:F68, C$2:C68, C68)</f>
        <v>0</v>
      </c>
      <c r="H68" s="6">
        <f>SUMIFS('04_LOG_FIELD_ENTRIES'!J:J, '04_LOG_FIELD_ENTRIES'!B:B, B68, '04_LOG_FIELD_ENTRIES'!D:D, C68, '04_LOG_FIELD_ENTRIES'!K:K, "EV_PRODUCCION")</f>
        <v>0</v>
      </c>
      <c r="I68" s="6">
        <f>SUMIFS(H$2:H68, C$2:C68, C68)</f>
        <v>9327.4500000000007</v>
      </c>
      <c r="J68" s="6">
        <f>SUMIFS('04_LOG_FIELD_ENTRIES'!J:J, '04_LOG_FIELD_ENTRIES'!B:B, B68, '04_LOG_FIELD_ENTRIES'!D:D, C68, '04_LOG_FIELD_ENTRIES'!K:K, "AC_*")</f>
        <v>0</v>
      </c>
      <c r="K68" s="6">
        <f>SUMIFS(J$2:J68, C$2:C68, C68)</f>
        <v>7730.8</v>
      </c>
      <c r="L68" s="6">
        <f t="shared" si="5"/>
        <v>1596.6500000000005</v>
      </c>
      <c r="M68" s="6">
        <f t="shared" si="6"/>
        <v>9327.4500000000007</v>
      </c>
      <c r="N68" s="21">
        <f t="shared" si="7"/>
        <v>1</v>
      </c>
      <c r="O68" s="21">
        <f t="shared" si="8"/>
        <v>1.2065310187820149</v>
      </c>
      <c r="P68" s="2" t="str">
        <f t="shared" si="9"/>
        <v>SALUDABLE</v>
      </c>
    </row>
    <row r="69" spans="1:16" ht="19.95" customHeight="1" x14ac:dyDescent="0.3">
      <c r="A69" s="4">
        <v>17</v>
      </c>
      <c r="B69" s="4" t="s">
        <v>86</v>
      </c>
      <c r="C69" s="2" t="s">
        <v>56</v>
      </c>
      <c r="D69" s="3" t="s">
        <v>74</v>
      </c>
      <c r="E69" s="6">
        <f>SUM('01_PRESUPUESTO_CRONOGRAMA_BASE'!G12:G12)</f>
        <v>9348.06</v>
      </c>
      <c r="F69" s="6">
        <f>SUMIFS('02_CRONOGRAMA_PV_DIARIO'!E:E, '02_CRONOGRAMA_PV_DIARIO'!A:A, A69, '02_CRONOGRAMA_PV_DIARIO'!C:C, C69)</f>
        <v>0</v>
      </c>
      <c r="G69" s="6">
        <f>SUMIFS(F$2:F69, C$2:C69, C69)</f>
        <v>0</v>
      </c>
      <c r="H69" s="6">
        <f>SUMIFS('04_LOG_FIELD_ENTRIES'!J:J, '04_LOG_FIELD_ENTRIES'!B:B, B69, '04_LOG_FIELD_ENTRIES'!D:D, C69, '04_LOG_FIELD_ENTRIES'!K:K, "EV_PRODUCCION")</f>
        <v>0</v>
      </c>
      <c r="I69" s="6">
        <f>SUMIFS(H$2:H69, C$2:C69, C69)</f>
        <v>2337.02</v>
      </c>
      <c r="J69" s="6">
        <f>SUMIFS('04_LOG_FIELD_ENTRIES'!J:J, '04_LOG_FIELD_ENTRIES'!B:B, B69, '04_LOG_FIELD_ENTRIES'!D:D, C69, '04_LOG_FIELD_ENTRIES'!K:K, "AC_*")</f>
        <v>0</v>
      </c>
      <c r="K69" s="6">
        <f>SUMIFS(J$2:J69, C$2:C69, C69)</f>
        <v>1299.2</v>
      </c>
      <c r="L69" s="6">
        <f t="shared" si="5"/>
        <v>1037.82</v>
      </c>
      <c r="M69" s="6">
        <f t="shared" si="6"/>
        <v>2337.02</v>
      </c>
      <c r="N69" s="21">
        <f t="shared" si="7"/>
        <v>1</v>
      </c>
      <c r="O69" s="21">
        <f t="shared" si="8"/>
        <v>1.7988146551724138</v>
      </c>
      <c r="P69" s="2" t="str">
        <f t="shared" si="9"/>
        <v>SALUDABLE</v>
      </c>
    </row>
    <row r="70" spans="1:16" ht="19.95" customHeight="1" x14ac:dyDescent="0.3">
      <c r="A70" s="4">
        <v>18</v>
      </c>
      <c r="B70" s="4" t="s">
        <v>38</v>
      </c>
      <c r="C70" s="2" t="s">
        <v>14</v>
      </c>
      <c r="D70" s="3" t="s">
        <v>71</v>
      </c>
      <c r="E70" s="6">
        <f>SUM('01_PRESUPUESTO_CRONOGRAMA_BASE'!G2:G3)</f>
        <v>16336.4</v>
      </c>
      <c r="F70" s="6">
        <f>SUMIFS('02_CRONOGRAMA_PV_DIARIO'!E:E, '02_CRONOGRAMA_PV_DIARIO'!A:A, A70, '02_CRONOGRAMA_PV_DIARIO'!C:C, C70)</f>
        <v>0</v>
      </c>
      <c r="G70" s="6">
        <f>SUMIFS(F$2:F70, C$2:C70, C70)</f>
        <v>16336.459999999994</v>
      </c>
      <c r="H70" s="6">
        <f>SUMIFS('04_LOG_FIELD_ENTRIES'!J:J, '04_LOG_FIELD_ENTRIES'!B:B, B70, '04_LOG_FIELD_ENTRIES'!D:D, C70, '04_LOG_FIELD_ENTRIES'!K:K, "EV_PRODUCCION")</f>
        <v>0</v>
      </c>
      <c r="I70" s="6">
        <f>SUMIFS(H$2:H70, C$2:C70, C70)</f>
        <v>5823.2</v>
      </c>
      <c r="J70" s="6">
        <f>SUMIFS('04_LOG_FIELD_ENTRIES'!J:J, '04_LOG_FIELD_ENTRIES'!B:B, B70, '04_LOG_FIELD_ENTRIES'!D:D, C70, '04_LOG_FIELD_ENTRIES'!K:K, "AC_*")</f>
        <v>0</v>
      </c>
      <c r="K70" s="6">
        <f>SUMIFS(J$2:J70, C$2:C70, C70)</f>
        <v>6331</v>
      </c>
      <c r="L70" s="6">
        <f t="shared" si="5"/>
        <v>-507.80000000000018</v>
      </c>
      <c r="M70" s="6">
        <f t="shared" si="6"/>
        <v>-10513.259999999995</v>
      </c>
      <c r="N70" s="21">
        <f t="shared" si="7"/>
        <v>0.35645421345872985</v>
      </c>
      <c r="O70" s="21">
        <f t="shared" si="8"/>
        <v>0.91979150213236449</v>
      </c>
      <c r="P70" s="2" t="str">
        <f t="shared" si="9"/>
        <v>ALERTA RETRASO</v>
      </c>
    </row>
    <row r="71" spans="1:16" ht="19.95" customHeight="1" x14ac:dyDescent="0.3">
      <c r="A71" s="4">
        <v>18</v>
      </c>
      <c r="B71" s="4" t="s">
        <v>38</v>
      </c>
      <c r="C71" s="2" t="s">
        <v>23</v>
      </c>
      <c r="D71" s="3" t="s">
        <v>72</v>
      </c>
      <c r="E71" s="6">
        <f>SUM('01_PRESUPUESTO_CRONOGRAMA_BASE'!G4:G9)</f>
        <v>372046.56</v>
      </c>
      <c r="F71" s="6">
        <f>SUMIFS('02_CRONOGRAMA_PV_DIARIO'!E:E, '02_CRONOGRAMA_PV_DIARIO'!A:A, A71, '02_CRONOGRAMA_PV_DIARIO'!C:C, C71)</f>
        <v>13896.64</v>
      </c>
      <c r="G71" s="6">
        <f>SUMIFS(F$2:F71, C$2:C71, C71)</f>
        <v>59417.350000000006</v>
      </c>
      <c r="H71" s="6">
        <f>SUMIFS('04_LOG_FIELD_ENTRIES'!J:J, '04_LOG_FIELD_ENTRIES'!B:B, B71, '04_LOG_FIELD_ENTRIES'!D:D, C71, '04_LOG_FIELD_ENTRIES'!K:K, "EV_PRODUCCION")</f>
        <v>0</v>
      </c>
      <c r="I71" s="6">
        <f>SUMIFS(H$2:H71, C$2:C71, C71)</f>
        <v>44254.52</v>
      </c>
      <c r="J71" s="6">
        <f>SUMIFS('04_LOG_FIELD_ENTRIES'!J:J, '04_LOG_FIELD_ENTRIES'!B:B, B71, '04_LOG_FIELD_ENTRIES'!D:D, C71, '04_LOG_FIELD_ENTRIES'!K:K, "AC_*")</f>
        <v>0</v>
      </c>
      <c r="K71" s="6">
        <f>SUMIFS(J$2:J71, C$2:C71, C71)</f>
        <v>34269.199999999997</v>
      </c>
      <c r="L71" s="6">
        <f t="shared" si="5"/>
        <v>9985.32</v>
      </c>
      <c r="M71" s="6">
        <f t="shared" si="6"/>
        <v>-15162.830000000009</v>
      </c>
      <c r="N71" s="21">
        <f t="shared" si="7"/>
        <v>0.74480804007583634</v>
      </c>
      <c r="O71" s="21">
        <f t="shared" si="8"/>
        <v>1.291378847478202</v>
      </c>
      <c r="P71" s="2" t="str">
        <f t="shared" si="9"/>
        <v>ALERTA RETRASO</v>
      </c>
    </row>
    <row r="72" spans="1:16" ht="19.95" customHeight="1" x14ac:dyDescent="0.3">
      <c r="A72" s="4">
        <v>18</v>
      </c>
      <c r="B72" s="4" t="s">
        <v>38</v>
      </c>
      <c r="C72" s="2" t="s">
        <v>49</v>
      </c>
      <c r="D72" s="3" t="s">
        <v>73</v>
      </c>
      <c r="E72" s="6">
        <f>SUM('01_PRESUPUESTO_CRONOGRAMA_BASE'!G10:G11)</f>
        <v>57565.2</v>
      </c>
      <c r="F72" s="6">
        <f>SUMIFS('02_CRONOGRAMA_PV_DIARIO'!E:E, '02_CRONOGRAMA_PV_DIARIO'!A:A, A72, '02_CRONOGRAMA_PV_DIARIO'!C:C, C72)</f>
        <v>0</v>
      </c>
      <c r="G72" s="6">
        <f>SUMIFS(F$2:F72, C$2:C72, C72)</f>
        <v>0</v>
      </c>
      <c r="H72" s="6">
        <f>SUMIFS('04_LOG_FIELD_ENTRIES'!J:J, '04_LOG_FIELD_ENTRIES'!B:B, B72, '04_LOG_FIELD_ENTRIES'!D:D, C72, '04_LOG_FIELD_ENTRIES'!K:K, "EV_PRODUCCION")</f>
        <v>0</v>
      </c>
      <c r="I72" s="6">
        <f>SUMIFS(H$2:H72, C$2:C72, C72)</f>
        <v>9327.4500000000007</v>
      </c>
      <c r="J72" s="6">
        <f>SUMIFS('04_LOG_FIELD_ENTRIES'!J:J, '04_LOG_FIELD_ENTRIES'!B:B, B72, '04_LOG_FIELD_ENTRIES'!D:D, C72, '04_LOG_FIELD_ENTRIES'!K:K, "AC_*")</f>
        <v>0</v>
      </c>
      <c r="K72" s="6">
        <f>SUMIFS(J$2:J72, C$2:C72, C72)</f>
        <v>7730.8</v>
      </c>
      <c r="L72" s="6">
        <f t="shared" si="5"/>
        <v>1596.6500000000005</v>
      </c>
      <c r="M72" s="6">
        <f t="shared" si="6"/>
        <v>9327.4500000000007</v>
      </c>
      <c r="N72" s="21">
        <f t="shared" si="7"/>
        <v>1</v>
      </c>
      <c r="O72" s="21">
        <f t="shared" si="8"/>
        <v>1.2065310187820149</v>
      </c>
      <c r="P72" s="2" t="str">
        <f t="shared" si="9"/>
        <v>SALUDABLE</v>
      </c>
    </row>
    <row r="73" spans="1:16" ht="19.95" customHeight="1" x14ac:dyDescent="0.3">
      <c r="A73" s="4">
        <v>18</v>
      </c>
      <c r="B73" s="4" t="s">
        <v>38</v>
      </c>
      <c r="C73" s="2" t="s">
        <v>56</v>
      </c>
      <c r="D73" s="3" t="s">
        <v>74</v>
      </c>
      <c r="E73" s="6">
        <f>SUM('01_PRESUPUESTO_CRONOGRAMA_BASE'!G12:G12)</f>
        <v>9348.06</v>
      </c>
      <c r="F73" s="6">
        <f>SUMIFS('02_CRONOGRAMA_PV_DIARIO'!E:E, '02_CRONOGRAMA_PV_DIARIO'!A:A, A73, '02_CRONOGRAMA_PV_DIARIO'!C:C, C73)</f>
        <v>0</v>
      </c>
      <c r="G73" s="6">
        <f>SUMIFS(F$2:F73, C$2:C73, C73)</f>
        <v>0</v>
      </c>
      <c r="H73" s="6">
        <f>SUMIFS('04_LOG_FIELD_ENTRIES'!J:J, '04_LOG_FIELD_ENTRIES'!B:B, B73, '04_LOG_FIELD_ENTRIES'!D:D, C73, '04_LOG_FIELD_ENTRIES'!K:K, "EV_PRODUCCION")</f>
        <v>0</v>
      </c>
      <c r="I73" s="6">
        <f>SUMIFS(H$2:H73, C$2:C73, C73)</f>
        <v>2337.02</v>
      </c>
      <c r="J73" s="6">
        <f>SUMIFS('04_LOG_FIELD_ENTRIES'!J:J, '04_LOG_FIELD_ENTRIES'!B:B, B73, '04_LOG_FIELD_ENTRIES'!D:D, C73, '04_LOG_FIELD_ENTRIES'!K:K, "AC_*")</f>
        <v>0</v>
      </c>
      <c r="K73" s="6">
        <f>SUMIFS(J$2:J73, C$2:C73, C73)</f>
        <v>1299.2</v>
      </c>
      <c r="L73" s="6">
        <f t="shared" si="5"/>
        <v>1037.82</v>
      </c>
      <c r="M73" s="6">
        <f t="shared" si="6"/>
        <v>2337.02</v>
      </c>
      <c r="N73" s="21">
        <f t="shared" si="7"/>
        <v>1</v>
      </c>
      <c r="O73" s="21">
        <f t="shared" si="8"/>
        <v>1.7988146551724138</v>
      </c>
      <c r="P73" s="2" t="str">
        <f t="shared" si="9"/>
        <v>SALUDABLE</v>
      </c>
    </row>
    <row r="74" spans="1:16" ht="19.95" customHeight="1" x14ac:dyDescent="0.3">
      <c r="A74" s="4">
        <v>19</v>
      </c>
      <c r="B74" s="4" t="s">
        <v>87</v>
      </c>
      <c r="C74" s="2" t="s">
        <v>14</v>
      </c>
      <c r="D74" s="3" t="s">
        <v>71</v>
      </c>
      <c r="E74" s="6">
        <f>SUM('01_PRESUPUESTO_CRONOGRAMA_BASE'!G2:G3)</f>
        <v>16336.4</v>
      </c>
      <c r="F74" s="6">
        <f>SUMIFS('02_CRONOGRAMA_PV_DIARIO'!E:E, '02_CRONOGRAMA_PV_DIARIO'!A:A, A74, '02_CRONOGRAMA_PV_DIARIO'!C:C, C74)</f>
        <v>0</v>
      </c>
      <c r="G74" s="6">
        <f>SUMIFS(F$2:F74, C$2:C74, C74)</f>
        <v>16336.459999999994</v>
      </c>
      <c r="H74" s="6">
        <f>SUMIFS('04_LOG_FIELD_ENTRIES'!J:J, '04_LOG_FIELD_ENTRIES'!B:B, B74, '04_LOG_FIELD_ENTRIES'!D:D, C74, '04_LOG_FIELD_ENTRIES'!K:K, "EV_PRODUCCION")</f>
        <v>0</v>
      </c>
      <c r="I74" s="6">
        <f>SUMIFS(H$2:H74, C$2:C74, C74)</f>
        <v>5823.2</v>
      </c>
      <c r="J74" s="6">
        <f>SUMIFS('04_LOG_FIELD_ENTRIES'!J:J, '04_LOG_FIELD_ENTRIES'!B:B, B74, '04_LOG_FIELD_ENTRIES'!D:D, C74, '04_LOG_FIELD_ENTRIES'!K:K, "AC_*")</f>
        <v>0</v>
      </c>
      <c r="K74" s="6">
        <f>SUMIFS(J$2:J74, C$2:C74, C74)</f>
        <v>6331</v>
      </c>
      <c r="L74" s="6">
        <f t="shared" si="5"/>
        <v>-507.80000000000018</v>
      </c>
      <c r="M74" s="6">
        <f t="shared" si="6"/>
        <v>-10513.259999999995</v>
      </c>
      <c r="N74" s="21">
        <f t="shared" si="7"/>
        <v>0.35645421345872985</v>
      </c>
      <c r="O74" s="21">
        <f t="shared" si="8"/>
        <v>0.91979150213236449</v>
      </c>
      <c r="P74" s="2" t="str">
        <f t="shared" si="9"/>
        <v>ALERTA RETRASO</v>
      </c>
    </row>
    <row r="75" spans="1:16" ht="19.95" customHeight="1" x14ac:dyDescent="0.3">
      <c r="A75" s="4">
        <v>19</v>
      </c>
      <c r="B75" s="4" t="s">
        <v>87</v>
      </c>
      <c r="C75" s="2" t="s">
        <v>23</v>
      </c>
      <c r="D75" s="3" t="s">
        <v>72</v>
      </c>
      <c r="E75" s="6">
        <f>SUM('01_PRESUPUESTO_CRONOGRAMA_BASE'!G4:G9)</f>
        <v>372046.56</v>
      </c>
      <c r="F75" s="6">
        <f>SUMIFS('02_CRONOGRAMA_PV_DIARIO'!E:E, '02_CRONOGRAMA_PV_DIARIO'!A:A, A75, '02_CRONOGRAMA_PV_DIARIO'!C:C, C75)</f>
        <v>13896.64</v>
      </c>
      <c r="G75" s="6">
        <f>SUMIFS(F$2:F75, C$2:C75, C75)</f>
        <v>73313.990000000005</v>
      </c>
      <c r="H75" s="6">
        <f>SUMIFS('04_LOG_FIELD_ENTRIES'!J:J, '04_LOG_FIELD_ENTRIES'!B:B, B75, '04_LOG_FIELD_ENTRIES'!D:D, C75, '04_LOG_FIELD_ENTRIES'!K:K, "EV_PRODUCCION")</f>
        <v>0</v>
      </c>
      <c r="I75" s="6">
        <f>SUMIFS(H$2:H75, C$2:C75, C75)</f>
        <v>44254.52</v>
      </c>
      <c r="J75" s="6">
        <f>SUMIFS('04_LOG_FIELD_ENTRIES'!J:J, '04_LOG_FIELD_ENTRIES'!B:B, B75, '04_LOG_FIELD_ENTRIES'!D:D, C75, '04_LOG_FIELD_ENTRIES'!K:K, "AC_*")</f>
        <v>0</v>
      </c>
      <c r="K75" s="6">
        <f>SUMIFS(J$2:J75, C$2:C75, C75)</f>
        <v>34269.199999999997</v>
      </c>
      <c r="L75" s="6">
        <f t="shared" si="5"/>
        <v>9985.32</v>
      </c>
      <c r="M75" s="6">
        <f t="shared" si="6"/>
        <v>-29059.470000000008</v>
      </c>
      <c r="N75" s="21">
        <f t="shared" si="7"/>
        <v>0.60362994839047768</v>
      </c>
      <c r="O75" s="21">
        <f t="shared" si="8"/>
        <v>1.291378847478202</v>
      </c>
      <c r="P75" s="2" t="str">
        <f t="shared" si="9"/>
        <v>ALERTA RETRASO</v>
      </c>
    </row>
    <row r="76" spans="1:16" ht="19.95" customHeight="1" x14ac:dyDescent="0.3">
      <c r="A76" s="4">
        <v>19</v>
      </c>
      <c r="B76" s="4" t="s">
        <v>87</v>
      </c>
      <c r="C76" s="2" t="s">
        <v>49</v>
      </c>
      <c r="D76" s="3" t="s">
        <v>73</v>
      </c>
      <c r="E76" s="6">
        <f>SUM('01_PRESUPUESTO_CRONOGRAMA_BASE'!G10:G11)</f>
        <v>57565.2</v>
      </c>
      <c r="F76" s="6">
        <f>SUMIFS('02_CRONOGRAMA_PV_DIARIO'!E:E, '02_CRONOGRAMA_PV_DIARIO'!A:A, A76, '02_CRONOGRAMA_PV_DIARIO'!C:C, C76)</f>
        <v>0</v>
      </c>
      <c r="G76" s="6">
        <f>SUMIFS(F$2:F76, C$2:C76, C76)</f>
        <v>0</v>
      </c>
      <c r="H76" s="6">
        <f>SUMIFS('04_LOG_FIELD_ENTRIES'!J:J, '04_LOG_FIELD_ENTRIES'!B:B, B76, '04_LOG_FIELD_ENTRIES'!D:D, C76, '04_LOG_FIELD_ENTRIES'!K:K, "EV_PRODUCCION")</f>
        <v>0</v>
      </c>
      <c r="I76" s="6">
        <f>SUMIFS(H$2:H76, C$2:C76, C76)</f>
        <v>9327.4500000000007</v>
      </c>
      <c r="J76" s="6">
        <f>SUMIFS('04_LOG_FIELD_ENTRIES'!J:J, '04_LOG_FIELD_ENTRIES'!B:B, B76, '04_LOG_FIELD_ENTRIES'!D:D, C76, '04_LOG_FIELD_ENTRIES'!K:K, "AC_*")</f>
        <v>0</v>
      </c>
      <c r="K76" s="6">
        <f>SUMIFS(J$2:J76, C$2:C76, C76)</f>
        <v>7730.8</v>
      </c>
      <c r="L76" s="6">
        <f t="shared" si="5"/>
        <v>1596.6500000000005</v>
      </c>
      <c r="M76" s="6">
        <f t="shared" si="6"/>
        <v>9327.4500000000007</v>
      </c>
      <c r="N76" s="21">
        <f t="shared" si="7"/>
        <v>1</v>
      </c>
      <c r="O76" s="21">
        <f t="shared" si="8"/>
        <v>1.2065310187820149</v>
      </c>
      <c r="P76" s="2" t="str">
        <f t="shared" si="9"/>
        <v>SALUDABLE</v>
      </c>
    </row>
    <row r="77" spans="1:16" ht="19.95" customHeight="1" x14ac:dyDescent="0.3">
      <c r="A77" s="4">
        <v>19</v>
      </c>
      <c r="B77" s="4" t="s">
        <v>87</v>
      </c>
      <c r="C77" s="2" t="s">
        <v>56</v>
      </c>
      <c r="D77" s="3" t="s">
        <v>74</v>
      </c>
      <c r="E77" s="6">
        <f>SUM('01_PRESUPUESTO_CRONOGRAMA_BASE'!G12:G12)</f>
        <v>9348.06</v>
      </c>
      <c r="F77" s="6">
        <f>SUMIFS('02_CRONOGRAMA_PV_DIARIO'!E:E, '02_CRONOGRAMA_PV_DIARIO'!A:A, A77, '02_CRONOGRAMA_PV_DIARIO'!C:C, C77)</f>
        <v>0</v>
      </c>
      <c r="G77" s="6">
        <f>SUMIFS(F$2:F77, C$2:C77, C77)</f>
        <v>0</v>
      </c>
      <c r="H77" s="6">
        <f>SUMIFS('04_LOG_FIELD_ENTRIES'!J:J, '04_LOG_FIELD_ENTRIES'!B:B, B77, '04_LOG_FIELD_ENTRIES'!D:D, C77, '04_LOG_FIELD_ENTRIES'!K:K, "EV_PRODUCCION")</f>
        <v>0</v>
      </c>
      <c r="I77" s="6">
        <f>SUMIFS(H$2:H77, C$2:C77, C77)</f>
        <v>2337.02</v>
      </c>
      <c r="J77" s="6">
        <f>SUMIFS('04_LOG_FIELD_ENTRIES'!J:J, '04_LOG_FIELD_ENTRIES'!B:B, B77, '04_LOG_FIELD_ENTRIES'!D:D, C77, '04_LOG_FIELD_ENTRIES'!K:K, "AC_*")</f>
        <v>0</v>
      </c>
      <c r="K77" s="6">
        <f>SUMIFS(J$2:J77, C$2:C77, C77)</f>
        <v>1299.2</v>
      </c>
      <c r="L77" s="6">
        <f t="shared" si="5"/>
        <v>1037.82</v>
      </c>
      <c r="M77" s="6">
        <f t="shared" si="6"/>
        <v>2337.02</v>
      </c>
      <c r="N77" s="21">
        <f t="shared" si="7"/>
        <v>1</v>
      </c>
      <c r="O77" s="21">
        <f t="shared" si="8"/>
        <v>1.7988146551724138</v>
      </c>
      <c r="P77" s="2" t="str">
        <f t="shared" si="9"/>
        <v>SALUDABLE</v>
      </c>
    </row>
    <row r="78" spans="1:16" ht="19.95" customHeight="1" x14ac:dyDescent="0.3">
      <c r="A78" s="4">
        <v>20</v>
      </c>
      <c r="B78" s="4" t="s">
        <v>88</v>
      </c>
      <c r="C78" s="2" t="s">
        <v>14</v>
      </c>
      <c r="D78" s="3" t="s">
        <v>71</v>
      </c>
      <c r="E78" s="6">
        <f>SUM('01_PRESUPUESTO_CRONOGRAMA_BASE'!G2:G3)</f>
        <v>16336.4</v>
      </c>
      <c r="F78" s="6">
        <f>SUMIFS('02_CRONOGRAMA_PV_DIARIO'!E:E, '02_CRONOGRAMA_PV_DIARIO'!A:A, A78, '02_CRONOGRAMA_PV_DIARIO'!C:C, C78)</f>
        <v>0</v>
      </c>
      <c r="G78" s="6">
        <f>SUMIFS(F$2:F78, C$2:C78, C78)</f>
        <v>16336.459999999994</v>
      </c>
      <c r="H78" s="6">
        <f>SUMIFS('04_LOG_FIELD_ENTRIES'!J:J, '04_LOG_FIELD_ENTRIES'!B:B, B78, '04_LOG_FIELD_ENTRIES'!D:D, C78, '04_LOG_FIELD_ENTRIES'!K:K, "EV_PRODUCCION")</f>
        <v>0</v>
      </c>
      <c r="I78" s="6">
        <f>SUMIFS(H$2:H78, C$2:C78, C78)</f>
        <v>5823.2</v>
      </c>
      <c r="J78" s="6">
        <f>SUMIFS('04_LOG_FIELD_ENTRIES'!J:J, '04_LOG_FIELD_ENTRIES'!B:B, B78, '04_LOG_FIELD_ENTRIES'!D:D, C78, '04_LOG_FIELD_ENTRIES'!K:K, "AC_*")</f>
        <v>0</v>
      </c>
      <c r="K78" s="6">
        <f>SUMIFS(J$2:J78, C$2:C78, C78)</f>
        <v>6331</v>
      </c>
      <c r="L78" s="6">
        <f t="shared" si="5"/>
        <v>-507.80000000000018</v>
      </c>
      <c r="M78" s="6">
        <f t="shared" si="6"/>
        <v>-10513.259999999995</v>
      </c>
      <c r="N78" s="21">
        <f t="shared" si="7"/>
        <v>0.35645421345872985</v>
      </c>
      <c r="O78" s="21">
        <f t="shared" si="8"/>
        <v>0.91979150213236449</v>
      </c>
      <c r="P78" s="2" t="str">
        <f t="shared" si="9"/>
        <v>ALERTA RETRASO</v>
      </c>
    </row>
    <row r="79" spans="1:16" ht="19.95" customHeight="1" x14ac:dyDescent="0.3">
      <c r="A79" s="4">
        <v>20</v>
      </c>
      <c r="B79" s="4" t="s">
        <v>88</v>
      </c>
      <c r="C79" s="2" t="s">
        <v>23</v>
      </c>
      <c r="D79" s="3" t="s">
        <v>72</v>
      </c>
      <c r="E79" s="6">
        <f>SUM('01_PRESUPUESTO_CRONOGRAMA_BASE'!G4:G9)</f>
        <v>372046.56</v>
      </c>
      <c r="F79" s="6">
        <f>SUMIFS('02_CRONOGRAMA_PV_DIARIO'!E:E, '02_CRONOGRAMA_PV_DIARIO'!A:A, A79, '02_CRONOGRAMA_PV_DIARIO'!C:C, C79)</f>
        <v>13896.64</v>
      </c>
      <c r="G79" s="6">
        <f>SUMIFS(F$2:F79, C$2:C79, C79)</f>
        <v>87210.63</v>
      </c>
      <c r="H79" s="6">
        <f>SUMIFS('04_LOG_FIELD_ENTRIES'!J:J, '04_LOG_FIELD_ENTRIES'!B:B, B79, '04_LOG_FIELD_ENTRIES'!D:D, C79, '04_LOG_FIELD_ENTRIES'!K:K, "EV_PRODUCCION")</f>
        <v>0</v>
      </c>
      <c r="I79" s="6">
        <f>SUMIFS(H$2:H79, C$2:C79, C79)</f>
        <v>44254.52</v>
      </c>
      <c r="J79" s="6">
        <f>SUMIFS('04_LOG_FIELD_ENTRIES'!J:J, '04_LOG_FIELD_ENTRIES'!B:B, B79, '04_LOG_FIELD_ENTRIES'!D:D, C79, '04_LOG_FIELD_ENTRIES'!K:K, "AC_*")</f>
        <v>0</v>
      </c>
      <c r="K79" s="6">
        <f>SUMIFS(J$2:J79, C$2:C79, C79)</f>
        <v>34269.199999999997</v>
      </c>
      <c r="L79" s="6">
        <f t="shared" si="5"/>
        <v>9985.32</v>
      </c>
      <c r="M79" s="6">
        <f t="shared" si="6"/>
        <v>-42956.110000000008</v>
      </c>
      <c r="N79" s="21">
        <f t="shared" si="7"/>
        <v>0.50744410400429396</v>
      </c>
      <c r="O79" s="21">
        <f t="shared" si="8"/>
        <v>1.291378847478202</v>
      </c>
      <c r="P79" s="2" t="str">
        <f t="shared" si="9"/>
        <v>ALERTA RETRASO</v>
      </c>
    </row>
    <row r="80" spans="1:16" ht="19.95" customHeight="1" x14ac:dyDescent="0.3">
      <c r="A80" s="4">
        <v>20</v>
      </c>
      <c r="B80" s="4" t="s">
        <v>88</v>
      </c>
      <c r="C80" s="2" t="s">
        <v>49</v>
      </c>
      <c r="D80" s="3" t="s">
        <v>73</v>
      </c>
      <c r="E80" s="6">
        <f>SUM('01_PRESUPUESTO_CRONOGRAMA_BASE'!G10:G11)</f>
        <v>57565.2</v>
      </c>
      <c r="F80" s="6">
        <f>SUMIFS('02_CRONOGRAMA_PV_DIARIO'!E:E, '02_CRONOGRAMA_PV_DIARIO'!A:A, A80, '02_CRONOGRAMA_PV_DIARIO'!C:C, C80)</f>
        <v>0</v>
      </c>
      <c r="G80" s="6">
        <f>SUMIFS(F$2:F80, C$2:C80, C80)</f>
        <v>0</v>
      </c>
      <c r="H80" s="6">
        <f>SUMIFS('04_LOG_FIELD_ENTRIES'!J:J, '04_LOG_FIELD_ENTRIES'!B:B, B80, '04_LOG_FIELD_ENTRIES'!D:D, C80, '04_LOG_FIELD_ENTRIES'!K:K, "EV_PRODUCCION")</f>
        <v>0</v>
      </c>
      <c r="I80" s="6">
        <f>SUMIFS(H$2:H80, C$2:C80, C80)</f>
        <v>9327.4500000000007</v>
      </c>
      <c r="J80" s="6">
        <f>SUMIFS('04_LOG_FIELD_ENTRIES'!J:J, '04_LOG_FIELD_ENTRIES'!B:B, B80, '04_LOG_FIELD_ENTRIES'!D:D, C80, '04_LOG_FIELD_ENTRIES'!K:K, "AC_*")</f>
        <v>0</v>
      </c>
      <c r="K80" s="6">
        <f>SUMIFS(J$2:J80, C$2:C80, C80)</f>
        <v>7730.8</v>
      </c>
      <c r="L80" s="6">
        <f t="shared" si="5"/>
        <v>1596.6500000000005</v>
      </c>
      <c r="M80" s="6">
        <f t="shared" si="6"/>
        <v>9327.4500000000007</v>
      </c>
      <c r="N80" s="21">
        <f t="shared" si="7"/>
        <v>1</v>
      </c>
      <c r="O80" s="21">
        <f t="shared" si="8"/>
        <v>1.2065310187820149</v>
      </c>
      <c r="P80" s="2" t="str">
        <f t="shared" si="9"/>
        <v>SALUDABLE</v>
      </c>
    </row>
    <row r="81" spans="1:16" ht="19.95" customHeight="1" x14ac:dyDescent="0.3">
      <c r="A81" s="4">
        <v>20</v>
      </c>
      <c r="B81" s="4" t="s">
        <v>88</v>
      </c>
      <c r="C81" s="2" t="s">
        <v>56</v>
      </c>
      <c r="D81" s="3" t="s">
        <v>74</v>
      </c>
      <c r="E81" s="6">
        <f>SUM('01_PRESUPUESTO_CRONOGRAMA_BASE'!G12:G12)</f>
        <v>9348.06</v>
      </c>
      <c r="F81" s="6">
        <f>SUMIFS('02_CRONOGRAMA_PV_DIARIO'!E:E, '02_CRONOGRAMA_PV_DIARIO'!A:A, A81, '02_CRONOGRAMA_PV_DIARIO'!C:C, C81)</f>
        <v>0</v>
      </c>
      <c r="G81" s="6">
        <f>SUMIFS(F$2:F81, C$2:C81, C81)</f>
        <v>0</v>
      </c>
      <c r="H81" s="6">
        <f>SUMIFS('04_LOG_FIELD_ENTRIES'!J:J, '04_LOG_FIELD_ENTRIES'!B:B, B81, '04_LOG_FIELD_ENTRIES'!D:D, C81, '04_LOG_FIELD_ENTRIES'!K:K, "EV_PRODUCCION")</f>
        <v>0</v>
      </c>
      <c r="I81" s="6">
        <f>SUMIFS(H$2:H81, C$2:C81, C81)</f>
        <v>2337.02</v>
      </c>
      <c r="J81" s="6">
        <f>SUMIFS('04_LOG_FIELD_ENTRIES'!J:J, '04_LOG_FIELD_ENTRIES'!B:B, B81, '04_LOG_FIELD_ENTRIES'!D:D, C81, '04_LOG_FIELD_ENTRIES'!K:K, "AC_*")</f>
        <v>0</v>
      </c>
      <c r="K81" s="6">
        <f>SUMIFS(J$2:J81, C$2:C81, C81)</f>
        <v>1299.2</v>
      </c>
      <c r="L81" s="6">
        <f t="shared" si="5"/>
        <v>1037.82</v>
      </c>
      <c r="M81" s="6">
        <f t="shared" si="6"/>
        <v>2337.02</v>
      </c>
      <c r="N81" s="21">
        <f t="shared" si="7"/>
        <v>1</v>
      </c>
      <c r="O81" s="21">
        <f t="shared" si="8"/>
        <v>1.7988146551724138</v>
      </c>
      <c r="P81" s="2" t="str">
        <f t="shared" si="9"/>
        <v>SALUDABLE</v>
      </c>
    </row>
    <row r="82" spans="1:16" ht="19.95" customHeight="1" x14ac:dyDescent="0.3">
      <c r="A82" s="4">
        <v>21</v>
      </c>
      <c r="B82" s="4" t="s">
        <v>89</v>
      </c>
      <c r="C82" s="2" t="s">
        <v>14</v>
      </c>
      <c r="D82" s="3" t="s">
        <v>71</v>
      </c>
      <c r="E82" s="6">
        <f>SUM('01_PRESUPUESTO_CRONOGRAMA_BASE'!G2:G3)</f>
        <v>16336.4</v>
      </c>
      <c r="F82" s="6">
        <f>SUMIFS('02_CRONOGRAMA_PV_DIARIO'!E:E, '02_CRONOGRAMA_PV_DIARIO'!A:A, A82, '02_CRONOGRAMA_PV_DIARIO'!C:C, C82)</f>
        <v>0</v>
      </c>
      <c r="G82" s="6">
        <f>SUMIFS(F$2:F82, C$2:C82, C82)</f>
        <v>16336.459999999994</v>
      </c>
      <c r="H82" s="6">
        <f>SUMIFS('04_LOG_FIELD_ENTRIES'!J:J, '04_LOG_FIELD_ENTRIES'!B:B, B82, '04_LOG_FIELD_ENTRIES'!D:D, C82, '04_LOG_FIELD_ENTRIES'!K:K, "EV_PRODUCCION")</f>
        <v>0</v>
      </c>
      <c r="I82" s="6">
        <f>SUMIFS(H$2:H82, C$2:C82, C82)</f>
        <v>5823.2</v>
      </c>
      <c r="J82" s="6">
        <f>SUMIFS('04_LOG_FIELD_ENTRIES'!J:J, '04_LOG_FIELD_ENTRIES'!B:B, B82, '04_LOG_FIELD_ENTRIES'!D:D, C82, '04_LOG_FIELD_ENTRIES'!K:K, "AC_*")</f>
        <v>0</v>
      </c>
      <c r="K82" s="6">
        <f>SUMIFS(J$2:J82, C$2:C82, C82)</f>
        <v>6331</v>
      </c>
      <c r="L82" s="6">
        <f t="shared" si="5"/>
        <v>-507.80000000000018</v>
      </c>
      <c r="M82" s="6">
        <f t="shared" si="6"/>
        <v>-10513.259999999995</v>
      </c>
      <c r="N82" s="21">
        <f t="shared" si="7"/>
        <v>0.35645421345872985</v>
      </c>
      <c r="O82" s="21">
        <f t="shared" si="8"/>
        <v>0.91979150213236449</v>
      </c>
      <c r="P82" s="2" t="str">
        <f t="shared" si="9"/>
        <v>ALERTA RETRASO</v>
      </c>
    </row>
    <row r="83" spans="1:16" ht="19.95" customHeight="1" x14ac:dyDescent="0.3">
      <c r="A83" s="4">
        <v>21</v>
      </c>
      <c r="B83" s="4" t="s">
        <v>89</v>
      </c>
      <c r="C83" s="2" t="s">
        <v>23</v>
      </c>
      <c r="D83" s="3" t="s">
        <v>72</v>
      </c>
      <c r="E83" s="6">
        <f>SUM('01_PRESUPUESTO_CRONOGRAMA_BASE'!G4:G9)</f>
        <v>372046.56</v>
      </c>
      <c r="F83" s="6">
        <f>SUMIFS('02_CRONOGRAMA_PV_DIARIO'!E:E, '02_CRONOGRAMA_PV_DIARIO'!A:A, A83, '02_CRONOGRAMA_PV_DIARIO'!C:C, C83)</f>
        <v>13896.64</v>
      </c>
      <c r="G83" s="6">
        <f>SUMIFS(F$2:F83, C$2:C83, C83)</f>
        <v>101107.27</v>
      </c>
      <c r="H83" s="6">
        <f>SUMIFS('04_LOG_FIELD_ENTRIES'!J:J, '04_LOG_FIELD_ENTRIES'!B:B, B83, '04_LOG_FIELD_ENTRIES'!D:D, C83, '04_LOG_FIELD_ENTRIES'!K:K, "EV_PRODUCCION")</f>
        <v>0</v>
      </c>
      <c r="I83" s="6">
        <f>SUMIFS(H$2:H83, C$2:C83, C83)</f>
        <v>44254.52</v>
      </c>
      <c r="J83" s="6">
        <f>SUMIFS('04_LOG_FIELD_ENTRIES'!J:J, '04_LOG_FIELD_ENTRIES'!B:B, B83, '04_LOG_FIELD_ENTRIES'!D:D, C83, '04_LOG_FIELD_ENTRIES'!K:K, "AC_*")</f>
        <v>0</v>
      </c>
      <c r="K83" s="6">
        <f>SUMIFS(J$2:J83, C$2:C83, C83)</f>
        <v>34269.199999999997</v>
      </c>
      <c r="L83" s="6">
        <f t="shared" si="5"/>
        <v>9985.32</v>
      </c>
      <c r="M83" s="6">
        <f t="shared" si="6"/>
        <v>-56852.750000000007</v>
      </c>
      <c r="N83" s="21">
        <f t="shared" si="7"/>
        <v>0.43769869367454978</v>
      </c>
      <c r="O83" s="21">
        <f t="shared" si="8"/>
        <v>1.291378847478202</v>
      </c>
      <c r="P83" s="2" t="str">
        <f t="shared" si="9"/>
        <v>ALERTA RETRASO</v>
      </c>
    </row>
    <row r="84" spans="1:16" ht="19.95" customHeight="1" x14ac:dyDescent="0.3">
      <c r="A84" s="4">
        <v>21</v>
      </c>
      <c r="B84" s="4" t="s">
        <v>89</v>
      </c>
      <c r="C84" s="2" t="s">
        <v>49</v>
      </c>
      <c r="D84" s="3" t="s">
        <v>73</v>
      </c>
      <c r="E84" s="6">
        <f>SUM('01_PRESUPUESTO_CRONOGRAMA_BASE'!G10:G11)</f>
        <v>57565.2</v>
      </c>
      <c r="F84" s="6">
        <f>SUMIFS('02_CRONOGRAMA_PV_DIARIO'!E:E, '02_CRONOGRAMA_PV_DIARIO'!A:A, A84, '02_CRONOGRAMA_PV_DIARIO'!C:C, C84)</f>
        <v>0</v>
      </c>
      <c r="G84" s="6">
        <f>SUMIFS(F$2:F84, C$2:C84, C84)</f>
        <v>0</v>
      </c>
      <c r="H84" s="6">
        <f>SUMIFS('04_LOG_FIELD_ENTRIES'!J:J, '04_LOG_FIELD_ENTRIES'!B:B, B84, '04_LOG_FIELD_ENTRIES'!D:D, C84, '04_LOG_FIELD_ENTRIES'!K:K, "EV_PRODUCCION")</f>
        <v>0</v>
      </c>
      <c r="I84" s="6">
        <f>SUMIFS(H$2:H84, C$2:C84, C84)</f>
        <v>9327.4500000000007</v>
      </c>
      <c r="J84" s="6">
        <f>SUMIFS('04_LOG_FIELD_ENTRIES'!J:J, '04_LOG_FIELD_ENTRIES'!B:B, B84, '04_LOG_FIELD_ENTRIES'!D:D, C84, '04_LOG_FIELD_ENTRIES'!K:K, "AC_*")</f>
        <v>0</v>
      </c>
      <c r="K84" s="6">
        <f>SUMIFS(J$2:J84, C$2:C84, C84)</f>
        <v>7730.8</v>
      </c>
      <c r="L84" s="6">
        <f t="shared" si="5"/>
        <v>1596.6500000000005</v>
      </c>
      <c r="M84" s="6">
        <f t="shared" si="6"/>
        <v>9327.4500000000007</v>
      </c>
      <c r="N84" s="21">
        <f t="shared" si="7"/>
        <v>1</v>
      </c>
      <c r="O84" s="21">
        <f t="shared" si="8"/>
        <v>1.2065310187820149</v>
      </c>
      <c r="P84" s="2" t="str">
        <f t="shared" si="9"/>
        <v>SALUDABLE</v>
      </c>
    </row>
    <row r="85" spans="1:16" ht="19.95" customHeight="1" x14ac:dyDescent="0.3">
      <c r="A85" s="4">
        <v>21</v>
      </c>
      <c r="B85" s="4" t="s">
        <v>89</v>
      </c>
      <c r="C85" s="2" t="s">
        <v>56</v>
      </c>
      <c r="D85" s="3" t="s">
        <v>74</v>
      </c>
      <c r="E85" s="6">
        <f>SUM('01_PRESUPUESTO_CRONOGRAMA_BASE'!G12:G12)</f>
        <v>9348.06</v>
      </c>
      <c r="F85" s="6">
        <f>SUMIFS('02_CRONOGRAMA_PV_DIARIO'!E:E, '02_CRONOGRAMA_PV_DIARIO'!A:A, A85, '02_CRONOGRAMA_PV_DIARIO'!C:C, C85)</f>
        <v>0</v>
      </c>
      <c r="G85" s="6">
        <f>SUMIFS(F$2:F85, C$2:C85, C85)</f>
        <v>0</v>
      </c>
      <c r="H85" s="6">
        <f>SUMIFS('04_LOG_FIELD_ENTRIES'!J:J, '04_LOG_FIELD_ENTRIES'!B:B, B85, '04_LOG_FIELD_ENTRIES'!D:D, C85, '04_LOG_FIELD_ENTRIES'!K:K, "EV_PRODUCCION")</f>
        <v>0</v>
      </c>
      <c r="I85" s="6">
        <f>SUMIFS(H$2:H85, C$2:C85, C85)</f>
        <v>2337.02</v>
      </c>
      <c r="J85" s="6">
        <f>SUMIFS('04_LOG_FIELD_ENTRIES'!J:J, '04_LOG_FIELD_ENTRIES'!B:B, B85, '04_LOG_FIELD_ENTRIES'!D:D, C85, '04_LOG_FIELD_ENTRIES'!K:K, "AC_*")</f>
        <v>0</v>
      </c>
      <c r="K85" s="6">
        <f>SUMIFS(J$2:J85, C$2:C85, C85)</f>
        <v>1299.2</v>
      </c>
      <c r="L85" s="6">
        <f t="shared" si="5"/>
        <v>1037.82</v>
      </c>
      <c r="M85" s="6">
        <f t="shared" si="6"/>
        <v>2337.02</v>
      </c>
      <c r="N85" s="21">
        <f t="shared" si="7"/>
        <v>1</v>
      </c>
      <c r="O85" s="21">
        <f t="shared" si="8"/>
        <v>1.7988146551724138</v>
      </c>
      <c r="P85" s="2" t="str">
        <f t="shared" si="9"/>
        <v>SALUDABLE</v>
      </c>
    </row>
    <row r="86" spans="1:16" ht="19.95" customHeight="1" x14ac:dyDescent="0.3">
      <c r="A86" s="4">
        <v>22</v>
      </c>
      <c r="B86" s="4" t="s">
        <v>43</v>
      </c>
      <c r="C86" s="2" t="s">
        <v>14</v>
      </c>
      <c r="D86" s="3" t="s">
        <v>71</v>
      </c>
      <c r="E86" s="6">
        <f>SUM('01_PRESUPUESTO_CRONOGRAMA_BASE'!G2:G3)</f>
        <v>16336.4</v>
      </c>
      <c r="F86" s="6">
        <f>SUMIFS('02_CRONOGRAMA_PV_DIARIO'!E:E, '02_CRONOGRAMA_PV_DIARIO'!A:A, A86, '02_CRONOGRAMA_PV_DIARIO'!C:C, C86)</f>
        <v>0</v>
      </c>
      <c r="G86" s="6">
        <f>SUMIFS(F$2:F86, C$2:C86, C86)</f>
        <v>16336.459999999994</v>
      </c>
      <c r="H86" s="6">
        <f>SUMIFS('04_LOG_FIELD_ENTRIES'!J:J, '04_LOG_FIELD_ENTRIES'!B:B, B86, '04_LOG_FIELD_ENTRIES'!D:D, C86, '04_LOG_FIELD_ENTRIES'!K:K, "EV_PRODUCCION")</f>
        <v>0</v>
      </c>
      <c r="I86" s="6">
        <f>SUMIFS(H$2:H86, C$2:C86, C86)</f>
        <v>5823.2</v>
      </c>
      <c r="J86" s="6">
        <f>SUMIFS('04_LOG_FIELD_ENTRIES'!J:J, '04_LOG_FIELD_ENTRIES'!B:B, B86, '04_LOG_FIELD_ENTRIES'!D:D, C86, '04_LOG_FIELD_ENTRIES'!K:K, "AC_*")</f>
        <v>0</v>
      </c>
      <c r="K86" s="6">
        <f>SUMIFS(J$2:J86, C$2:C86, C86)</f>
        <v>6331</v>
      </c>
      <c r="L86" s="6">
        <f t="shared" si="5"/>
        <v>-507.80000000000018</v>
      </c>
      <c r="M86" s="6">
        <f t="shared" si="6"/>
        <v>-10513.259999999995</v>
      </c>
      <c r="N86" s="21">
        <f t="shared" si="7"/>
        <v>0.35645421345872985</v>
      </c>
      <c r="O86" s="21">
        <f t="shared" si="8"/>
        <v>0.91979150213236449</v>
      </c>
      <c r="P86" s="2" t="str">
        <f t="shared" si="9"/>
        <v>ALERTA RETRASO</v>
      </c>
    </row>
    <row r="87" spans="1:16" ht="19.95" customHeight="1" x14ac:dyDescent="0.3">
      <c r="A87" s="4">
        <v>22</v>
      </c>
      <c r="B87" s="4" t="s">
        <v>43</v>
      </c>
      <c r="C87" s="2" t="s">
        <v>23</v>
      </c>
      <c r="D87" s="3" t="s">
        <v>72</v>
      </c>
      <c r="E87" s="6">
        <f>SUM('01_PRESUPUESTO_CRONOGRAMA_BASE'!G4:G9)</f>
        <v>372046.56</v>
      </c>
      <c r="F87" s="6">
        <f>SUMIFS('02_CRONOGRAMA_PV_DIARIO'!E:E, '02_CRONOGRAMA_PV_DIARIO'!A:A, A87, '02_CRONOGRAMA_PV_DIARIO'!C:C, C87)</f>
        <v>17897.809999999998</v>
      </c>
      <c r="G87" s="6">
        <f>SUMIFS(F$2:F87, C$2:C87, C87)</f>
        <v>119005.08</v>
      </c>
      <c r="H87" s="6">
        <f>SUMIFS('04_LOG_FIELD_ENTRIES'!J:J, '04_LOG_FIELD_ENTRIES'!B:B, B87, '04_LOG_FIELD_ENTRIES'!D:D, C87, '04_LOG_FIELD_ENTRIES'!K:K, "EV_PRODUCCION")</f>
        <v>0</v>
      </c>
      <c r="I87" s="6">
        <f>SUMIFS(H$2:H87, C$2:C87, C87)</f>
        <v>44254.52</v>
      </c>
      <c r="J87" s="6">
        <f>SUMIFS('04_LOG_FIELD_ENTRIES'!J:J, '04_LOG_FIELD_ENTRIES'!B:B, B87, '04_LOG_FIELD_ENTRIES'!D:D, C87, '04_LOG_FIELD_ENTRIES'!K:K, "AC_*")</f>
        <v>0</v>
      </c>
      <c r="K87" s="6">
        <f>SUMIFS(J$2:J87, C$2:C87, C87)</f>
        <v>34269.199999999997</v>
      </c>
      <c r="L87" s="6">
        <f t="shared" si="5"/>
        <v>9985.32</v>
      </c>
      <c r="M87" s="6">
        <f t="shared" si="6"/>
        <v>-74750.559999999998</v>
      </c>
      <c r="N87" s="21">
        <f t="shared" si="7"/>
        <v>0.37187084786632635</v>
      </c>
      <c r="O87" s="21">
        <f t="shared" si="8"/>
        <v>1.291378847478202</v>
      </c>
      <c r="P87" s="2" t="str">
        <f t="shared" si="9"/>
        <v>ALERTA RETRASO</v>
      </c>
    </row>
    <row r="88" spans="1:16" ht="19.95" customHeight="1" x14ac:dyDescent="0.3">
      <c r="A88" s="4">
        <v>22</v>
      </c>
      <c r="B88" s="4" t="s">
        <v>43</v>
      </c>
      <c r="C88" s="2" t="s">
        <v>49</v>
      </c>
      <c r="D88" s="3" t="s">
        <v>73</v>
      </c>
      <c r="E88" s="6">
        <f>SUM('01_PRESUPUESTO_CRONOGRAMA_BASE'!G10:G11)</f>
        <v>57565.2</v>
      </c>
      <c r="F88" s="6">
        <f>SUMIFS('02_CRONOGRAMA_PV_DIARIO'!E:E, '02_CRONOGRAMA_PV_DIARIO'!A:A, A88, '02_CRONOGRAMA_PV_DIARIO'!C:C, C88)</f>
        <v>1761.82</v>
      </c>
      <c r="G88" s="6">
        <f>SUMIFS(F$2:F88, C$2:C88, C88)</f>
        <v>1761.82</v>
      </c>
      <c r="H88" s="6">
        <f>SUMIFS('04_LOG_FIELD_ENTRIES'!J:J, '04_LOG_FIELD_ENTRIES'!B:B, B88, '04_LOG_FIELD_ENTRIES'!D:D, C88, '04_LOG_FIELD_ENTRIES'!K:K, "EV_PRODUCCION")</f>
        <v>0</v>
      </c>
      <c r="I88" s="6">
        <f>SUMIFS(H$2:H88, C$2:C88, C88)</f>
        <v>9327.4500000000007</v>
      </c>
      <c r="J88" s="6">
        <f>SUMIFS('04_LOG_FIELD_ENTRIES'!J:J, '04_LOG_FIELD_ENTRIES'!B:B, B88, '04_LOG_FIELD_ENTRIES'!D:D, C88, '04_LOG_FIELD_ENTRIES'!K:K, "AC_*")</f>
        <v>0</v>
      </c>
      <c r="K88" s="6">
        <f>SUMIFS(J$2:J88, C$2:C88, C88)</f>
        <v>7730.8</v>
      </c>
      <c r="L88" s="6">
        <f t="shared" si="5"/>
        <v>1596.6500000000005</v>
      </c>
      <c r="M88" s="6">
        <f t="shared" si="6"/>
        <v>7565.630000000001</v>
      </c>
      <c r="N88" s="21">
        <f t="shared" si="7"/>
        <v>5.2942128026699669</v>
      </c>
      <c r="O88" s="21">
        <f t="shared" si="8"/>
        <v>1.2065310187820149</v>
      </c>
      <c r="P88" s="2" t="str">
        <f t="shared" si="9"/>
        <v>SALUDABLE</v>
      </c>
    </row>
    <row r="89" spans="1:16" ht="19.95" customHeight="1" x14ac:dyDescent="0.3">
      <c r="A89" s="4">
        <v>22</v>
      </c>
      <c r="B89" s="4" t="s">
        <v>43</v>
      </c>
      <c r="C89" s="2" t="s">
        <v>56</v>
      </c>
      <c r="D89" s="3" t="s">
        <v>74</v>
      </c>
      <c r="E89" s="6">
        <f>SUM('01_PRESUPUESTO_CRONOGRAMA_BASE'!G12:G12)</f>
        <v>9348.06</v>
      </c>
      <c r="F89" s="6">
        <f>SUMIFS('02_CRONOGRAMA_PV_DIARIO'!E:E, '02_CRONOGRAMA_PV_DIARIO'!A:A, A89, '02_CRONOGRAMA_PV_DIARIO'!C:C, C89)</f>
        <v>0</v>
      </c>
      <c r="G89" s="6">
        <f>SUMIFS(F$2:F89, C$2:C89, C89)</f>
        <v>0</v>
      </c>
      <c r="H89" s="6">
        <f>SUMIFS('04_LOG_FIELD_ENTRIES'!J:J, '04_LOG_FIELD_ENTRIES'!B:B, B89, '04_LOG_FIELD_ENTRIES'!D:D, C89, '04_LOG_FIELD_ENTRIES'!K:K, "EV_PRODUCCION")</f>
        <v>0</v>
      </c>
      <c r="I89" s="6">
        <f>SUMIFS(H$2:H89, C$2:C89, C89)</f>
        <v>2337.02</v>
      </c>
      <c r="J89" s="6">
        <f>SUMIFS('04_LOG_FIELD_ENTRIES'!J:J, '04_LOG_FIELD_ENTRIES'!B:B, B89, '04_LOG_FIELD_ENTRIES'!D:D, C89, '04_LOG_FIELD_ENTRIES'!K:K, "AC_*")</f>
        <v>0</v>
      </c>
      <c r="K89" s="6">
        <f>SUMIFS(J$2:J89, C$2:C89, C89)</f>
        <v>1299.2</v>
      </c>
      <c r="L89" s="6">
        <f t="shared" si="5"/>
        <v>1037.82</v>
      </c>
      <c r="M89" s="6">
        <f t="shared" si="6"/>
        <v>2337.02</v>
      </c>
      <c r="N89" s="21">
        <f t="shared" si="7"/>
        <v>1</v>
      </c>
      <c r="O89" s="21">
        <f t="shared" si="8"/>
        <v>1.7988146551724138</v>
      </c>
      <c r="P89" s="2" t="str">
        <f t="shared" si="9"/>
        <v>SALUDABLE</v>
      </c>
    </row>
    <row r="90" spans="1:16" ht="19.95" customHeight="1" x14ac:dyDescent="0.3">
      <c r="A90" s="4">
        <v>23</v>
      </c>
      <c r="B90" s="4" t="s">
        <v>90</v>
      </c>
      <c r="C90" s="2" t="s">
        <v>14</v>
      </c>
      <c r="D90" s="3" t="s">
        <v>71</v>
      </c>
      <c r="E90" s="6">
        <f>SUM('01_PRESUPUESTO_CRONOGRAMA_BASE'!G2:G3)</f>
        <v>16336.4</v>
      </c>
      <c r="F90" s="6">
        <f>SUMIFS('02_CRONOGRAMA_PV_DIARIO'!E:E, '02_CRONOGRAMA_PV_DIARIO'!A:A, A90, '02_CRONOGRAMA_PV_DIARIO'!C:C, C90)</f>
        <v>0</v>
      </c>
      <c r="G90" s="6">
        <f>SUMIFS(F$2:F90, C$2:C90, C90)</f>
        <v>16336.459999999994</v>
      </c>
      <c r="H90" s="6">
        <f>SUMIFS('04_LOG_FIELD_ENTRIES'!J:J, '04_LOG_FIELD_ENTRIES'!B:B, B90, '04_LOG_FIELD_ENTRIES'!D:D, C90, '04_LOG_FIELD_ENTRIES'!K:K, "EV_PRODUCCION")</f>
        <v>0</v>
      </c>
      <c r="I90" s="6">
        <f>SUMIFS(H$2:H90, C$2:C90, C90)</f>
        <v>5823.2</v>
      </c>
      <c r="J90" s="6">
        <f>SUMIFS('04_LOG_FIELD_ENTRIES'!J:J, '04_LOG_FIELD_ENTRIES'!B:B, B90, '04_LOG_FIELD_ENTRIES'!D:D, C90, '04_LOG_FIELD_ENTRIES'!K:K, "AC_*")</f>
        <v>0</v>
      </c>
      <c r="K90" s="6">
        <f>SUMIFS(J$2:J90, C$2:C90, C90)</f>
        <v>6331</v>
      </c>
      <c r="L90" s="6">
        <f t="shared" si="5"/>
        <v>-507.80000000000018</v>
      </c>
      <c r="M90" s="6">
        <f t="shared" si="6"/>
        <v>-10513.259999999995</v>
      </c>
      <c r="N90" s="21">
        <f t="shared" si="7"/>
        <v>0.35645421345872985</v>
      </c>
      <c r="O90" s="21">
        <f t="shared" si="8"/>
        <v>0.91979150213236449</v>
      </c>
      <c r="P90" s="2" t="str">
        <f t="shared" si="9"/>
        <v>ALERTA RETRASO</v>
      </c>
    </row>
    <row r="91" spans="1:16" ht="19.95" customHeight="1" x14ac:dyDescent="0.3">
      <c r="A91" s="4">
        <v>23</v>
      </c>
      <c r="B91" s="4" t="s">
        <v>90</v>
      </c>
      <c r="C91" s="2" t="s">
        <v>23</v>
      </c>
      <c r="D91" s="3" t="s">
        <v>72</v>
      </c>
      <c r="E91" s="6">
        <f>SUM('01_PRESUPUESTO_CRONOGRAMA_BASE'!G4:G9)</f>
        <v>372046.56</v>
      </c>
      <c r="F91" s="6">
        <f>SUMIFS('02_CRONOGRAMA_PV_DIARIO'!E:E, '02_CRONOGRAMA_PV_DIARIO'!A:A, A91, '02_CRONOGRAMA_PV_DIARIO'!C:C, C91)</f>
        <v>17897.809999999998</v>
      </c>
      <c r="G91" s="6">
        <f>SUMIFS(F$2:F91, C$2:C91, C91)</f>
        <v>136902.89000000001</v>
      </c>
      <c r="H91" s="6">
        <f>SUMIFS('04_LOG_FIELD_ENTRIES'!J:J, '04_LOG_FIELD_ENTRIES'!B:B, B91, '04_LOG_FIELD_ENTRIES'!D:D, C91, '04_LOG_FIELD_ENTRIES'!K:K, "EV_PRODUCCION")</f>
        <v>0</v>
      </c>
      <c r="I91" s="6">
        <f>SUMIFS(H$2:H91, C$2:C91, C91)</f>
        <v>44254.52</v>
      </c>
      <c r="J91" s="6">
        <f>SUMIFS('04_LOG_FIELD_ENTRIES'!J:J, '04_LOG_FIELD_ENTRIES'!B:B, B91, '04_LOG_FIELD_ENTRIES'!D:D, C91, '04_LOG_FIELD_ENTRIES'!K:K, "AC_*")</f>
        <v>0</v>
      </c>
      <c r="K91" s="6">
        <f>SUMIFS(J$2:J91, C$2:C91, C91)</f>
        <v>34269.199999999997</v>
      </c>
      <c r="L91" s="6">
        <f t="shared" si="5"/>
        <v>9985.32</v>
      </c>
      <c r="M91" s="6">
        <f t="shared" si="6"/>
        <v>-92648.370000000024</v>
      </c>
      <c r="N91" s="21">
        <f t="shared" si="7"/>
        <v>0.32325482683382356</v>
      </c>
      <c r="O91" s="21">
        <f t="shared" si="8"/>
        <v>1.291378847478202</v>
      </c>
      <c r="P91" s="2" t="str">
        <f t="shared" si="9"/>
        <v>ALERTA RETRASO</v>
      </c>
    </row>
    <row r="92" spans="1:16" ht="19.95" customHeight="1" x14ac:dyDescent="0.3">
      <c r="A92" s="4">
        <v>23</v>
      </c>
      <c r="B92" s="4" t="s">
        <v>90</v>
      </c>
      <c r="C92" s="2" t="s">
        <v>49</v>
      </c>
      <c r="D92" s="3" t="s">
        <v>73</v>
      </c>
      <c r="E92" s="6">
        <f>SUM('01_PRESUPUESTO_CRONOGRAMA_BASE'!G10:G11)</f>
        <v>57565.2</v>
      </c>
      <c r="F92" s="6">
        <f>SUMIFS('02_CRONOGRAMA_PV_DIARIO'!E:E, '02_CRONOGRAMA_PV_DIARIO'!A:A, A92, '02_CRONOGRAMA_PV_DIARIO'!C:C, C92)</f>
        <v>1761.82</v>
      </c>
      <c r="G92" s="6">
        <f>SUMIFS(F$2:F92, C$2:C92, C92)</f>
        <v>3523.64</v>
      </c>
      <c r="H92" s="6">
        <f>SUMIFS('04_LOG_FIELD_ENTRIES'!J:J, '04_LOG_FIELD_ENTRIES'!B:B, B92, '04_LOG_FIELD_ENTRIES'!D:D, C92, '04_LOG_FIELD_ENTRIES'!K:K, "EV_PRODUCCION")</f>
        <v>0</v>
      </c>
      <c r="I92" s="6">
        <f>SUMIFS(H$2:H92, C$2:C92, C92)</f>
        <v>9327.4500000000007</v>
      </c>
      <c r="J92" s="6">
        <f>SUMIFS('04_LOG_FIELD_ENTRIES'!J:J, '04_LOG_FIELD_ENTRIES'!B:B, B92, '04_LOG_FIELD_ENTRIES'!D:D, C92, '04_LOG_FIELD_ENTRIES'!K:K, "AC_*")</f>
        <v>0</v>
      </c>
      <c r="K92" s="6">
        <f>SUMIFS(J$2:J92, C$2:C92, C92)</f>
        <v>7730.8</v>
      </c>
      <c r="L92" s="6">
        <f t="shared" si="5"/>
        <v>1596.6500000000005</v>
      </c>
      <c r="M92" s="6">
        <f t="shared" si="6"/>
        <v>5803.8100000000013</v>
      </c>
      <c r="N92" s="21">
        <f t="shared" si="7"/>
        <v>2.6471064013349834</v>
      </c>
      <c r="O92" s="21">
        <f t="shared" si="8"/>
        <v>1.2065310187820149</v>
      </c>
      <c r="P92" s="2" t="str">
        <f t="shared" si="9"/>
        <v>SALUDABLE</v>
      </c>
    </row>
    <row r="93" spans="1:16" ht="19.95" customHeight="1" x14ac:dyDescent="0.3">
      <c r="A93" s="4">
        <v>23</v>
      </c>
      <c r="B93" s="4" t="s">
        <v>90</v>
      </c>
      <c r="C93" s="2" t="s">
        <v>56</v>
      </c>
      <c r="D93" s="3" t="s">
        <v>74</v>
      </c>
      <c r="E93" s="6">
        <f>SUM('01_PRESUPUESTO_CRONOGRAMA_BASE'!G12:G12)</f>
        <v>9348.06</v>
      </c>
      <c r="F93" s="6">
        <f>SUMIFS('02_CRONOGRAMA_PV_DIARIO'!E:E, '02_CRONOGRAMA_PV_DIARIO'!A:A, A93, '02_CRONOGRAMA_PV_DIARIO'!C:C, C93)</f>
        <v>0</v>
      </c>
      <c r="G93" s="6">
        <f>SUMIFS(F$2:F93, C$2:C93, C93)</f>
        <v>0</v>
      </c>
      <c r="H93" s="6">
        <f>SUMIFS('04_LOG_FIELD_ENTRIES'!J:J, '04_LOG_FIELD_ENTRIES'!B:B, B93, '04_LOG_FIELD_ENTRIES'!D:D, C93, '04_LOG_FIELD_ENTRIES'!K:K, "EV_PRODUCCION")</f>
        <v>0</v>
      </c>
      <c r="I93" s="6">
        <f>SUMIFS(H$2:H93, C$2:C93, C93)</f>
        <v>2337.02</v>
      </c>
      <c r="J93" s="6">
        <f>SUMIFS('04_LOG_FIELD_ENTRIES'!J:J, '04_LOG_FIELD_ENTRIES'!B:B, B93, '04_LOG_FIELD_ENTRIES'!D:D, C93, '04_LOG_FIELD_ENTRIES'!K:K, "AC_*")</f>
        <v>0</v>
      </c>
      <c r="K93" s="6">
        <f>SUMIFS(J$2:J93, C$2:C93, C93)</f>
        <v>1299.2</v>
      </c>
      <c r="L93" s="6">
        <f t="shared" si="5"/>
        <v>1037.82</v>
      </c>
      <c r="M93" s="6">
        <f t="shared" si="6"/>
        <v>2337.02</v>
      </c>
      <c r="N93" s="21">
        <f t="shared" si="7"/>
        <v>1</v>
      </c>
      <c r="O93" s="21">
        <f t="shared" si="8"/>
        <v>1.7988146551724138</v>
      </c>
      <c r="P93" s="2" t="str">
        <f t="shared" si="9"/>
        <v>SALUDABLE</v>
      </c>
    </row>
    <row r="94" spans="1:16" ht="19.95" customHeight="1" x14ac:dyDescent="0.3">
      <c r="A94" s="4">
        <v>24</v>
      </c>
      <c r="B94" s="4" t="s">
        <v>91</v>
      </c>
      <c r="C94" s="2" t="s">
        <v>14</v>
      </c>
      <c r="D94" s="3" t="s">
        <v>71</v>
      </c>
      <c r="E94" s="6">
        <f>SUM('01_PRESUPUESTO_CRONOGRAMA_BASE'!G2:G3)</f>
        <v>16336.4</v>
      </c>
      <c r="F94" s="6">
        <f>SUMIFS('02_CRONOGRAMA_PV_DIARIO'!E:E, '02_CRONOGRAMA_PV_DIARIO'!A:A, A94, '02_CRONOGRAMA_PV_DIARIO'!C:C, C94)</f>
        <v>0</v>
      </c>
      <c r="G94" s="6">
        <f>SUMIFS(F$2:F94, C$2:C94, C94)</f>
        <v>16336.459999999994</v>
      </c>
      <c r="H94" s="6">
        <f>SUMIFS('04_LOG_FIELD_ENTRIES'!J:J, '04_LOG_FIELD_ENTRIES'!B:B, B94, '04_LOG_FIELD_ENTRIES'!D:D, C94, '04_LOG_FIELD_ENTRIES'!K:K, "EV_PRODUCCION")</f>
        <v>0</v>
      </c>
      <c r="I94" s="6">
        <f>SUMIFS(H$2:H94, C$2:C94, C94)</f>
        <v>5823.2</v>
      </c>
      <c r="J94" s="6">
        <f>SUMIFS('04_LOG_FIELD_ENTRIES'!J:J, '04_LOG_FIELD_ENTRIES'!B:B, B94, '04_LOG_FIELD_ENTRIES'!D:D, C94, '04_LOG_FIELD_ENTRIES'!K:K, "AC_*")</f>
        <v>0</v>
      </c>
      <c r="K94" s="6">
        <f>SUMIFS(J$2:J94, C$2:C94, C94)</f>
        <v>6331</v>
      </c>
      <c r="L94" s="6">
        <f t="shared" si="5"/>
        <v>-507.80000000000018</v>
      </c>
      <c r="M94" s="6">
        <f t="shared" si="6"/>
        <v>-10513.259999999995</v>
      </c>
      <c r="N94" s="21">
        <f t="shared" si="7"/>
        <v>0.35645421345872985</v>
      </c>
      <c r="O94" s="21">
        <f t="shared" si="8"/>
        <v>0.91979150213236449</v>
      </c>
      <c r="P94" s="2" t="str">
        <f t="shared" si="9"/>
        <v>ALERTA RETRASO</v>
      </c>
    </row>
    <row r="95" spans="1:16" ht="19.95" customHeight="1" x14ac:dyDescent="0.3">
      <c r="A95" s="4">
        <v>24</v>
      </c>
      <c r="B95" s="4" t="s">
        <v>91</v>
      </c>
      <c r="C95" s="2" t="s">
        <v>23</v>
      </c>
      <c r="D95" s="3" t="s">
        <v>72</v>
      </c>
      <c r="E95" s="6">
        <f>SUM('01_PRESUPUESTO_CRONOGRAMA_BASE'!G4:G9)</f>
        <v>372046.56</v>
      </c>
      <c r="F95" s="6">
        <f>SUMIFS('02_CRONOGRAMA_PV_DIARIO'!E:E, '02_CRONOGRAMA_PV_DIARIO'!A:A, A95, '02_CRONOGRAMA_PV_DIARIO'!C:C, C95)</f>
        <v>17897.809999999998</v>
      </c>
      <c r="G95" s="6">
        <f>SUMIFS(F$2:F95, C$2:C95, C95)</f>
        <v>154800.70000000001</v>
      </c>
      <c r="H95" s="6">
        <f>SUMIFS('04_LOG_FIELD_ENTRIES'!J:J, '04_LOG_FIELD_ENTRIES'!B:B, B95, '04_LOG_FIELD_ENTRIES'!D:D, C95, '04_LOG_FIELD_ENTRIES'!K:K, "EV_PRODUCCION")</f>
        <v>0</v>
      </c>
      <c r="I95" s="6">
        <f>SUMIFS(H$2:H95, C$2:C95, C95)</f>
        <v>44254.52</v>
      </c>
      <c r="J95" s="6">
        <f>SUMIFS('04_LOG_FIELD_ENTRIES'!J:J, '04_LOG_FIELD_ENTRIES'!B:B, B95, '04_LOG_FIELD_ENTRIES'!D:D, C95, '04_LOG_FIELD_ENTRIES'!K:K, "AC_*")</f>
        <v>0</v>
      </c>
      <c r="K95" s="6">
        <f>SUMIFS(J$2:J95, C$2:C95, C95)</f>
        <v>34269.199999999997</v>
      </c>
      <c r="L95" s="6">
        <f t="shared" si="5"/>
        <v>9985.32</v>
      </c>
      <c r="M95" s="6">
        <f t="shared" si="6"/>
        <v>-110546.18000000002</v>
      </c>
      <c r="N95" s="21">
        <f t="shared" si="7"/>
        <v>0.28588061940288378</v>
      </c>
      <c r="O95" s="21">
        <f t="shared" si="8"/>
        <v>1.291378847478202</v>
      </c>
      <c r="P95" s="2" t="str">
        <f t="shared" si="9"/>
        <v>ALERTA RETRASO</v>
      </c>
    </row>
    <row r="96" spans="1:16" ht="19.95" customHeight="1" x14ac:dyDescent="0.3">
      <c r="A96" s="4">
        <v>24</v>
      </c>
      <c r="B96" s="4" t="s">
        <v>91</v>
      </c>
      <c r="C96" s="2" t="s">
        <v>49</v>
      </c>
      <c r="D96" s="3" t="s">
        <v>73</v>
      </c>
      <c r="E96" s="6">
        <f>SUM('01_PRESUPUESTO_CRONOGRAMA_BASE'!G10:G11)</f>
        <v>57565.2</v>
      </c>
      <c r="F96" s="6">
        <f>SUMIFS('02_CRONOGRAMA_PV_DIARIO'!E:E, '02_CRONOGRAMA_PV_DIARIO'!A:A, A96, '02_CRONOGRAMA_PV_DIARIO'!C:C, C96)</f>
        <v>1761.82</v>
      </c>
      <c r="G96" s="6">
        <f>SUMIFS(F$2:F96, C$2:C96, C96)</f>
        <v>5285.46</v>
      </c>
      <c r="H96" s="6">
        <f>SUMIFS('04_LOG_FIELD_ENTRIES'!J:J, '04_LOG_FIELD_ENTRIES'!B:B, B96, '04_LOG_FIELD_ENTRIES'!D:D, C96, '04_LOG_FIELD_ENTRIES'!K:K, "EV_PRODUCCION")</f>
        <v>0</v>
      </c>
      <c r="I96" s="6">
        <f>SUMIFS(H$2:H96, C$2:C96, C96)</f>
        <v>9327.4500000000007</v>
      </c>
      <c r="J96" s="6">
        <f>SUMIFS('04_LOG_FIELD_ENTRIES'!J:J, '04_LOG_FIELD_ENTRIES'!B:B, B96, '04_LOG_FIELD_ENTRIES'!D:D, C96, '04_LOG_FIELD_ENTRIES'!K:K, "AC_*")</f>
        <v>0</v>
      </c>
      <c r="K96" s="6">
        <f>SUMIFS(J$2:J96, C$2:C96, C96)</f>
        <v>7730.8</v>
      </c>
      <c r="L96" s="6">
        <f t="shared" si="5"/>
        <v>1596.6500000000005</v>
      </c>
      <c r="M96" s="6">
        <f t="shared" si="6"/>
        <v>4041.9900000000007</v>
      </c>
      <c r="N96" s="21">
        <f t="shared" si="7"/>
        <v>1.7647376008899889</v>
      </c>
      <c r="O96" s="21">
        <f t="shared" si="8"/>
        <v>1.2065310187820149</v>
      </c>
      <c r="P96" s="2" t="str">
        <f t="shared" si="9"/>
        <v>SALUDABLE</v>
      </c>
    </row>
    <row r="97" spans="1:16" ht="19.95" customHeight="1" x14ac:dyDescent="0.3">
      <c r="A97" s="4">
        <v>24</v>
      </c>
      <c r="B97" s="4" t="s">
        <v>91</v>
      </c>
      <c r="C97" s="2" t="s">
        <v>56</v>
      </c>
      <c r="D97" s="3" t="s">
        <v>74</v>
      </c>
      <c r="E97" s="6">
        <f>SUM('01_PRESUPUESTO_CRONOGRAMA_BASE'!G12:G12)</f>
        <v>9348.06</v>
      </c>
      <c r="F97" s="6">
        <f>SUMIFS('02_CRONOGRAMA_PV_DIARIO'!E:E, '02_CRONOGRAMA_PV_DIARIO'!A:A, A97, '02_CRONOGRAMA_PV_DIARIO'!C:C, C97)</f>
        <v>0</v>
      </c>
      <c r="G97" s="6">
        <f>SUMIFS(F$2:F97, C$2:C97, C97)</f>
        <v>0</v>
      </c>
      <c r="H97" s="6">
        <f>SUMIFS('04_LOG_FIELD_ENTRIES'!J:J, '04_LOG_FIELD_ENTRIES'!B:B, B97, '04_LOG_FIELD_ENTRIES'!D:D, C97, '04_LOG_FIELD_ENTRIES'!K:K, "EV_PRODUCCION")</f>
        <v>0</v>
      </c>
      <c r="I97" s="6">
        <f>SUMIFS(H$2:H97, C$2:C97, C97)</f>
        <v>2337.02</v>
      </c>
      <c r="J97" s="6">
        <f>SUMIFS('04_LOG_FIELD_ENTRIES'!J:J, '04_LOG_FIELD_ENTRIES'!B:B, B97, '04_LOG_FIELD_ENTRIES'!D:D, C97, '04_LOG_FIELD_ENTRIES'!K:K, "AC_*")</f>
        <v>0</v>
      </c>
      <c r="K97" s="6">
        <f>SUMIFS(J$2:J97, C$2:C97, C97)</f>
        <v>1299.2</v>
      </c>
      <c r="L97" s="6">
        <f t="shared" si="5"/>
        <v>1037.82</v>
      </c>
      <c r="M97" s="6">
        <f t="shared" si="6"/>
        <v>2337.02</v>
      </c>
      <c r="N97" s="21">
        <f t="shared" si="7"/>
        <v>1</v>
      </c>
      <c r="O97" s="21">
        <f t="shared" si="8"/>
        <v>1.7988146551724138</v>
      </c>
      <c r="P97" s="2" t="str">
        <f t="shared" si="9"/>
        <v>SALUDABLE</v>
      </c>
    </row>
    <row r="98" spans="1:16" ht="19.95" customHeight="1" x14ac:dyDescent="0.3">
      <c r="A98" s="4">
        <v>25</v>
      </c>
      <c r="B98" s="4" t="s">
        <v>27</v>
      </c>
      <c r="C98" s="2" t="s">
        <v>14</v>
      </c>
      <c r="D98" s="3" t="s">
        <v>71</v>
      </c>
      <c r="E98" s="6">
        <f>SUM('01_PRESUPUESTO_CRONOGRAMA_BASE'!G2:G3)</f>
        <v>16336.4</v>
      </c>
      <c r="F98" s="6">
        <f>SUMIFS('02_CRONOGRAMA_PV_DIARIO'!E:E, '02_CRONOGRAMA_PV_DIARIO'!A:A, A98, '02_CRONOGRAMA_PV_DIARIO'!C:C, C98)</f>
        <v>0</v>
      </c>
      <c r="G98" s="6">
        <f>SUMIFS(F$2:F98, C$2:C98, C98)</f>
        <v>16336.459999999994</v>
      </c>
      <c r="H98" s="6">
        <f>SUMIFS('04_LOG_FIELD_ENTRIES'!J:J, '04_LOG_FIELD_ENTRIES'!B:B, B98, '04_LOG_FIELD_ENTRIES'!D:D, C98, '04_LOG_FIELD_ENTRIES'!K:K, "EV_PRODUCCION")</f>
        <v>0</v>
      </c>
      <c r="I98" s="6">
        <f>SUMIFS(H$2:H98, C$2:C98, C98)</f>
        <v>5823.2</v>
      </c>
      <c r="J98" s="6">
        <f>SUMIFS('04_LOG_FIELD_ENTRIES'!J:J, '04_LOG_FIELD_ENTRIES'!B:B, B98, '04_LOG_FIELD_ENTRIES'!D:D, C98, '04_LOG_FIELD_ENTRIES'!K:K, "AC_*")</f>
        <v>0</v>
      </c>
      <c r="K98" s="6">
        <f>SUMIFS(J$2:J98, C$2:C98, C98)</f>
        <v>6331</v>
      </c>
      <c r="L98" s="6">
        <f t="shared" si="5"/>
        <v>-507.80000000000018</v>
      </c>
      <c r="M98" s="6">
        <f t="shared" si="6"/>
        <v>-10513.259999999995</v>
      </c>
      <c r="N98" s="21">
        <f t="shared" si="7"/>
        <v>0.35645421345872985</v>
      </c>
      <c r="O98" s="21">
        <f t="shared" si="8"/>
        <v>0.91979150213236449</v>
      </c>
      <c r="P98" s="2" t="str">
        <f t="shared" si="9"/>
        <v>ALERTA RETRASO</v>
      </c>
    </row>
    <row r="99" spans="1:16" ht="19.95" customHeight="1" x14ac:dyDescent="0.3">
      <c r="A99" s="4">
        <v>25</v>
      </c>
      <c r="B99" s="4" t="s">
        <v>27</v>
      </c>
      <c r="C99" s="2" t="s">
        <v>23</v>
      </c>
      <c r="D99" s="3" t="s">
        <v>72</v>
      </c>
      <c r="E99" s="6">
        <f>SUM('01_PRESUPUESTO_CRONOGRAMA_BASE'!G4:G9)</f>
        <v>372046.56</v>
      </c>
      <c r="F99" s="6">
        <f>SUMIFS('02_CRONOGRAMA_PV_DIARIO'!E:E, '02_CRONOGRAMA_PV_DIARIO'!A:A, A99, '02_CRONOGRAMA_PV_DIARIO'!C:C, C99)</f>
        <v>17897.809999999998</v>
      </c>
      <c r="G99" s="6">
        <f>SUMIFS(F$2:F99, C$2:C99, C99)</f>
        <v>172698.51</v>
      </c>
      <c r="H99" s="6">
        <f>SUMIFS('04_LOG_FIELD_ENTRIES'!J:J, '04_LOG_FIELD_ENTRIES'!B:B, B99, '04_LOG_FIELD_ENTRIES'!D:D, C99, '04_LOG_FIELD_ENTRIES'!K:K, "EV_PRODUCCION")</f>
        <v>0</v>
      </c>
      <c r="I99" s="6">
        <f>SUMIFS(H$2:H99, C$2:C99, C99)</f>
        <v>44254.52</v>
      </c>
      <c r="J99" s="6">
        <f>SUMIFS('04_LOG_FIELD_ENTRIES'!J:J, '04_LOG_FIELD_ENTRIES'!B:B, B99, '04_LOG_FIELD_ENTRIES'!D:D, C99, '04_LOG_FIELD_ENTRIES'!K:K, "AC_*")</f>
        <v>0</v>
      </c>
      <c r="K99" s="6">
        <f>SUMIFS(J$2:J99, C$2:C99, C99)</f>
        <v>34269.199999999997</v>
      </c>
      <c r="L99" s="6">
        <f t="shared" si="5"/>
        <v>9985.32</v>
      </c>
      <c r="M99" s="6">
        <f t="shared" si="6"/>
        <v>-128443.99000000002</v>
      </c>
      <c r="N99" s="21">
        <f t="shared" si="7"/>
        <v>0.25625305047507357</v>
      </c>
      <c r="O99" s="21">
        <f t="shared" si="8"/>
        <v>1.291378847478202</v>
      </c>
      <c r="P99" s="2" t="str">
        <f t="shared" si="9"/>
        <v>ALERTA RETRASO</v>
      </c>
    </row>
    <row r="100" spans="1:16" ht="19.95" customHeight="1" x14ac:dyDescent="0.3">
      <c r="A100" s="4">
        <v>25</v>
      </c>
      <c r="B100" s="4" t="s">
        <v>27</v>
      </c>
      <c r="C100" s="2" t="s">
        <v>49</v>
      </c>
      <c r="D100" s="3" t="s">
        <v>73</v>
      </c>
      <c r="E100" s="6">
        <f>SUM('01_PRESUPUESTO_CRONOGRAMA_BASE'!G10:G11)</f>
        <v>57565.2</v>
      </c>
      <c r="F100" s="6">
        <f>SUMIFS('02_CRONOGRAMA_PV_DIARIO'!E:E, '02_CRONOGRAMA_PV_DIARIO'!A:A, A100, '02_CRONOGRAMA_PV_DIARIO'!C:C, C100)</f>
        <v>1761.82</v>
      </c>
      <c r="G100" s="6">
        <f>SUMIFS(F$2:F100, C$2:C100, C100)</f>
        <v>7047.28</v>
      </c>
      <c r="H100" s="6">
        <f>SUMIFS('04_LOG_FIELD_ENTRIES'!J:J, '04_LOG_FIELD_ENTRIES'!B:B, B100, '04_LOG_FIELD_ENTRIES'!D:D, C100, '04_LOG_FIELD_ENTRIES'!K:K, "EV_PRODUCCION")</f>
        <v>0</v>
      </c>
      <c r="I100" s="6">
        <f>SUMIFS(H$2:H100, C$2:C100, C100)</f>
        <v>9327.4500000000007</v>
      </c>
      <c r="J100" s="6">
        <f>SUMIFS('04_LOG_FIELD_ENTRIES'!J:J, '04_LOG_FIELD_ENTRIES'!B:B, B100, '04_LOG_FIELD_ENTRIES'!D:D, C100, '04_LOG_FIELD_ENTRIES'!K:K, "AC_*")</f>
        <v>0</v>
      </c>
      <c r="K100" s="6">
        <f>SUMIFS(J$2:J100, C$2:C100, C100)</f>
        <v>7730.8</v>
      </c>
      <c r="L100" s="6">
        <f t="shared" si="5"/>
        <v>1596.6500000000005</v>
      </c>
      <c r="M100" s="6">
        <f t="shared" si="6"/>
        <v>2280.170000000001</v>
      </c>
      <c r="N100" s="21">
        <f t="shared" si="7"/>
        <v>1.3235532006674917</v>
      </c>
      <c r="O100" s="21">
        <f t="shared" si="8"/>
        <v>1.2065310187820149</v>
      </c>
      <c r="P100" s="2" t="str">
        <f t="shared" si="9"/>
        <v>SALUDABLE</v>
      </c>
    </row>
    <row r="101" spans="1:16" ht="19.95" customHeight="1" x14ac:dyDescent="0.3">
      <c r="A101" s="4">
        <v>25</v>
      </c>
      <c r="B101" s="4" t="s">
        <v>27</v>
      </c>
      <c r="C101" s="2" t="s">
        <v>56</v>
      </c>
      <c r="D101" s="3" t="s">
        <v>74</v>
      </c>
      <c r="E101" s="6">
        <f>SUM('01_PRESUPUESTO_CRONOGRAMA_BASE'!G12:G12)</f>
        <v>9348.06</v>
      </c>
      <c r="F101" s="6">
        <f>SUMIFS('02_CRONOGRAMA_PV_DIARIO'!E:E, '02_CRONOGRAMA_PV_DIARIO'!A:A, A101, '02_CRONOGRAMA_PV_DIARIO'!C:C, C101)</f>
        <v>0</v>
      </c>
      <c r="G101" s="6">
        <f>SUMIFS(F$2:F101, C$2:C101, C101)</f>
        <v>0</v>
      </c>
      <c r="H101" s="6">
        <f>SUMIFS('04_LOG_FIELD_ENTRIES'!J:J, '04_LOG_FIELD_ENTRIES'!B:B, B101, '04_LOG_FIELD_ENTRIES'!D:D, C101, '04_LOG_FIELD_ENTRIES'!K:K, "EV_PRODUCCION")</f>
        <v>0</v>
      </c>
      <c r="I101" s="6">
        <f>SUMIFS(H$2:H101, C$2:C101, C101)</f>
        <v>2337.02</v>
      </c>
      <c r="J101" s="6">
        <f>SUMIFS('04_LOG_FIELD_ENTRIES'!J:J, '04_LOG_FIELD_ENTRIES'!B:B, B101, '04_LOG_FIELD_ENTRIES'!D:D, C101, '04_LOG_FIELD_ENTRIES'!K:K, "AC_*")</f>
        <v>0</v>
      </c>
      <c r="K101" s="6">
        <f>SUMIFS(J$2:J101, C$2:C101, C101)</f>
        <v>1299.2</v>
      </c>
      <c r="L101" s="6">
        <f t="shared" si="5"/>
        <v>1037.82</v>
      </c>
      <c r="M101" s="6">
        <f t="shared" si="6"/>
        <v>2337.02</v>
      </c>
      <c r="N101" s="21">
        <f t="shared" si="7"/>
        <v>1</v>
      </c>
      <c r="O101" s="21">
        <f t="shared" si="8"/>
        <v>1.7988146551724138</v>
      </c>
      <c r="P101" s="2" t="str">
        <f t="shared" si="9"/>
        <v>SALUDABLE</v>
      </c>
    </row>
    <row r="102" spans="1:16" ht="19.95" customHeight="1" x14ac:dyDescent="0.3">
      <c r="A102" s="4">
        <v>26</v>
      </c>
      <c r="B102" s="4" t="s">
        <v>92</v>
      </c>
      <c r="C102" s="2" t="s">
        <v>14</v>
      </c>
      <c r="D102" s="3" t="s">
        <v>71</v>
      </c>
      <c r="E102" s="6">
        <f>SUM('01_PRESUPUESTO_CRONOGRAMA_BASE'!G2:G3)</f>
        <v>16336.4</v>
      </c>
      <c r="F102" s="6">
        <f>SUMIFS('02_CRONOGRAMA_PV_DIARIO'!E:E, '02_CRONOGRAMA_PV_DIARIO'!A:A, A102, '02_CRONOGRAMA_PV_DIARIO'!C:C, C102)</f>
        <v>0</v>
      </c>
      <c r="G102" s="6">
        <f>SUMIFS(F$2:F102, C$2:C102, C102)</f>
        <v>16336.459999999994</v>
      </c>
      <c r="H102" s="6">
        <f>SUMIFS('04_LOG_FIELD_ENTRIES'!J:J, '04_LOG_FIELD_ENTRIES'!B:B, B102, '04_LOG_FIELD_ENTRIES'!D:D, C102, '04_LOG_FIELD_ENTRIES'!K:K, "EV_PRODUCCION")</f>
        <v>0</v>
      </c>
      <c r="I102" s="6">
        <f>SUMIFS(H$2:H102, C$2:C102, C102)</f>
        <v>5823.2</v>
      </c>
      <c r="J102" s="6">
        <f>SUMIFS('04_LOG_FIELD_ENTRIES'!J:J, '04_LOG_FIELD_ENTRIES'!B:B, B102, '04_LOG_FIELD_ENTRIES'!D:D, C102, '04_LOG_FIELD_ENTRIES'!K:K, "AC_*")</f>
        <v>0</v>
      </c>
      <c r="K102" s="6">
        <f>SUMIFS(J$2:J102, C$2:C102, C102)</f>
        <v>6331</v>
      </c>
      <c r="L102" s="6">
        <f t="shared" si="5"/>
        <v>-507.80000000000018</v>
      </c>
      <c r="M102" s="6">
        <f t="shared" si="6"/>
        <v>-10513.259999999995</v>
      </c>
      <c r="N102" s="21">
        <f t="shared" si="7"/>
        <v>0.35645421345872985</v>
      </c>
      <c r="O102" s="21">
        <f t="shared" si="8"/>
        <v>0.91979150213236449</v>
      </c>
      <c r="P102" s="2" t="str">
        <f t="shared" si="9"/>
        <v>ALERTA RETRASO</v>
      </c>
    </row>
    <row r="103" spans="1:16" ht="19.95" customHeight="1" x14ac:dyDescent="0.3">
      <c r="A103" s="4">
        <v>26</v>
      </c>
      <c r="B103" s="4" t="s">
        <v>92</v>
      </c>
      <c r="C103" s="2" t="s">
        <v>23</v>
      </c>
      <c r="D103" s="3" t="s">
        <v>72</v>
      </c>
      <c r="E103" s="6">
        <f>SUM('01_PRESUPUESTO_CRONOGRAMA_BASE'!G4:G9)</f>
        <v>372046.56</v>
      </c>
      <c r="F103" s="6">
        <f>SUMIFS('02_CRONOGRAMA_PV_DIARIO'!E:E, '02_CRONOGRAMA_PV_DIARIO'!A:A, A103, '02_CRONOGRAMA_PV_DIARIO'!C:C, C103)</f>
        <v>15099.41</v>
      </c>
      <c r="G103" s="6">
        <f>SUMIFS(F$2:F103, C$2:C103, C103)</f>
        <v>187797.92</v>
      </c>
      <c r="H103" s="6">
        <f>SUMIFS('04_LOG_FIELD_ENTRIES'!J:J, '04_LOG_FIELD_ENTRIES'!B:B, B103, '04_LOG_FIELD_ENTRIES'!D:D, C103, '04_LOG_FIELD_ENTRIES'!K:K, "EV_PRODUCCION")</f>
        <v>0</v>
      </c>
      <c r="I103" s="6">
        <f>SUMIFS(H$2:H103, C$2:C103, C103)</f>
        <v>44254.52</v>
      </c>
      <c r="J103" s="6">
        <f>SUMIFS('04_LOG_FIELD_ENTRIES'!J:J, '04_LOG_FIELD_ENTRIES'!B:B, B103, '04_LOG_FIELD_ENTRIES'!D:D, C103, '04_LOG_FIELD_ENTRIES'!K:K, "AC_*")</f>
        <v>0</v>
      </c>
      <c r="K103" s="6">
        <f>SUMIFS(J$2:J103, C$2:C103, C103)</f>
        <v>34269.199999999997</v>
      </c>
      <c r="L103" s="6">
        <f t="shared" si="5"/>
        <v>9985.32</v>
      </c>
      <c r="M103" s="6">
        <f t="shared" si="6"/>
        <v>-143543.40000000002</v>
      </c>
      <c r="N103" s="21">
        <f t="shared" si="7"/>
        <v>0.23564968131702413</v>
      </c>
      <c r="O103" s="21">
        <f t="shared" si="8"/>
        <v>1.291378847478202</v>
      </c>
      <c r="P103" s="2" t="str">
        <f t="shared" si="9"/>
        <v>ALERTA RETRASO</v>
      </c>
    </row>
    <row r="104" spans="1:16" ht="19.95" customHeight="1" x14ac:dyDescent="0.3">
      <c r="A104" s="4">
        <v>26</v>
      </c>
      <c r="B104" s="4" t="s">
        <v>92</v>
      </c>
      <c r="C104" s="2" t="s">
        <v>49</v>
      </c>
      <c r="D104" s="3" t="s">
        <v>73</v>
      </c>
      <c r="E104" s="6">
        <f>SUM('01_PRESUPUESTO_CRONOGRAMA_BASE'!G10:G11)</f>
        <v>57565.2</v>
      </c>
      <c r="F104" s="6">
        <f>SUMIFS('02_CRONOGRAMA_PV_DIARIO'!E:E, '02_CRONOGRAMA_PV_DIARIO'!A:A, A104, '02_CRONOGRAMA_PV_DIARIO'!C:C, C104)</f>
        <v>1761.82</v>
      </c>
      <c r="G104" s="6">
        <f>SUMIFS(F$2:F104, C$2:C104, C104)</f>
        <v>8809.1</v>
      </c>
      <c r="H104" s="6">
        <f>SUMIFS('04_LOG_FIELD_ENTRIES'!J:J, '04_LOG_FIELD_ENTRIES'!B:B, B104, '04_LOG_FIELD_ENTRIES'!D:D, C104, '04_LOG_FIELD_ENTRIES'!K:K, "EV_PRODUCCION")</f>
        <v>0</v>
      </c>
      <c r="I104" s="6">
        <f>SUMIFS(H$2:H104, C$2:C104, C104)</f>
        <v>9327.4500000000007</v>
      </c>
      <c r="J104" s="6">
        <f>SUMIFS('04_LOG_FIELD_ENTRIES'!J:J, '04_LOG_FIELD_ENTRIES'!B:B, B104, '04_LOG_FIELD_ENTRIES'!D:D, C104, '04_LOG_FIELD_ENTRIES'!K:K, "AC_*")</f>
        <v>0</v>
      </c>
      <c r="K104" s="6">
        <f>SUMIFS(J$2:J104, C$2:C104, C104)</f>
        <v>7730.8</v>
      </c>
      <c r="L104" s="6">
        <f t="shared" si="5"/>
        <v>1596.6500000000005</v>
      </c>
      <c r="M104" s="6">
        <f t="shared" si="6"/>
        <v>518.35000000000036</v>
      </c>
      <c r="N104" s="21">
        <f t="shared" si="7"/>
        <v>1.0588425605339933</v>
      </c>
      <c r="O104" s="21">
        <f t="shared" si="8"/>
        <v>1.2065310187820149</v>
      </c>
      <c r="P104" s="2" t="str">
        <f t="shared" si="9"/>
        <v>SALUDABLE</v>
      </c>
    </row>
    <row r="105" spans="1:16" ht="19.95" customHeight="1" x14ac:dyDescent="0.3">
      <c r="A105" s="4">
        <v>26</v>
      </c>
      <c r="B105" s="4" t="s">
        <v>92</v>
      </c>
      <c r="C105" s="2" t="s">
        <v>56</v>
      </c>
      <c r="D105" s="3" t="s">
        <v>74</v>
      </c>
      <c r="E105" s="6">
        <f>SUM('01_PRESUPUESTO_CRONOGRAMA_BASE'!G12:G12)</f>
        <v>9348.06</v>
      </c>
      <c r="F105" s="6">
        <f>SUMIFS('02_CRONOGRAMA_PV_DIARIO'!E:E, '02_CRONOGRAMA_PV_DIARIO'!A:A, A105, '02_CRONOGRAMA_PV_DIARIO'!C:C, C105)</f>
        <v>0</v>
      </c>
      <c r="G105" s="6">
        <f>SUMIFS(F$2:F105, C$2:C105, C105)</f>
        <v>0</v>
      </c>
      <c r="H105" s="6">
        <f>SUMIFS('04_LOG_FIELD_ENTRIES'!J:J, '04_LOG_FIELD_ENTRIES'!B:B, B105, '04_LOG_FIELD_ENTRIES'!D:D, C105, '04_LOG_FIELD_ENTRIES'!K:K, "EV_PRODUCCION")</f>
        <v>0</v>
      </c>
      <c r="I105" s="6">
        <f>SUMIFS(H$2:H105, C$2:C105, C105)</f>
        <v>2337.02</v>
      </c>
      <c r="J105" s="6">
        <f>SUMIFS('04_LOG_FIELD_ENTRIES'!J:J, '04_LOG_FIELD_ENTRIES'!B:B, B105, '04_LOG_FIELD_ENTRIES'!D:D, C105, '04_LOG_FIELD_ENTRIES'!K:K, "AC_*")</f>
        <v>0</v>
      </c>
      <c r="K105" s="6">
        <f>SUMIFS(J$2:J105, C$2:C105, C105)</f>
        <v>1299.2</v>
      </c>
      <c r="L105" s="6">
        <f t="shared" si="5"/>
        <v>1037.82</v>
      </c>
      <c r="M105" s="6">
        <f t="shared" si="6"/>
        <v>2337.02</v>
      </c>
      <c r="N105" s="21">
        <f t="shared" si="7"/>
        <v>1</v>
      </c>
      <c r="O105" s="21">
        <f t="shared" si="8"/>
        <v>1.7988146551724138</v>
      </c>
      <c r="P105" s="2" t="str">
        <f t="shared" si="9"/>
        <v>SALUDABLE</v>
      </c>
    </row>
    <row r="106" spans="1:16" ht="19.95" customHeight="1" x14ac:dyDescent="0.3">
      <c r="A106" s="4">
        <v>27</v>
      </c>
      <c r="B106" s="4" t="s">
        <v>93</v>
      </c>
      <c r="C106" s="2" t="s">
        <v>14</v>
      </c>
      <c r="D106" s="3" t="s">
        <v>71</v>
      </c>
      <c r="E106" s="6">
        <f>SUM('01_PRESUPUESTO_CRONOGRAMA_BASE'!G2:G3)</f>
        <v>16336.4</v>
      </c>
      <c r="F106" s="6">
        <f>SUMIFS('02_CRONOGRAMA_PV_DIARIO'!E:E, '02_CRONOGRAMA_PV_DIARIO'!A:A, A106, '02_CRONOGRAMA_PV_DIARIO'!C:C, C106)</f>
        <v>0</v>
      </c>
      <c r="G106" s="6">
        <f>SUMIFS(F$2:F106, C$2:C106, C106)</f>
        <v>16336.459999999994</v>
      </c>
      <c r="H106" s="6">
        <f>SUMIFS('04_LOG_FIELD_ENTRIES'!J:J, '04_LOG_FIELD_ENTRIES'!B:B, B106, '04_LOG_FIELD_ENTRIES'!D:D, C106, '04_LOG_FIELD_ENTRIES'!K:K, "EV_PRODUCCION")</f>
        <v>0</v>
      </c>
      <c r="I106" s="6">
        <f>SUMIFS(H$2:H106, C$2:C106, C106)</f>
        <v>5823.2</v>
      </c>
      <c r="J106" s="6">
        <f>SUMIFS('04_LOG_FIELD_ENTRIES'!J:J, '04_LOG_FIELD_ENTRIES'!B:B, B106, '04_LOG_FIELD_ENTRIES'!D:D, C106, '04_LOG_FIELD_ENTRIES'!K:K, "AC_*")</f>
        <v>0</v>
      </c>
      <c r="K106" s="6">
        <f>SUMIFS(J$2:J106, C$2:C106, C106)</f>
        <v>6331</v>
      </c>
      <c r="L106" s="6">
        <f t="shared" si="5"/>
        <v>-507.80000000000018</v>
      </c>
      <c r="M106" s="6">
        <f t="shared" si="6"/>
        <v>-10513.259999999995</v>
      </c>
      <c r="N106" s="21">
        <f t="shared" si="7"/>
        <v>0.35645421345872985</v>
      </c>
      <c r="O106" s="21">
        <f t="shared" si="8"/>
        <v>0.91979150213236449</v>
      </c>
      <c r="P106" s="2" t="str">
        <f t="shared" si="9"/>
        <v>ALERTA RETRASO</v>
      </c>
    </row>
    <row r="107" spans="1:16" ht="19.95" customHeight="1" x14ac:dyDescent="0.3">
      <c r="A107" s="4">
        <v>27</v>
      </c>
      <c r="B107" s="4" t="s">
        <v>93</v>
      </c>
      <c r="C107" s="2" t="s">
        <v>23</v>
      </c>
      <c r="D107" s="3" t="s">
        <v>72</v>
      </c>
      <c r="E107" s="6">
        <f>SUM('01_PRESUPUESTO_CRONOGRAMA_BASE'!G4:G9)</f>
        <v>372046.56</v>
      </c>
      <c r="F107" s="6">
        <f>SUMIFS('02_CRONOGRAMA_PV_DIARIO'!E:E, '02_CRONOGRAMA_PV_DIARIO'!A:A, A107, '02_CRONOGRAMA_PV_DIARIO'!C:C, C107)</f>
        <v>15099.41</v>
      </c>
      <c r="G107" s="6">
        <f>SUMIFS(F$2:F107, C$2:C107, C107)</f>
        <v>202897.33000000002</v>
      </c>
      <c r="H107" s="6">
        <f>SUMIFS('04_LOG_FIELD_ENTRIES'!J:J, '04_LOG_FIELD_ENTRIES'!B:B, B107, '04_LOG_FIELD_ENTRIES'!D:D, C107, '04_LOG_FIELD_ENTRIES'!K:K, "EV_PRODUCCION")</f>
        <v>0</v>
      </c>
      <c r="I107" s="6">
        <f>SUMIFS(H$2:H107, C$2:C107, C107)</f>
        <v>44254.52</v>
      </c>
      <c r="J107" s="6">
        <f>SUMIFS('04_LOG_FIELD_ENTRIES'!J:J, '04_LOG_FIELD_ENTRIES'!B:B, B107, '04_LOG_FIELD_ENTRIES'!D:D, C107, '04_LOG_FIELD_ENTRIES'!K:K, "AC_*")</f>
        <v>0</v>
      </c>
      <c r="K107" s="6">
        <f>SUMIFS(J$2:J107, C$2:C107, C107)</f>
        <v>34269.199999999997</v>
      </c>
      <c r="L107" s="6">
        <f t="shared" si="5"/>
        <v>9985.32</v>
      </c>
      <c r="M107" s="6">
        <f t="shared" si="6"/>
        <v>-158642.81000000003</v>
      </c>
      <c r="N107" s="21">
        <f t="shared" si="7"/>
        <v>0.21811287511767649</v>
      </c>
      <c r="O107" s="21">
        <f t="shared" si="8"/>
        <v>1.291378847478202</v>
      </c>
      <c r="P107" s="2" t="str">
        <f t="shared" si="9"/>
        <v>ALERTA RETRASO</v>
      </c>
    </row>
    <row r="108" spans="1:16" ht="19.95" customHeight="1" x14ac:dyDescent="0.3">
      <c r="A108" s="4">
        <v>27</v>
      </c>
      <c r="B108" s="4" t="s">
        <v>93</v>
      </c>
      <c r="C108" s="2" t="s">
        <v>49</v>
      </c>
      <c r="D108" s="3" t="s">
        <v>73</v>
      </c>
      <c r="E108" s="6">
        <f>SUM('01_PRESUPUESTO_CRONOGRAMA_BASE'!G10:G11)</f>
        <v>57565.2</v>
      </c>
      <c r="F108" s="6">
        <f>SUMIFS('02_CRONOGRAMA_PV_DIARIO'!E:E, '02_CRONOGRAMA_PV_DIARIO'!A:A, A108, '02_CRONOGRAMA_PV_DIARIO'!C:C, C108)</f>
        <v>1761.82</v>
      </c>
      <c r="G108" s="6">
        <f>SUMIFS(F$2:F108, C$2:C108, C108)</f>
        <v>10570.92</v>
      </c>
      <c r="H108" s="6">
        <f>SUMIFS('04_LOG_FIELD_ENTRIES'!J:J, '04_LOG_FIELD_ENTRIES'!B:B, B108, '04_LOG_FIELD_ENTRIES'!D:D, C108, '04_LOG_FIELD_ENTRIES'!K:K, "EV_PRODUCCION")</f>
        <v>0</v>
      </c>
      <c r="I108" s="6">
        <f>SUMIFS(H$2:H108, C$2:C108, C108)</f>
        <v>9327.4500000000007</v>
      </c>
      <c r="J108" s="6">
        <f>SUMIFS('04_LOG_FIELD_ENTRIES'!J:J, '04_LOG_FIELD_ENTRIES'!B:B, B108, '04_LOG_FIELD_ENTRIES'!D:D, C108, '04_LOG_FIELD_ENTRIES'!K:K, "AC_*")</f>
        <v>0</v>
      </c>
      <c r="K108" s="6">
        <f>SUMIFS(J$2:J108, C$2:C108, C108)</f>
        <v>7730.8</v>
      </c>
      <c r="L108" s="6">
        <f t="shared" si="5"/>
        <v>1596.6500000000005</v>
      </c>
      <c r="M108" s="6">
        <f t="shared" si="6"/>
        <v>-1243.4699999999993</v>
      </c>
      <c r="N108" s="21">
        <f t="shared" si="7"/>
        <v>0.88236880044499444</v>
      </c>
      <c r="O108" s="21">
        <f t="shared" si="8"/>
        <v>1.2065310187820149</v>
      </c>
      <c r="P108" s="2" t="str">
        <f t="shared" si="9"/>
        <v>ALERTA RETRASO</v>
      </c>
    </row>
    <row r="109" spans="1:16" ht="19.95" customHeight="1" x14ac:dyDescent="0.3">
      <c r="A109" s="4">
        <v>27</v>
      </c>
      <c r="B109" s="4" t="s">
        <v>93</v>
      </c>
      <c r="C109" s="2" t="s">
        <v>56</v>
      </c>
      <c r="D109" s="3" t="s">
        <v>74</v>
      </c>
      <c r="E109" s="6">
        <f>SUM('01_PRESUPUESTO_CRONOGRAMA_BASE'!G12:G12)</f>
        <v>9348.06</v>
      </c>
      <c r="F109" s="6">
        <f>SUMIFS('02_CRONOGRAMA_PV_DIARIO'!E:E, '02_CRONOGRAMA_PV_DIARIO'!A:A, A109, '02_CRONOGRAMA_PV_DIARIO'!C:C, C109)</f>
        <v>0</v>
      </c>
      <c r="G109" s="6">
        <f>SUMIFS(F$2:F109, C$2:C109, C109)</f>
        <v>0</v>
      </c>
      <c r="H109" s="6">
        <f>SUMIFS('04_LOG_FIELD_ENTRIES'!J:J, '04_LOG_FIELD_ENTRIES'!B:B, B109, '04_LOG_FIELD_ENTRIES'!D:D, C109, '04_LOG_FIELD_ENTRIES'!K:K, "EV_PRODUCCION")</f>
        <v>0</v>
      </c>
      <c r="I109" s="6">
        <f>SUMIFS(H$2:H109, C$2:C109, C109)</f>
        <v>2337.02</v>
      </c>
      <c r="J109" s="6">
        <f>SUMIFS('04_LOG_FIELD_ENTRIES'!J:J, '04_LOG_FIELD_ENTRIES'!B:B, B109, '04_LOG_FIELD_ENTRIES'!D:D, C109, '04_LOG_FIELD_ENTRIES'!K:K, "AC_*")</f>
        <v>0</v>
      </c>
      <c r="K109" s="6">
        <f>SUMIFS(J$2:J109, C$2:C109, C109)</f>
        <v>1299.2</v>
      </c>
      <c r="L109" s="6">
        <f t="shared" si="5"/>
        <v>1037.82</v>
      </c>
      <c r="M109" s="6">
        <f t="shared" si="6"/>
        <v>2337.02</v>
      </c>
      <c r="N109" s="21">
        <f t="shared" si="7"/>
        <v>1</v>
      </c>
      <c r="O109" s="21">
        <f t="shared" si="8"/>
        <v>1.7988146551724138</v>
      </c>
      <c r="P109" s="2" t="str">
        <f t="shared" si="9"/>
        <v>SALUDABLE</v>
      </c>
    </row>
    <row r="110" spans="1:16" ht="19.95" customHeight="1" x14ac:dyDescent="0.3">
      <c r="A110" s="4">
        <v>28</v>
      </c>
      <c r="B110" s="4" t="s">
        <v>31</v>
      </c>
      <c r="C110" s="2" t="s">
        <v>14</v>
      </c>
      <c r="D110" s="3" t="s">
        <v>71</v>
      </c>
      <c r="E110" s="6">
        <f>SUM('01_PRESUPUESTO_CRONOGRAMA_BASE'!G2:G3)</f>
        <v>16336.4</v>
      </c>
      <c r="F110" s="6">
        <f>SUMIFS('02_CRONOGRAMA_PV_DIARIO'!E:E, '02_CRONOGRAMA_PV_DIARIO'!A:A, A110, '02_CRONOGRAMA_PV_DIARIO'!C:C, C110)</f>
        <v>0</v>
      </c>
      <c r="G110" s="6">
        <f>SUMIFS(F$2:F110, C$2:C110, C110)</f>
        <v>16336.459999999994</v>
      </c>
      <c r="H110" s="6">
        <f>SUMIFS('04_LOG_FIELD_ENTRIES'!J:J, '04_LOG_FIELD_ENTRIES'!B:B, B110, '04_LOG_FIELD_ENTRIES'!D:D, C110, '04_LOG_FIELD_ENTRIES'!K:K, "EV_PRODUCCION")</f>
        <v>0</v>
      </c>
      <c r="I110" s="6">
        <f>SUMIFS(H$2:H110, C$2:C110, C110)</f>
        <v>5823.2</v>
      </c>
      <c r="J110" s="6">
        <f>SUMIFS('04_LOG_FIELD_ENTRIES'!J:J, '04_LOG_FIELD_ENTRIES'!B:B, B110, '04_LOG_FIELD_ENTRIES'!D:D, C110, '04_LOG_FIELD_ENTRIES'!K:K, "AC_*")</f>
        <v>0</v>
      </c>
      <c r="K110" s="6">
        <f>SUMIFS(J$2:J110, C$2:C110, C110)</f>
        <v>6331</v>
      </c>
      <c r="L110" s="6">
        <f t="shared" si="5"/>
        <v>-507.80000000000018</v>
      </c>
      <c r="M110" s="6">
        <f t="shared" si="6"/>
        <v>-10513.259999999995</v>
      </c>
      <c r="N110" s="21">
        <f t="shared" si="7"/>
        <v>0.35645421345872985</v>
      </c>
      <c r="O110" s="21">
        <f t="shared" si="8"/>
        <v>0.91979150213236449</v>
      </c>
      <c r="P110" s="2" t="str">
        <f t="shared" si="9"/>
        <v>ALERTA RETRASO</v>
      </c>
    </row>
    <row r="111" spans="1:16" ht="19.95" customHeight="1" x14ac:dyDescent="0.3">
      <c r="A111" s="4">
        <v>28</v>
      </c>
      <c r="B111" s="4" t="s">
        <v>31</v>
      </c>
      <c r="C111" s="2" t="s">
        <v>23</v>
      </c>
      <c r="D111" s="3" t="s">
        <v>72</v>
      </c>
      <c r="E111" s="6">
        <f>SUM('01_PRESUPUESTO_CRONOGRAMA_BASE'!G4:G9)</f>
        <v>372046.56</v>
      </c>
      <c r="F111" s="6">
        <f>SUMIFS('02_CRONOGRAMA_PV_DIARIO'!E:E, '02_CRONOGRAMA_PV_DIARIO'!A:A, A111, '02_CRONOGRAMA_PV_DIARIO'!C:C, C111)</f>
        <v>18140.96</v>
      </c>
      <c r="G111" s="6">
        <f>SUMIFS(F$2:F111, C$2:C111, C111)</f>
        <v>221038.29</v>
      </c>
      <c r="H111" s="6">
        <f>SUMIFS('04_LOG_FIELD_ENTRIES'!J:J, '04_LOG_FIELD_ENTRIES'!B:B, B111, '04_LOG_FIELD_ENTRIES'!D:D, C111, '04_LOG_FIELD_ENTRIES'!K:K, "EV_PRODUCCION")</f>
        <v>0</v>
      </c>
      <c r="I111" s="6">
        <f>SUMIFS(H$2:H111, C$2:C111, C111)</f>
        <v>44254.52</v>
      </c>
      <c r="J111" s="6">
        <f>SUMIFS('04_LOG_FIELD_ENTRIES'!J:J, '04_LOG_FIELD_ENTRIES'!B:B, B111, '04_LOG_FIELD_ENTRIES'!D:D, C111, '04_LOG_FIELD_ENTRIES'!K:K, "AC_*")</f>
        <v>0</v>
      </c>
      <c r="K111" s="6">
        <f>SUMIFS(J$2:J111, C$2:C111, C111)</f>
        <v>34269.199999999997</v>
      </c>
      <c r="L111" s="6">
        <f t="shared" si="5"/>
        <v>9985.32</v>
      </c>
      <c r="M111" s="6">
        <f t="shared" si="6"/>
        <v>-176783.77000000002</v>
      </c>
      <c r="N111" s="21">
        <f t="shared" si="7"/>
        <v>0.20021200851671445</v>
      </c>
      <c r="O111" s="21">
        <f t="shared" si="8"/>
        <v>1.291378847478202</v>
      </c>
      <c r="P111" s="2" t="str">
        <f t="shared" si="9"/>
        <v>ALERTA RETRASO</v>
      </c>
    </row>
    <row r="112" spans="1:16" ht="19.95" customHeight="1" x14ac:dyDescent="0.3">
      <c r="A112" s="4">
        <v>28</v>
      </c>
      <c r="B112" s="4" t="s">
        <v>31</v>
      </c>
      <c r="C112" s="2" t="s">
        <v>49</v>
      </c>
      <c r="D112" s="3" t="s">
        <v>73</v>
      </c>
      <c r="E112" s="6">
        <f>SUM('01_PRESUPUESTO_CRONOGRAMA_BASE'!G10:G11)</f>
        <v>57565.2</v>
      </c>
      <c r="F112" s="6">
        <f>SUMIFS('02_CRONOGRAMA_PV_DIARIO'!E:E, '02_CRONOGRAMA_PV_DIARIO'!A:A, A112, '02_CRONOGRAMA_PV_DIARIO'!C:C, C112)</f>
        <v>1761.82</v>
      </c>
      <c r="G112" s="6">
        <f>SUMIFS(F$2:F112, C$2:C112, C112)</f>
        <v>12332.74</v>
      </c>
      <c r="H112" s="6">
        <f>SUMIFS('04_LOG_FIELD_ENTRIES'!J:J, '04_LOG_FIELD_ENTRIES'!B:B, B112, '04_LOG_FIELD_ENTRIES'!D:D, C112, '04_LOG_FIELD_ENTRIES'!K:K, "EV_PRODUCCION")</f>
        <v>0</v>
      </c>
      <c r="I112" s="6">
        <f>SUMIFS(H$2:H112, C$2:C112, C112)</f>
        <v>9327.4500000000007</v>
      </c>
      <c r="J112" s="6">
        <f>SUMIFS('04_LOG_FIELD_ENTRIES'!J:J, '04_LOG_FIELD_ENTRIES'!B:B, B112, '04_LOG_FIELD_ENTRIES'!D:D, C112, '04_LOG_FIELD_ENTRIES'!K:K, "AC_*")</f>
        <v>0</v>
      </c>
      <c r="K112" s="6">
        <f>SUMIFS(J$2:J112, C$2:C112, C112)</f>
        <v>7730.8</v>
      </c>
      <c r="L112" s="6">
        <f t="shared" si="5"/>
        <v>1596.6500000000005</v>
      </c>
      <c r="M112" s="6">
        <f t="shared" si="6"/>
        <v>-3005.2899999999991</v>
      </c>
      <c r="N112" s="21">
        <f t="shared" si="7"/>
        <v>0.75631611466713811</v>
      </c>
      <c r="O112" s="21">
        <f t="shared" si="8"/>
        <v>1.2065310187820149</v>
      </c>
      <c r="P112" s="2" t="str">
        <f t="shared" si="9"/>
        <v>ALERTA RETRASO</v>
      </c>
    </row>
    <row r="113" spans="1:16" ht="19.95" customHeight="1" x14ac:dyDescent="0.3">
      <c r="A113" s="4">
        <v>28</v>
      </c>
      <c r="B113" s="4" t="s">
        <v>31</v>
      </c>
      <c r="C113" s="2" t="s">
        <v>56</v>
      </c>
      <c r="D113" s="3" t="s">
        <v>74</v>
      </c>
      <c r="E113" s="6">
        <f>SUM('01_PRESUPUESTO_CRONOGRAMA_BASE'!G12:G12)</f>
        <v>9348.06</v>
      </c>
      <c r="F113" s="6">
        <f>SUMIFS('02_CRONOGRAMA_PV_DIARIO'!E:E, '02_CRONOGRAMA_PV_DIARIO'!A:A, A113, '02_CRONOGRAMA_PV_DIARIO'!C:C, C113)</f>
        <v>0</v>
      </c>
      <c r="G113" s="6">
        <f>SUMIFS(F$2:F113, C$2:C113, C113)</f>
        <v>0</v>
      </c>
      <c r="H113" s="6">
        <f>SUMIFS('04_LOG_FIELD_ENTRIES'!J:J, '04_LOG_FIELD_ENTRIES'!B:B, B113, '04_LOG_FIELD_ENTRIES'!D:D, C113, '04_LOG_FIELD_ENTRIES'!K:K, "EV_PRODUCCION")</f>
        <v>0</v>
      </c>
      <c r="I113" s="6">
        <f>SUMIFS(H$2:H113, C$2:C113, C113)</f>
        <v>2337.02</v>
      </c>
      <c r="J113" s="6">
        <f>SUMIFS('04_LOG_FIELD_ENTRIES'!J:J, '04_LOG_FIELD_ENTRIES'!B:B, B113, '04_LOG_FIELD_ENTRIES'!D:D, C113, '04_LOG_FIELD_ENTRIES'!K:K, "AC_*")</f>
        <v>0</v>
      </c>
      <c r="K113" s="6">
        <f>SUMIFS(J$2:J113, C$2:C113, C113)</f>
        <v>1299.2</v>
      </c>
      <c r="L113" s="6">
        <f t="shared" si="5"/>
        <v>1037.82</v>
      </c>
      <c r="M113" s="6">
        <f t="shared" si="6"/>
        <v>2337.02</v>
      </c>
      <c r="N113" s="21">
        <f t="shared" si="7"/>
        <v>1</v>
      </c>
      <c r="O113" s="21">
        <f t="shared" si="8"/>
        <v>1.7988146551724138</v>
      </c>
      <c r="P113" s="2" t="str">
        <f t="shared" si="9"/>
        <v>SALUDABLE</v>
      </c>
    </row>
    <row r="114" spans="1:16" ht="19.95" customHeight="1" x14ac:dyDescent="0.3">
      <c r="A114" s="4">
        <v>29</v>
      </c>
      <c r="B114" s="4" t="s">
        <v>94</v>
      </c>
      <c r="C114" s="2" t="s">
        <v>14</v>
      </c>
      <c r="D114" s="3" t="s">
        <v>71</v>
      </c>
      <c r="E114" s="6">
        <f>SUM('01_PRESUPUESTO_CRONOGRAMA_BASE'!G2:G3)</f>
        <v>16336.4</v>
      </c>
      <c r="F114" s="6">
        <f>SUMIFS('02_CRONOGRAMA_PV_DIARIO'!E:E, '02_CRONOGRAMA_PV_DIARIO'!A:A, A114, '02_CRONOGRAMA_PV_DIARIO'!C:C, C114)</f>
        <v>0</v>
      </c>
      <c r="G114" s="6">
        <f>SUMIFS(F$2:F114, C$2:C114, C114)</f>
        <v>16336.459999999994</v>
      </c>
      <c r="H114" s="6">
        <f>SUMIFS('04_LOG_FIELD_ENTRIES'!J:J, '04_LOG_FIELD_ENTRIES'!B:B, B114, '04_LOG_FIELD_ENTRIES'!D:D, C114, '04_LOG_FIELD_ENTRIES'!K:K, "EV_PRODUCCION")</f>
        <v>0</v>
      </c>
      <c r="I114" s="6">
        <f>SUMIFS(H$2:H114, C$2:C114, C114)</f>
        <v>5823.2</v>
      </c>
      <c r="J114" s="6">
        <f>SUMIFS('04_LOG_FIELD_ENTRIES'!J:J, '04_LOG_FIELD_ENTRIES'!B:B, B114, '04_LOG_FIELD_ENTRIES'!D:D, C114, '04_LOG_FIELD_ENTRIES'!K:K, "AC_*")</f>
        <v>0</v>
      </c>
      <c r="K114" s="6">
        <f>SUMIFS(J$2:J114, C$2:C114, C114)</f>
        <v>6331</v>
      </c>
      <c r="L114" s="6">
        <f t="shared" si="5"/>
        <v>-507.80000000000018</v>
      </c>
      <c r="M114" s="6">
        <f t="shared" si="6"/>
        <v>-10513.259999999995</v>
      </c>
      <c r="N114" s="21">
        <f t="shared" si="7"/>
        <v>0.35645421345872985</v>
      </c>
      <c r="O114" s="21">
        <f t="shared" si="8"/>
        <v>0.91979150213236449</v>
      </c>
      <c r="P114" s="2" t="str">
        <f t="shared" si="9"/>
        <v>ALERTA RETRASO</v>
      </c>
    </row>
    <row r="115" spans="1:16" ht="19.95" customHeight="1" x14ac:dyDescent="0.3">
      <c r="A115" s="4">
        <v>29</v>
      </c>
      <c r="B115" s="4" t="s">
        <v>94</v>
      </c>
      <c r="C115" s="2" t="s">
        <v>23</v>
      </c>
      <c r="D115" s="3" t="s">
        <v>72</v>
      </c>
      <c r="E115" s="6">
        <f>SUM('01_PRESUPUESTO_CRONOGRAMA_BASE'!G4:G9)</f>
        <v>372046.56</v>
      </c>
      <c r="F115" s="6">
        <f>SUMIFS('02_CRONOGRAMA_PV_DIARIO'!E:E, '02_CRONOGRAMA_PV_DIARIO'!A:A, A115, '02_CRONOGRAMA_PV_DIARIO'!C:C, C115)</f>
        <v>16571.080000000002</v>
      </c>
      <c r="G115" s="6">
        <f>SUMIFS(F$2:F115, C$2:C115, C115)</f>
        <v>237609.37</v>
      </c>
      <c r="H115" s="6">
        <f>SUMIFS('04_LOG_FIELD_ENTRIES'!J:J, '04_LOG_FIELD_ENTRIES'!B:B, B115, '04_LOG_FIELD_ENTRIES'!D:D, C115, '04_LOG_FIELD_ENTRIES'!K:K, "EV_PRODUCCION")</f>
        <v>0</v>
      </c>
      <c r="I115" s="6">
        <f>SUMIFS(H$2:H115, C$2:C115, C115)</f>
        <v>44254.52</v>
      </c>
      <c r="J115" s="6">
        <f>SUMIFS('04_LOG_FIELD_ENTRIES'!J:J, '04_LOG_FIELD_ENTRIES'!B:B, B115, '04_LOG_FIELD_ENTRIES'!D:D, C115, '04_LOG_FIELD_ENTRIES'!K:K, "AC_*")</f>
        <v>0</v>
      </c>
      <c r="K115" s="6">
        <f>SUMIFS(J$2:J115, C$2:C115, C115)</f>
        <v>34269.199999999997</v>
      </c>
      <c r="L115" s="6">
        <f t="shared" si="5"/>
        <v>9985.32</v>
      </c>
      <c r="M115" s="6">
        <f t="shared" si="6"/>
        <v>-193354.85</v>
      </c>
      <c r="N115" s="21">
        <f t="shared" si="7"/>
        <v>0.18624905238375067</v>
      </c>
      <c r="O115" s="21">
        <f t="shared" si="8"/>
        <v>1.291378847478202</v>
      </c>
      <c r="P115" s="2" t="str">
        <f t="shared" si="9"/>
        <v>ALERTA RETRASO</v>
      </c>
    </row>
    <row r="116" spans="1:16" ht="19.95" customHeight="1" x14ac:dyDescent="0.3">
      <c r="A116" s="4">
        <v>29</v>
      </c>
      <c r="B116" s="4" t="s">
        <v>94</v>
      </c>
      <c r="C116" s="2" t="s">
        <v>49</v>
      </c>
      <c r="D116" s="3" t="s">
        <v>73</v>
      </c>
      <c r="E116" s="6">
        <f>SUM('01_PRESUPUESTO_CRONOGRAMA_BASE'!G10:G11)</f>
        <v>57565.2</v>
      </c>
      <c r="F116" s="6">
        <f>SUMIFS('02_CRONOGRAMA_PV_DIARIO'!E:E, '02_CRONOGRAMA_PV_DIARIO'!A:A, A116, '02_CRONOGRAMA_PV_DIARIO'!C:C, C116)</f>
        <v>1761.82</v>
      </c>
      <c r="G116" s="6">
        <f>SUMIFS(F$2:F116, C$2:C116, C116)</f>
        <v>14094.56</v>
      </c>
      <c r="H116" s="6">
        <f>SUMIFS('04_LOG_FIELD_ENTRIES'!J:J, '04_LOG_FIELD_ENTRIES'!B:B, B116, '04_LOG_FIELD_ENTRIES'!D:D, C116, '04_LOG_FIELD_ENTRIES'!K:K, "EV_PRODUCCION")</f>
        <v>0</v>
      </c>
      <c r="I116" s="6">
        <f>SUMIFS(H$2:H116, C$2:C116, C116)</f>
        <v>9327.4500000000007</v>
      </c>
      <c r="J116" s="6">
        <f>SUMIFS('04_LOG_FIELD_ENTRIES'!J:J, '04_LOG_FIELD_ENTRIES'!B:B, B116, '04_LOG_FIELD_ENTRIES'!D:D, C116, '04_LOG_FIELD_ENTRIES'!K:K, "AC_*")</f>
        <v>0</v>
      </c>
      <c r="K116" s="6">
        <f>SUMIFS(J$2:J116, C$2:C116, C116)</f>
        <v>7730.8</v>
      </c>
      <c r="L116" s="6">
        <f t="shared" si="5"/>
        <v>1596.6500000000005</v>
      </c>
      <c r="M116" s="6">
        <f t="shared" si="6"/>
        <v>-4767.1099999999988</v>
      </c>
      <c r="N116" s="21">
        <f t="shared" si="7"/>
        <v>0.66177660033374586</v>
      </c>
      <c r="O116" s="21">
        <f t="shared" si="8"/>
        <v>1.2065310187820149</v>
      </c>
      <c r="P116" s="2" t="str">
        <f t="shared" si="9"/>
        <v>ALERTA RETRASO</v>
      </c>
    </row>
    <row r="117" spans="1:16" ht="19.95" customHeight="1" x14ac:dyDescent="0.3">
      <c r="A117" s="4">
        <v>29</v>
      </c>
      <c r="B117" s="4" t="s">
        <v>94</v>
      </c>
      <c r="C117" s="2" t="s">
        <v>56</v>
      </c>
      <c r="D117" s="3" t="s">
        <v>74</v>
      </c>
      <c r="E117" s="6">
        <f>SUM('01_PRESUPUESTO_CRONOGRAMA_BASE'!G12:G12)</f>
        <v>9348.06</v>
      </c>
      <c r="F117" s="6">
        <f>SUMIFS('02_CRONOGRAMA_PV_DIARIO'!E:E, '02_CRONOGRAMA_PV_DIARIO'!A:A, A117, '02_CRONOGRAMA_PV_DIARIO'!C:C, C117)</f>
        <v>0</v>
      </c>
      <c r="G117" s="6">
        <f>SUMIFS(F$2:F117, C$2:C117, C117)</f>
        <v>0</v>
      </c>
      <c r="H117" s="6">
        <f>SUMIFS('04_LOG_FIELD_ENTRIES'!J:J, '04_LOG_FIELD_ENTRIES'!B:B, B117, '04_LOG_FIELD_ENTRIES'!D:D, C117, '04_LOG_FIELD_ENTRIES'!K:K, "EV_PRODUCCION")</f>
        <v>0</v>
      </c>
      <c r="I117" s="6">
        <f>SUMIFS(H$2:H117, C$2:C117, C117)</f>
        <v>2337.02</v>
      </c>
      <c r="J117" s="6">
        <f>SUMIFS('04_LOG_FIELD_ENTRIES'!J:J, '04_LOG_FIELD_ENTRIES'!B:B, B117, '04_LOG_FIELD_ENTRIES'!D:D, C117, '04_LOG_FIELD_ENTRIES'!K:K, "AC_*")</f>
        <v>0</v>
      </c>
      <c r="K117" s="6">
        <f>SUMIFS(J$2:J117, C$2:C117, C117)</f>
        <v>1299.2</v>
      </c>
      <c r="L117" s="6">
        <f t="shared" si="5"/>
        <v>1037.82</v>
      </c>
      <c r="M117" s="6">
        <f t="shared" si="6"/>
        <v>2337.02</v>
      </c>
      <c r="N117" s="21">
        <f t="shared" si="7"/>
        <v>1</v>
      </c>
      <c r="O117" s="21">
        <f t="shared" si="8"/>
        <v>1.7988146551724138</v>
      </c>
      <c r="P117" s="2" t="str">
        <f t="shared" si="9"/>
        <v>SALUDABLE</v>
      </c>
    </row>
    <row r="118" spans="1:16" ht="19.95" customHeight="1" x14ac:dyDescent="0.3">
      <c r="A118" s="4">
        <v>30</v>
      </c>
      <c r="B118" s="4" t="s">
        <v>95</v>
      </c>
      <c r="C118" s="2" t="s">
        <v>14</v>
      </c>
      <c r="D118" s="3" t="s">
        <v>71</v>
      </c>
      <c r="E118" s="6">
        <f>SUM('01_PRESUPUESTO_CRONOGRAMA_BASE'!G2:G3)</f>
        <v>16336.4</v>
      </c>
      <c r="F118" s="6">
        <f>SUMIFS('02_CRONOGRAMA_PV_DIARIO'!E:E, '02_CRONOGRAMA_PV_DIARIO'!A:A, A118, '02_CRONOGRAMA_PV_DIARIO'!C:C, C118)</f>
        <v>0</v>
      </c>
      <c r="G118" s="6">
        <f>SUMIFS(F$2:F118, C$2:C118, C118)</f>
        <v>16336.459999999994</v>
      </c>
      <c r="H118" s="6">
        <f>SUMIFS('04_LOG_FIELD_ENTRIES'!J:J, '04_LOG_FIELD_ENTRIES'!B:B, B118, '04_LOG_FIELD_ENTRIES'!D:D, C118, '04_LOG_FIELD_ENTRIES'!K:K, "EV_PRODUCCION")</f>
        <v>0</v>
      </c>
      <c r="I118" s="6">
        <f>SUMIFS(H$2:H118, C$2:C118, C118)</f>
        <v>5823.2</v>
      </c>
      <c r="J118" s="6">
        <f>SUMIFS('04_LOG_FIELD_ENTRIES'!J:J, '04_LOG_FIELD_ENTRIES'!B:B, B118, '04_LOG_FIELD_ENTRIES'!D:D, C118, '04_LOG_FIELD_ENTRIES'!K:K, "AC_*")</f>
        <v>0</v>
      </c>
      <c r="K118" s="6">
        <f>SUMIFS(J$2:J118, C$2:C118, C118)</f>
        <v>6331</v>
      </c>
      <c r="L118" s="6">
        <f t="shared" si="5"/>
        <v>-507.80000000000018</v>
      </c>
      <c r="M118" s="6">
        <f t="shared" si="6"/>
        <v>-10513.259999999995</v>
      </c>
      <c r="N118" s="21">
        <f t="shared" si="7"/>
        <v>0.35645421345872985</v>
      </c>
      <c r="O118" s="21">
        <f t="shared" si="8"/>
        <v>0.91979150213236449</v>
      </c>
      <c r="P118" s="2" t="str">
        <f t="shared" si="9"/>
        <v>ALERTA RETRASO</v>
      </c>
    </row>
    <row r="119" spans="1:16" ht="19.95" customHeight="1" x14ac:dyDescent="0.3">
      <c r="A119" s="4">
        <v>30</v>
      </c>
      <c r="B119" s="4" t="s">
        <v>95</v>
      </c>
      <c r="C119" s="2" t="s">
        <v>23</v>
      </c>
      <c r="D119" s="3" t="s">
        <v>72</v>
      </c>
      <c r="E119" s="6">
        <f>SUM('01_PRESUPUESTO_CRONOGRAMA_BASE'!G4:G9)</f>
        <v>372046.56</v>
      </c>
      <c r="F119" s="6">
        <f>SUMIFS('02_CRONOGRAMA_PV_DIARIO'!E:E, '02_CRONOGRAMA_PV_DIARIO'!A:A, A119, '02_CRONOGRAMA_PV_DIARIO'!C:C, C119)</f>
        <v>16571.080000000002</v>
      </c>
      <c r="G119" s="6">
        <f>SUMIFS(F$2:F119, C$2:C119, C119)</f>
        <v>254180.45</v>
      </c>
      <c r="H119" s="6">
        <f>SUMIFS('04_LOG_FIELD_ENTRIES'!J:J, '04_LOG_FIELD_ENTRIES'!B:B, B119, '04_LOG_FIELD_ENTRIES'!D:D, C119, '04_LOG_FIELD_ENTRIES'!K:K, "EV_PRODUCCION")</f>
        <v>0</v>
      </c>
      <c r="I119" s="6">
        <f>SUMIFS(H$2:H119, C$2:C119, C119)</f>
        <v>44254.52</v>
      </c>
      <c r="J119" s="6">
        <f>SUMIFS('04_LOG_FIELD_ENTRIES'!J:J, '04_LOG_FIELD_ENTRIES'!B:B, B119, '04_LOG_FIELD_ENTRIES'!D:D, C119, '04_LOG_FIELD_ENTRIES'!K:K, "AC_*")</f>
        <v>0</v>
      </c>
      <c r="K119" s="6">
        <f>SUMIFS(J$2:J119, C$2:C119, C119)</f>
        <v>34269.199999999997</v>
      </c>
      <c r="L119" s="6">
        <f t="shared" si="5"/>
        <v>9985.32</v>
      </c>
      <c r="M119" s="6">
        <f t="shared" si="6"/>
        <v>-209925.93000000002</v>
      </c>
      <c r="N119" s="21">
        <f t="shared" si="7"/>
        <v>0.17410670254144248</v>
      </c>
      <c r="O119" s="21">
        <f t="shared" si="8"/>
        <v>1.291378847478202</v>
      </c>
      <c r="P119" s="2" t="str">
        <f t="shared" si="9"/>
        <v>ALERTA RETRASO</v>
      </c>
    </row>
    <row r="120" spans="1:16" ht="19.95" customHeight="1" x14ac:dyDescent="0.3">
      <c r="A120" s="4">
        <v>30</v>
      </c>
      <c r="B120" s="4" t="s">
        <v>95</v>
      </c>
      <c r="C120" s="2" t="s">
        <v>49</v>
      </c>
      <c r="D120" s="3" t="s">
        <v>73</v>
      </c>
      <c r="E120" s="6">
        <f>SUM('01_PRESUPUESTO_CRONOGRAMA_BASE'!G10:G11)</f>
        <v>57565.2</v>
      </c>
      <c r="F120" s="6">
        <f>SUMIFS('02_CRONOGRAMA_PV_DIARIO'!E:E, '02_CRONOGRAMA_PV_DIARIO'!A:A, A120, '02_CRONOGRAMA_PV_DIARIO'!C:C, C120)</f>
        <v>1761.82</v>
      </c>
      <c r="G120" s="6">
        <f>SUMIFS(F$2:F120, C$2:C120, C120)</f>
        <v>15856.38</v>
      </c>
      <c r="H120" s="6">
        <f>SUMIFS('04_LOG_FIELD_ENTRIES'!J:J, '04_LOG_FIELD_ENTRIES'!B:B, B120, '04_LOG_FIELD_ENTRIES'!D:D, C120, '04_LOG_FIELD_ENTRIES'!K:K, "EV_PRODUCCION")</f>
        <v>0</v>
      </c>
      <c r="I120" s="6">
        <f>SUMIFS(H$2:H120, C$2:C120, C120)</f>
        <v>9327.4500000000007</v>
      </c>
      <c r="J120" s="6">
        <f>SUMIFS('04_LOG_FIELD_ENTRIES'!J:J, '04_LOG_FIELD_ENTRIES'!B:B, B120, '04_LOG_FIELD_ENTRIES'!D:D, C120, '04_LOG_FIELD_ENTRIES'!K:K, "AC_*")</f>
        <v>0</v>
      </c>
      <c r="K120" s="6">
        <f>SUMIFS(J$2:J120, C$2:C120, C120)</f>
        <v>7730.8</v>
      </c>
      <c r="L120" s="6">
        <f t="shared" si="5"/>
        <v>1596.6500000000005</v>
      </c>
      <c r="M120" s="6">
        <f t="shared" si="6"/>
        <v>-6528.9299999999985</v>
      </c>
      <c r="N120" s="21">
        <f t="shared" si="7"/>
        <v>0.5882458669633297</v>
      </c>
      <c r="O120" s="21">
        <f t="shared" si="8"/>
        <v>1.2065310187820149</v>
      </c>
      <c r="P120" s="2" t="str">
        <f t="shared" si="9"/>
        <v>ALERTA RETRASO</v>
      </c>
    </row>
    <row r="121" spans="1:16" ht="19.95" customHeight="1" x14ac:dyDescent="0.3">
      <c r="A121" s="4">
        <v>30</v>
      </c>
      <c r="B121" s="4" t="s">
        <v>95</v>
      </c>
      <c r="C121" s="2" t="s">
        <v>56</v>
      </c>
      <c r="D121" s="3" t="s">
        <v>74</v>
      </c>
      <c r="E121" s="6">
        <f>SUM('01_PRESUPUESTO_CRONOGRAMA_BASE'!G12:G12)</f>
        <v>9348.06</v>
      </c>
      <c r="F121" s="6">
        <f>SUMIFS('02_CRONOGRAMA_PV_DIARIO'!E:E, '02_CRONOGRAMA_PV_DIARIO'!A:A, A121, '02_CRONOGRAMA_PV_DIARIO'!C:C, C121)</f>
        <v>0</v>
      </c>
      <c r="G121" s="6">
        <f>SUMIFS(F$2:F121, C$2:C121, C121)</f>
        <v>0</v>
      </c>
      <c r="H121" s="6">
        <f>SUMIFS('04_LOG_FIELD_ENTRIES'!J:J, '04_LOG_FIELD_ENTRIES'!B:B, B121, '04_LOG_FIELD_ENTRIES'!D:D, C121, '04_LOG_FIELD_ENTRIES'!K:K, "EV_PRODUCCION")</f>
        <v>0</v>
      </c>
      <c r="I121" s="6">
        <f>SUMIFS(H$2:H121, C$2:C121, C121)</f>
        <v>2337.02</v>
      </c>
      <c r="J121" s="6">
        <f>SUMIFS('04_LOG_FIELD_ENTRIES'!J:J, '04_LOG_FIELD_ENTRIES'!B:B, B121, '04_LOG_FIELD_ENTRIES'!D:D, C121, '04_LOG_FIELD_ENTRIES'!K:K, "AC_*")</f>
        <v>0</v>
      </c>
      <c r="K121" s="6">
        <f>SUMIFS(J$2:J121, C$2:C121, C121)</f>
        <v>1299.2</v>
      </c>
      <c r="L121" s="6">
        <f t="shared" si="5"/>
        <v>1037.82</v>
      </c>
      <c r="M121" s="6">
        <f t="shared" si="6"/>
        <v>2337.02</v>
      </c>
      <c r="N121" s="21">
        <f t="shared" si="7"/>
        <v>1</v>
      </c>
      <c r="O121" s="21">
        <f t="shared" si="8"/>
        <v>1.7988146551724138</v>
      </c>
      <c r="P121" s="2" t="str">
        <f t="shared" si="9"/>
        <v>SALUDABLE</v>
      </c>
    </row>
    <row r="122" spans="1:16" ht="19.95" customHeight="1" x14ac:dyDescent="0.3">
      <c r="A122" s="4">
        <v>31</v>
      </c>
      <c r="B122" s="4" t="s">
        <v>35</v>
      </c>
      <c r="C122" s="2" t="s">
        <v>14</v>
      </c>
      <c r="D122" s="3" t="s">
        <v>71</v>
      </c>
      <c r="E122" s="6">
        <f>SUM('01_PRESUPUESTO_CRONOGRAMA_BASE'!G2:G3)</f>
        <v>16336.4</v>
      </c>
      <c r="F122" s="6">
        <f>SUMIFS('02_CRONOGRAMA_PV_DIARIO'!E:E, '02_CRONOGRAMA_PV_DIARIO'!A:A, A122, '02_CRONOGRAMA_PV_DIARIO'!C:C, C122)</f>
        <v>0</v>
      </c>
      <c r="G122" s="6">
        <f>SUMIFS(F$2:F122, C$2:C122, C122)</f>
        <v>16336.459999999994</v>
      </c>
      <c r="H122" s="6">
        <f>SUMIFS('04_LOG_FIELD_ENTRIES'!J:J, '04_LOG_FIELD_ENTRIES'!B:B, B122, '04_LOG_FIELD_ENTRIES'!D:D, C122, '04_LOG_FIELD_ENTRIES'!K:K, "EV_PRODUCCION")</f>
        <v>0</v>
      </c>
      <c r="I122" s="6">
        <f>SUMIFS(H$2:H122, C$2:C122, C122)</f>
        <v>5823.2</v>
      </c>
      <c r="J122" s="6">
        <f>SUMIFS('04_LOG_FIELD_ENTRIES'!J:J, '04_LOG_FIELD_ENTRIES'!B:B, B122, '04_LOG_FIELD_ENTRIES'!D:D, C122, '04_LOG_FIELD_ENTRIES'!K:K, "AC_*")</f>
        <v>0</v>
      </c>
      <c r="K122" s="6">
        <f>SUMIFS(J$2:J122, C$2:C122, C122)</f>
        <v>6331</v>
      </c>
      <c r="L122" s="6">
        <f t="shared" si="5"/>
        <v>-507.80000000000018</v>
      </c>
      <c r="M122" s="6">
        <f t="shared" si="6"/>
        <v>-10513.259999999995</v>
      </c>
      <c r="N122" s="21">
        <f t="shared" si="7"/>
        <v>0.35645421345872985</v>
      </c>
      <c r="O122" s="21">
        <f t="shared" si="8"/>
        <v>0.91979150213236449</v>
      </c>
      <c r="P122" s="2" t="str">
        <f t="shared" si="9"/>
        <v>ALERTA RETRASO</v>
      </c>
    </row>
    <row r="123" spans="1:16" ht="19.95" customHeight="1" x14ac:dyDescent="0.3">
      <c r="A123" s="4">
        <v>31</v>
      </c>
      <c r="B123" s="4" t="s">
        <v>35</v>
      </c>
      <c r="C123" s="2" t="s">
        <v>23</v>
      </c>
      <c r="D123" s="3" t="s">
        <v>72</v>
      </c>
      <c r="E123" s="6">
        <f>SUM('01_PRESUPUESTO_CRONOGRAMA_BASE'!G4:G9)</f>
        <v>372046.56</v>
      </c>
      <c r="F123" s="6">
        <f>SUMIFS('02_CRONOGRAMA_PV_DIARIO'!E:E, '02_CRONOGRAMA_PV_DIARIO'!A:A, A123, '02_CRONOGRAMA_PV_DIARIO'!C:C, C123)</f>
        <v>16571.080000000002</v>
      </c>
      <c r="G123" s="6">
        <f>SUMIFS(F$2:F123, C$2:C123, C123)</f>
        <v>270751.53000000003</v>
      </c>
      <c r="H123" s="6">
        <f>SUMIFS('04_LOG_FIELD_ENTRIES'!J:J, '04_LOG_FIELD_ENTRIES'!B:B, B123, '04_LOG_FIELD_ENTRIES'!D:D, C123, '04_LOG_FIELD_ENTRIES'!K:K, "EV_PRODUCCION")</f>
        <v>0</v>
      </c>
      <c r="I123" s="6">
        <f>SUMIFS(H$2:H123, C$2:C123, C123)</f>
        <v>44254.52</v>
      </c>
      <c r="J123" s="6">
        <f>SUMIFS('04_LOG_FIELD_ENTRIES'!J:J, '04_LOG_FIELD_ENTRIES'!B:B, B123, '04_LOG_FIELD_ENTRIES'!D:D, C123, '04_LOG_FIELD_ENTRIES'!K:K, "AC_*")</f>
        <v>0</v>
      </c>
      <c r="K123" s="6">
        <f>SUMIFS(J$2:J123, C$2:C123, C123)</f>
        <v>34269.199999999997</v>
      </c>
      <c r="L123" s="6">
        <f t="shared" si="5"/>
        <v>9985.32</v>
      </c>
      <c r="M123" s="6">
        <f t="shared" si="6"/>
        <v>-226497.01000000004</v>
      </c>
      <c r="N123" s="21">
        <f t="shared" si="7"/>
        <v>0.16345067375981215</v>
      </c>
      <c r="O123" s="21">
        <f t="shared" si="8"/>
        <v>1.291378847478202</v>
      </c>
      <c r="P123" s="2" t="str">
        <f t="shared" si="9"/>
        <v>ALERTA RETRASO</v>
      </c>
    </row>
    <row r="124" spans="1:16" ht="19.95" customHeight="1" x14ac:dyDescent="0.3">
      <c r="A124" s="4">
        <v>31</v>
      </c>
      <c r="B124" s="4" t="s">
        <v>35</v>
      </c>
      <c r="C124" s="2" t="s">
        <v>49</v>
      </c>
      <c r="D124" s="3" t="s">
        <v>73</v>
      </c>
      <c r="E124" s="6">
        <f>SUM('01_PRESUPUESTO_CRONOGRAMA_BASE'!G10:G11)</f>
        <v>57565.2</v>
      </c>
      <c r="F124" s="6">
        <f>SUMIFS('02_CRONOGRAMA_PV_DIARIO'!E:E, '02_CRONOGRAMA_PV_DIARIO'!A:A, A124, '02_CRONOGRAMA_PV_DIARIO'!C:C, C124)</f>
        <v>1761.82</v>
      </c>
      <c r="G124" s="6">
        <f>SUMIFS(F$2:F124, C$2:C124, C124)</f>
        <v>17618.2</v>
      </c>
      <c r="H124" s="6">
        <f>SUMIFS('04_LOG_FIELD_ENTRIES'!J:J, '04_LOG_FIELD_ENTRIES'!B:B, B124, '04_LOG_FIELD_ENTRIES'!D:D, C124, '04_LOG_FIELD_ENTRIES'!K:K, "EV_PRODUCCION")</f>
        <v>0</v>
      </c>
      <c r="I124" s="6">
        <f>SUMIFS(H$2:H124, C$2:C124, C124)</f>
        <v>9327.4500000000007</v>
      </c>
      <c r="J124" s="6">
        <f>SUMIFS('04_LOG_FIELD_ENTRIES'!J:J, '04_LOG_FIELD_ENTRIES'!B:B, B124, '04_LOG_FIELD_ENTRIES'!D:D, C124, '04_LOG_FIELD_ENTRIES'!K:K, "AC_*")</f>
        <v>0</v>
      </c>
      <c r="K124" s="6">
        <f>SUMIFS(J$2:J124, C$2:C124, C124)</f>
        <v>7730.8</v>
      </c>
      <c r="L124" s="6">
        <f t="shared" si="5"/>
        <v>1596.6500000000005</v>
      </c>
      <c r="M124" s="6">
        <f t="shared" si="6"/>
        <v>-8290.75</v>
      </c>
      <c r="N124" s="21">
        <f t="shared" si="7"/>
        <v>0.52942128026699664</v>
      </c>
      <c r="O124" s="21">
        <f t="shared" si="8"/>
        <v>1.2065310187820149</v>
      </c>
      <c r="P124" s="2" t="str">
        <f t="shared" si="9"/>
        <v>ALERTA RETRASO</v>
      </c>
    </row>
    <row r="125" spans="1:16" ht="19.95" customHeight="1" x14ac:dyDescent="0.3">
      <c r="A125" s="4">
        <v>31</v>
      </c>
      <c r="B125" s="4" t="s">
        <v>35</v>
      </c>
      <c r="C125" s="2" t="s">
        <v>56</v>
      </c>
      <c r="D125" s="3" t="s">
        <v>74</v>
      </c>
      <c r="E125" s="6">
        <f>SUM('01_PRESUPUESTO_CRONOGRAMA_BASE'!G12:G12)</f>
        <v>9348.06</v>
      </c>
      <c r="F125" s="6">
        <f>SUMIFS('02_CRONOGRAMA_PV_DIARIO'!E:E, '02_CRONOGRAMA_PV_DIARIO'!A:A, A125, '02_CRONOGRAMA_PV_DIARIO'!C:C, C125)</f>
        <v>0</v>
      </c>
      <c r="G125" s="6">
        <f>SUMIFS(F$2:F125, C$2:C125, C125)</f>
        <v>0</v>
      </c>
      <c r="H125" s="6">
        <f>SUMIFS('04_LOG_FIELD_ENTRIES'!J:J, '04_LOG_FIELD_ENTRIES'!B:B, B125, '04_LOG_FIELD_ENTRIES'!D:D, C125, '04_LOG_FIELD_ENTRIES'!K:K, "EV_PRODUCCION")</f>
        <v>0</v>
      </c>
      <c r="I125" s="6">
        <f>SUMIFS(H$2:H125, C$2:C125, C125)</f>
        <v>2337.02</v>
      </c>
      <c r="J125" s="6">
        <f>SUMIFS('04_LOG_FIELD_ENTRIES'!J:J, '04_LOG_FIELD_ENTRIES'!B:B, B125, '04_LOG_FIELD_ENTRIES'!D:D, C125, '04_LOG_FIELD_ENTRIES'!K:K, "AC_*")</f>
        <v>0</v>
      </c>
      <c r="K125" s="6">
        <f>SUMIFS(J$2:J125, C$2:C125, C125)</f>
        <v>1299.2</v>
      </c>
      <c r="L125" s="6">
        <f t="shared" si="5"/>
        <v>1037.82</v>
      </c>
      <c r="M125" s="6">
        <f t="shared" si="6"/>
        <v>2337.02</v>
      </c>
      <c r="N125" s="21">
        <f t="shared" si="7"/>
        <v>1</v>
      </c>
      <c r="O125" s="21">
        <f t="shared" si="8"/>
        <v>1.7988146551724138</v>
      </c>
      <c r="P125" s="2" t="str">
        <f t="shared" si="9"/>
        <v>SALUDABLE</v>
      </c>
    </row>
    <row r="126" spans="1:16" ht="19.95" customHeight="1" x14ac:dyDescent="0.3">
      <c r="A126" s="4">
        <v>32</v>
      </c>
      <c r="B126" s="4" t="s">
        <v>53</v>
      </c>
      <c r="C126" s="2" t="s">
        <v>14</v>
      </c>
      <c r="D126" s="3" t="s">
        <v>71</v>
      </c>
      <c r="E126" s="6">
        <f>SUM('01_PRESUPUESTO_CRONOGRAMA_BASE'!G2:G3)</f>
        <v>16336.4</v>
      </c>
      <c r="F126" s="6">
        <f>SUMIFS('02_CRONOGRAMA_PV_DIARIO'!E:E, '02_CRONOGRAMA_PV_DIARIO'!A:A, A126, '02_CRONOGRAMA_PV_DIARIO'!C:C, C126)</f>
        <v>0</v>
      </c>
      <c r="G126" s="6">
        <f>SUMIFS(F$2:F126, C$2:C126, C126)</f>
        <v>16336.459999999994</v>
      </c>
      <c r="H126" s="6">
        <f>SUMIFS('04_LOG_FIELD_ENTRIES'!J:J, '04_LOG_FIELD_ENTRIES'!B:B, B126, '04_LOG_FIELD_ENTRIES'!D:D, C126, '04_LOG_FIELD_ENTRIES'!K:K, "EV_PRODUCCION")</f>
        <v>0</v>
      </c>
      <c r="I126" s="6">
        <f>SUMIFS(H$2:H126, C$2:C126, C126)</f>
        <v>5823.2</v>
      </c>
      <c r="J126" s="6">
        <f>SUMIFS('04_LOG_FIELD_ENTRIES'!J:J, '04_LOG_FIELD_ENTRIES'!B:B, B126, '04_LOG_FIELD_ENTRIES'!D:D, C126, '04_LOG_FIELD_ENTRIES'!K:K, "AC_*")</f>
        <v>0</v>
      </c>
      <c r="K126" s="6">
        <f>SUMIFS(J$2:J126, C$2:C126, C126)</f>
        <v>6331</v>
      </c>
      <c r="L126" s="6">
        <f t="shared" si="5"/>
        <v>-507.80000000000018</v>
      </c>
      <c r="M126" s="6">
        <f t="shared" si="6"/>
        <v>-10513.259999999995</v>
      </c>
      <c r="N126" s="21">
        <f t="shared" si="7"/>
        <v>0.35645421345872985</v>
      </c>
      <c r="O126" s="21">
        <f t="shared" si="8"/>
        <v>0.91979150213236449</v>
      </c>
      <c r="P126" s="2" t="str">
        <f t="shared" si="9"/>
        <v>ALERTA RETRASO</v>
      </c>
    </row>
    <row r="127" spans="1:16" ht="19.95" customHeight="1" x14ac:dyDescent="0.3">
      <c r="A127" s="4">
        <v>32</v>
      </c>
      <c r="B127" s="4" t="s">
        <v>53</v>
      </c>
      <c r="C127" s="2" t="s">
        <v>23</v>
      </c>
      <c r="D127" s="3" t="s">
        <v>72</v>
      </c>
      <c r="E127" s="6">
        <f>SUM('01_PRESUPUESTO_CRONOGRAMA_BASE'!G4:G9)</f>
        <v>372046.56</v>
      </c>
      <c r="F127" s="6">
        <f>SUMIFS('02_CRONOGRAMA_PV_DIARIO'!E:E, '02_CRONOGRAMA_PV_DIARIO'!A:A, A127, '02_CRONOGRAMA_PV_DIARIO'!C:C, C127)</f>
        <v>11999.669999999998</v>
      </c>
      <c r="G127" s="6">
        <f>SUMIFS(F$2:F127, C$2:C127, C127)</f>
        <v>282751.2</v>
      </c>
      <c r="H127" s="6">
        <f>SUMIFS('04_LOG_FIELD_ENTRIES'!J:J, '04_LOG_FIELD_ENTRIES'!B:B, B127, '04_LOG_FIELD_ENTRIES'!D:D, C127, '04_LOG_FIELD_ENTRIES'!K:K, "EV_PRODUCCION")</f>
        <v>0</v>
      </c>
      <c r="I127" s="6">
        <f>SUMIFS(H$2:H127, C$2:C127, C127)</f>
        <v>44254.52</v>
      </c>
      <c r="J127" s="6">
        <f>SUMIFS('04_LOG_FIELD_ENTRIES'!J:J, '04_LOG_FIELD_ENTRIES'!B:B, B127, '04_LOG_FIELD_ENTRIES'!D:D, C127, '04_LOG_FIELD_ENTRIES'!K:K, "AC_*")</f>
        <v>0</v>
      </c>
      <c r="K127" s="6">
        <f>SUMIFS(J$2:J127, C$2:C127, C127)</f>
        <v>34269.199999999997</v>
      </c>
      <c r="L127" s="6">
        <f t="shared" si="5"/>
        <v>9985.32</v>
      </c>
      <c r="M127" s="6">
        <f t="shared" si="6"/>
        <v>-238496.68000000002</v>
      </c>
      <c r="N127" s="21">
        <f t="shared" si="7"/>
        <v>0.15651399534290214</v>
      </c>
      <c r="O127" s="21">
        <f t="shared" si="8"/>
        <v>1.291378847478202</v>
      </c>
      <c r="P127" s="2" t="str">
        <f t="shared" si="9"/>
        <v>ALERTA RETRASO</v>
      </c>
    </row>
    <row r="128" spans="1:16" ht="19.95" customHeight="1" x14ac:dyDescent="0.3">
      <c r="A128" s="4">
        <v>32</v>
      </c>
      <c r="B128" s="4" t="s">
        <v>53</v>
      </c>
      <c r="C128" s="2" t="s">
        <v>49</v>
      </c>
      <c r="D128" s="3" t="s">
        <v>73</v>
      </c>
      <c r="E128" s="6">
        <f>SUM('01_PRESUPUESTO_CRONOGRAMA_BASE'!G10:G11)</f>
        <v>57565.2</v>
      </c>
      <c r="F128" s="6">
        <f>SUMIFS('02_CRONOGRAMA_PV_DIARIO'!E:E, '02_CRONOGRAMA_PV_DIARIO'!A:A, A128, '02_CRONOGRAMA_PV_DIARIO'!C:C, C128)</f>
        <v>2702.08</v>
      </c>
      <c r="G128" s="6">
        <f>SUMIFS(F$2:F128, C$2:C128, C128)</f>
        <v>20320.28</v>
      </c>
      <c r="H128" s="6">
        <f>SUMIFS('04_LOG_FIELD_ENTRIES'!J:J, '04_LOG_FIELD_ENTRIES'!B:B, B128, '04_LOG_FIELD_ENTRIES'!D:D, C128, '04_LOG_FIELD_ENTRIES'!K:K, "EV_PRODUCCION")</f>
        <v>0</v>
      </c>
      <c r="I128" s="6">
        <f>SUMIFS(H$2:H128, C$2:C128, C128)</f>
        <v>9327.4500000000007</v>
      </c>
      <c r="J128" s="6">
        <f>SUMIFS('04_LOG_FIELD_ENTRIES'!J:J, '04_LOG_FIELD_ENTRIES'!B:B, B128, '04_LOG_FIELD_ENTRIES'!D:D, C128, '04_LOG_FIELD_ENTRIES'!K:K, "AC_*")</f>
        <v>0</v>
      </c>
      <c r="K128" s="6">
        <f>SUMIFS(J$2:J128, C$2:C128, C128)</f>
        <v>7730.8</v>
      </c>
      <c r="L128" s="6">
        <f t="shared" si="5"/>
        <v>1596.6500000000005</v>
      </c>
      <c r="M128" s="6">
        <f t="shared" si="6"/>
        <v>-10992.829999999998</v>
      </c>
      <c r="N128" s="21">
        <f t="shared" si="7"/>
        <v>0.45902172607857772</v>
      </c>
      <c r="O128" s="21">
        <f t="shared" si="8"/>
        <v>1.2065310187820149</v>
      </c>
      <c r="P128" s="2" t="str">
        <f t="shared" si="9"/>
        <v>ALERTA RETRASO</v>
      </c>
    </row>
    <row r="129" spans="1:16" ht="19.95" customHeight="1" x14ac:dyDescent="0.3">
      <c r="A129" s="4">
        <v>32</v>
      </c>
      <c r="B129" s="4" t="s">
        <v>53</v>
      </c>
      <c r="C129" s="2" t="s">
        <v>56</v>
      </c>
      <c r="D129" s="3" t="s">
        <v>74</v>
      </c>
      <c r="E129" s="6">
        <f>SUM('01_PRESUPUESTO_CRONOGRAMA_BASE'!G12:G12)</f>
        <v>9348.06</v>
      </c>
      <c r="F129" s="6">
        <f>SUMIFS('02_CRONOGRAMA_PV_DIARIO'!E:E, '02_CRONOGRAMA_PV_DIARIO'!A:A, A129, '02_CRONOGRAMA_PV_DIARIO'!C:C, C129)</f>
        <v>0</v>
      </c>
      <c r="G129" s="6">
        <f>SUMIFS(F$2:F129, C$2:C129, C129)</f>
        <v>0</v>
      </c>
      <c r="H129" s="6">
        <f>SUMIFS('04_LOG_FIELD_ENTRIES'!J:J, '04_LOG_FIELD_ENTRIES'!B:B, B129, '04_LOG_FIELD_ENTRIES'!D:D, C129, '04_LOG_FIELD_ENTRIES'!K:K, "EV_PRODUCCION")</f>
        <v>0</v>
      </c>
      <c r="I129" s="6">
        <f>SUMIFS(H$2:H129, C$2:C129, C129)</f>
        <v>2337.02</v>
      </c>
      <c r="J129" s="6">
        <f>SUMIFS('04_LOG_FIELD_ENTRIES'!J:J, '04_LOG_FIELD_ENTRIES'!B:B, B129, '04_LOG_FIELD_ENTRIES'!D:D, C129, '04_LOG_FIELD_ENTRIES'!K:K, "AC_*")</f>
        <v>0</v>
      </c>
      <c r="K129" s="6">
        <f>SUMIFS(J$2:J129, C$2:C129, C129)</f>
        <v>1299.2</v>
      </c>
      <c r="L129" s="6">
        <f t="shared" si="5"/>
        <v>1037.82</v>
      </c>
      <c r="M129" s="6">
        <f t="shared" si="6"/>
        <v>2337.02</v>
      </c>
      <c r="N129" s="21">
        <f t="shared" si="7"/>
        <v>1</v>
      </c>
      <c r="O129" s="21">
        <f t="shared" si="8"/>
        <v>1.7988146551724138</v>
      </c>
      <c r="P129" s="2" t="str">
        <f t="shared" si="9"/>
        <v>SALUDABLE</v>
      </c>
    </row>
    <row r="130" spans="1:16" ht="19.95" customHeight="1" x14ac:dyDescent="0.3">
      <c r="A130" s="4">
        <v>33</v>
      </c>
      <c r="B130" s="4" t="s">
        <v>96</v>
      </c>
      <c r="C130" s="2" t="s">
        <v>14</v>
      </c>
      <c r="D130" s="3" t="s">
        <v>71</v>
      </c>
      <c r="E130" s="6">
        <f>SUM('01_PRESUPUESTO_CRONOGRAMA_BASE'!G2:G3)</f>
        <v>16336.4</v>
      </c>
      <c r="F130" s="6">
        <f>SUMIFS('02_CRONOGRAMA_PV_DIARIO'!E:E, '02_CRONOGRAMA_PV_DIARIO'!A:A, A130, '02_CRONOGRAMA_PV_DIARIO'!C:C, C130)</f>
        <v>0</v>
      </c>
      <c r="G130" s="6">
        <f>SUMIFS(F$2:F130, C$2:C130, C130)</f>
        <v>16336.459999999994</v>
      </c>
      <c r="H130" s="6">
        <f>SUMIFS('04_LOG_FIELD_ENTRIES'!J:J, '04_LOG_FIELD_ENTRIES'!B:B, B130, '04_LOG_FIELD_ENTRIES'!D:D, C130, '04_LOG_FIELD_ENTRIES'!K:K, "EV_PRODUCCION")</f>
        <v>0</v>
      </c>
      <c r="I130" s="6">
        <f>SUMIFS(H$2:H130, C$2:C130, C130)</f>
        <v>5823.2</v>
      </c>
      <c r="J130" s="6">
        <f>SUMIFS('04_LOG_FIELD_ENTRIES'!J:J, '04_LOG_FIELD_ENTRIES'!B:B, B130, '04_LOG_FIELD_ENTRIES'!D:D, C130, '04_LOG_FIELD_ENTRIES'!K:K, "AC_*")</f>
        <v>0</v>
      </c>
      <c r="K130" s="6">
        <f>SUMIFS(J$2:J130, C$2:C130, C130)</f>
        <v>6331</v>
      </c>
      <c r="L130" s="6">
        <f t="shared" ref="L130:L193" si="10">I130-K130</f>
        <v>-507.80000000000018</v>
      </c>
      <c r="M130" s="6">
        <f t="shared" ref="M130:M193" si="11">I130-G130</f>
        <v>-10513.259999999995</v>
      </c>
      <c r="N130" s="21">
        <f t="shared" ref="N130:N193" si="12">IF(G130&gt;0, I130/G130, 1)</f>
        <v>0.35645421345872985</v>
      </c>
      <c r="O130" s="21">
        <f t="shared" ref="O130:O193" si="13">IF(K130&gt;0, I130/K130, 1)</f>
        <v>0.91979150213236449</v>
      </c>
      <c r="P130" s="2" t="str">
        <f t="shared" ref="P130:P193" si="14">IF(AND(N130&gt;=0.95, O130&gt;=0.95), "SALUDABLE", IF(N130&lt;0.9, "ALERTA RETRASO", "ALERTA SOBRECOSTO"))</f>
        <v>ALERTA RETRASO</v>
      </c>
    </row>
    <row r="131" spans="1:16" ht="19.95" customHeight="1" x14ac:dyDescent="0.3">
      <c r="A131" s="4">
        <v>33</v>
      </c>
      <c r="B131" s="4" t="s">
        <v>96</v>
      </c>
      <c r="C131" s="2" t="s">
        <v>23</v>
      </c>
      <c r="D131" s="3" t="s">
        <v>72</v>
      </c>
      <c r="E131" s="6">
        <f>SUM('01_PRESUPUESTO_CRONOGRAMA_BASE'!G4:G9)</f>
        <v>372046.56</v>
      </c>
      <c r="F131" s="6">
        <f>SUMIFS('02_CRONOGRAMA_PV_DIARIO'!E:E, '02_CRONOGRAMA_PV_DIARIO'!A:A, A131, '02_CRONOGRAMA_PV_DIARIO'!C:C, C131)</f>
        <v>11999.669999999998</v>
      </c>
      <c r="G131" s="6">
        <f>SUMIFS(F$2:F131, C$2:C131, C131)</f>
        <v>294750.87</v>
      </c>
      <c r="H131" s="6">
        <f>SUMIFS('04_LOG_FIELD_ENTRIES'!J:J, '04_LOG_FIELD_ENTRIES'!B:B, B131, '04_LOG_FIELD_ENTRIES'!D:D, C131, '04_LOG_FIELD_ENTRIES'!K:K, "EV_PRODUCCION")</f>
        <v>0</v>
      </c>
      <c r="I131" s="6">
        <f>SUMIFS(H$2:H131, C$2:C131, C131)</f>
        <v>44254.52</v>
      </c>
      <c r="J131" s="6">
        <f>SUMIFS('04_LOG_FIELD_ENTRIES'!J:J, '04_LOG_FIELD_ENTRIES'!B:B, B131, '04_LOG_FIELD_ENTRIES'!D:D, C131, '04_LOG_FIELD_ENTRIES'!K:K, "AC_*")</f>
        <v>0</v>
      </c>
      <c r="K131" s="6">
        <f>SUMIFS(J$2:J131, C$2:C131, C131)</f>
        <v>34269.199999999997</v>
      </c>
      <c r="L131" s="6">
        <f t="shared" si="10"/>
        <v>9985.32</v>
      </c>
      <c r="M131" s="6">
        <f t="shared" si="11"/>
        <v>-250496.35</v>
      </c>
      <c r="N131" s="21">
        <f t="shared" si="12"/>
        <v>0.15014211832521476</v>
      </c>
      <c r="O131" s="21">
        <f t="shared" si="13"/>
        <v>1.291378847478202</v>
      </c>
      <c r="P131" s="2" t="str">
        <f t="shared" si="14"/>
        <v>ALERTA RETRASO</v>
      </c>
    </row>
    <row r="132" spans="1:16" ht="19.95" customHeight="1" x14ac:dyDescent="0.3">
      <c r="A132" s="4">
        <v>33</v>
      </c>
      <c r="B132" s="4" t="s">
        <v>96</v>
      </c>
      <c r="C132" s="2" t="s">
        <v>49</v>
      </c>
      <c r="D132" s="3" t="s">
        <v>73</v>
      </c>
      <c r="E132" s="6">
        <f>SUM('01_PRESUPUESTO_CRONOGRAMA_BASE'!G10:G11)</f>
        <v>57565.2</v>
      </c>
      <c r="F132" s="6">
        <f>SUMIFS('02_CRONOGRAMA_PV_DIARIO'!E:E, '02_CRONOGRAMA_PV_DIARIO'!A:A, A132, '02_CRONOGRAMA_PV_DIARIO'!C:C, C132)</f>
        <v>2702.08</v>
      </c>
      <c r="G132" s="6">
        <f>SUMIFS(F$2:F132, C$2:C132, C132)</f>
        <v>23022.36</v>
      </c>
      <c r="H132" s="6">
        <f>SUMIFS('04_LOG_FIELD_ENTRIES'!J:J, '04_LOG_FIELD_ENTRIES'!B:B, B132, '04_LOG_FIELD_ENTRIES'!D:D, C132, '04_LOG_FIELD_ENTRIES'!K:K, "EV_PRODUCCION")</f>
        <v>0</v>
      </c>
      <c r="I132" s="6">
        <f>SUMIFS(H$2:H132, C$2:C132, C132)</f>
        <v>9327.4500000000007</v>
      </c>
      <c r="J132" s="6">
        <f>SUMIFS('04_LOG_FIELD_ENTRIES'!J:J, '04_LOG_FIELD_ENTRIES'!B:B, B132, '04_LOG_FIELD_ENTRIES'!D:D, C132, '04_LOG_FIELD_ENTRIES'!K:K, "AC_*")</f>
        <v>0</v>
      </c>
      <c r="K132" s="6">
        <f>SUMIFS(J$2:J132, C$2:C132, C132)</f>
        <v>7730.8</v>
      </c>
      <c r="L132" s="6">
        <f t="shared" si="10"/>
        <v>1596.6500000000005</v>
      </c>
      <c r="M132" s="6">
        <f t="shared" si="11"/>
        <v>-13694.91</v>
      </c>
      <c r="N132" s="21">
        <f t="shared" si="12"/>
        <v>0.4051474305848749</v>
      </c>
      <c r="O132" s="21">
        <f t="shared" si="13"/>
        <v>1.2065310187820149</v>
      </c>
      <c r="P132" s="2" t="str">
        <f t="shared" si="14"/>
        <v>ALERTA RETRASO</v>
      </c>
    </row>
    <row r="133" spans="1:16" ht="19.95" customHeight="1" x14ac:dyDescent="0.3">
      <c r="A133" s="4">
        <v>33</v>
      </c>
      <c r="B133" s="4" t="s">
        <v>96</v>
      </c>
      <c r="C133" s="2" t="s">
        <v>56</v>
      </c>
      <c r="D133" s="3" t="s">
        <v>74</v>
      </c>
      <c r="E133" s="6">
        <f>SUM('01_PRESUPUESTO_CRONOGRAMA_BASE'!G12:G12)</f>
        <v>9348.06</v>
      </c>
      <c r="F133" s="6">
        <f>SUMIFS('02_CRONOGRAMA_PV_DIARIO'!E:E, '02_CRONOGRAMA_PV_DIARIO'!A:A, A133, '02_CRONOGRAMA_PV_DIARIO'!C:C, C133)</f>
        <v>0</v>
      </c>
      <c r="G133" s="6">
        <f>SUMIFS(F$2:F133, C$2:C133, C133)</f>
        <v>0</v>
      </c>
      <c r="H133" s="6">
        <f>SUMIFS('04_LOG_FIELD_ENTRIES'!J:J, '04_LOG_FIELD_ENTRIES'!B:B, B133, '04_LOG_FIELD_ENTRIES'!D:D, C133, '04_LOG_FIELD_ENTRIES'!K:K, "EV_PRODUCCION")</f>
        <v>0</v>
      </c>
      <c r="I133" s="6">
        <f>SUMIFS(H$2:H133, C$2:C133, C133)</f>
        <v>2337.02</v>
      </c>
      <c r="J133" s="6">
        <f>SUMIFS('04_LOG_FIELD_ENTRIES'!J:J, '04_LOG_FIELD_ENTRIES'!B:B, B133, '04_LOG_FIELD_ENTRIES'!D:D, C133, '04_LOG_FIELD_ENTRIES'!K:K, "AC_*")</f>
        <v>0</v>
      </c>
      <c r="K133" s="6">
        <f>SUMIFS(J$2:J133, C$2:C133, C133)</f>
        <v>1299.2</v>
      </c>
      <c r="L133" s="6">
        <f t="shared" si="10"/>
        <v>1037.82</v>
      </c>
      <c r="M133" s="6">
        <f t="shared" si="11"/>
        <v>2337.02</v>
      </c>
      <c r="N133" s="21">
        <f t="shared" si="12"/>
        <v>1</v>
      </c>
      <c r="O133" s="21">
        <f t="shared" si="13"/>
        <v>1.7988146551724138</v>
      </c>
      <c r="P133" s="2" t="str">
        <f t="shared" si="14"/>
        <v>SALUDABLE</v>
      </c>
    </row>
    <row r="134" spans="1:16" ht="19.95" customHeight="1" x14ac:dyDescent="0.3">
      <c r="A134" s="4">
        <v>34</v>
      </c>
      <c r="B134" s="4" t="s">
        <v>97</v>
      </c>
      <c r="C134" s="2" t="s">
        <v>14</v>
      </c>
      <c r="D134" s="3" t="s">
        <v>71</v>
      </c>
      <c r="E134" s="6">
        <f>SUM('01_PRESUPUESTO_CRONOGRAMA_BASE'!G2:G3)</f>
        <v>16336.4</v>
      </c>
      <c r="F134" s="6">
        <f>SUMIFS('02_CRONOGRAMA_PV_DIARIO'!E:E, '02_CRONOGRAMA_PV_DIARIO'!A:A, A134, '02_CRONOGRAMA_PV_DIARIO'!C:C, C134)</f>
        <v>0</v>
      </c>
      <c r="G134" s="6">
        <f>SUMIFS(F$2:F134, C$2:C134, C134)</f>
        <v>16336.459999999994</v>
      </c>
      <c r="H134" s="6">
        <f>SUMIFS('04_LOG_FIELD_ENTRIES'!J:J, '04_LOG_FIELD_ENTRIES'!B:B, B134, '04_LOG_FIELD_ENTRIES'!D:D, C134, '04_LOG_FIELD_ENTRIES'!K:K, "EV_PRODUCCION")</f>
        <v>0</v>
      </c>
      <c r="I134" s="6">
        <f>SUMIFS(H$2:H134, C$2:C134, C134)</f>
        <v>5823.2</v>
      </c>
      <c r="J134" s="6">
        <f>SUMIFS('04_LOG_FIELD_ENTRIES'!J:J, '04_LOG_FIELD_ENTRIES'!B:B, B134, '04_LOG_FIELD_ENTRIES'!D:D, C134, '04_LOG_FIELD_ENTRIES'!K:K, "AC_*")</f>
        <v>0</v>
      </c>
      <c r="K134" s="6">
        <f>SUMIFS(J$2:J134, C$2:C134, C134)</f>
        <v>6331</v>
      </c>
      <c r="L134" s="6">
        <f t="shared" si="10"/>
        <v>-507.80000000000018</v>
      </c>
      <c r="M134" s="6">
        <f t="shared" si="11"/>
        <v>-10513.259999999995</v>
      </c>
      <c r="N134" s="21">
        <f t="shared" si="12"/>
        <v>0.35645421345872985</v>
      </c>
      <c r="O134" s="21">
        <f t="shared" si="13"/>
        <v>0.91979150213236449</v>
      </c>
      <c r="P134" s="2" t="str">
        <f t="shared" si="14"/>
        <v>ALERTA RETRASO</v>
      </c>
    </row>
    <row r="135" spans="1:16" ht="19.95" customHeight="1" x14ac:dyDescent="0.3">
      <c r="A135" s="4">
        <v>34</v>
      </c>
      <c r="B135" s="4" t="s">
        <v>97</v>
      </c>
      <c r="C135" s="2" t="s">
        <v>23</v>
      </c>
      <c r="D135" s="3" t="s">
        <v>72</v>
      </c>
      <c r="E135" s="6">
        <f>SUM('01_PRESUPUESTO_CRONOGRAMA_BASE'!G4:G9)</f>
        <v>372046.56</v>
      </c>
      <c r="F135" s="6">
        <f>SUMIFS('02_CRONOGRAMA_PV_DIARIO'!E:E, '02_CRONOGRAMA_PV_DIARIO'!A:A, A135, '02_CRONOGRAMA_PV_DIARIO'!C:C, C135)</f>
        <v>11999.669999999998</v>
      </c>
      <c r="G135" s="6">
        <f>SUMIFS(F$2:F135, C$2:C135, C135)</f>
        <v>306750.53999999998</v>
      </c>
      <c r="H135" s="6">
        <f>SUMIFS('04_LOG_FIELD_ENTRIES'!J:J, '04_LOG_FIELD_ENTRIES'!B:B, B135, '04_LOG_FIELD_ENTRIES'!D:D, C135, '04_LOG_FIELD_ENTRIES'!K:K, "EV_PRODUCCION")</f>
        <v>0</v>
      </c>
      <c r="I135" s="6">
        <f>SUMIFS(H$2:H135, C$2:C135, C135)</f>
        <v>44254.52</v>
      </c>
      <c r="J135" s="6">
        <f>SUMIFS('04_LOG_FIELD_ENTRIES'!J:J, '04_LOG_FIELD_ENTRIES'!B:B, B135, '04_LOG_FIELD_ENTRIES'!D:D, C135, '04_LOG_FIELD_ENTRIES'!K:K, "AC_*")</f>
        <v>0</v>
      </c>
      <c r="K135" s="6">
        <f>SUMIFS(J$2:J135, C$2:C135, C135)</f>
        <v>34269.199999999997</v>
      </c>
      <c r="L135" s="6">
        <f t="shared" si="10"/>
        <v>9985.32</v>
      </c>
      <c r="M135" s="6">
        <f t="shared" si="11"/>
        <v>-262496.01999999996</v>
      </c>
      <c r="N135" s="21">
        <f t="shared" si="12"/>
        <v>0.14426875988547566</v>
      </c>
      <c r="O135" s="21">
        <f t="shared" si="13"/>
        <v>1.291378847478202</v>
      </c>
      <c r="P135" s="2" t="str">
        <f t="shared" si="14"/>
        <v>ALERTA RETRASO</v>
      </c>
    </row>
    <row r="136" spans="1:16" ht="19.95" customHeight="1" x14ac:dyDescent="0.3">
      <c r="A136" s="4">
        <v>34</v>
      </c>
      <c r="B136" s="4" t="s">
        <v>97</v>
      </c>
      <c r="C136" s="2" t="s">
        <v>49</v>
      </c>
      <c r="D136" s="3" t="s">
        <v>73</v>
      </c>
      <c r="E136" s="6">
        <f>SUM('01_PRESUPUESTO_CRONOGRAMA_BASE'!G10:G11)</f>
        <v>57565.2</v>
      </c>
      <c r="F136" s="6">
        <f>SUMIFS('02_CRONOGRAMA_PV_DIARIO'!E:E, '02_CRONOGRAMA_PV_DIARIO'!A:A, A136, '02_CRONOGRAMA_PV_DIARIO'!C:C, C136)</f>
        <v>2702.08</v>
      </c>
      <c r="G136" s="6">
        <f>SUMIFS(F$2:F136, C$2:C136, C136)</f>
        <v>25724.440000000002</v>
      </c>
      <c r="H136" s="6">
        <f>SUMIFS('04_LOG_FIELD_ENTRIES'!J:J, '04_LOG_FIELD_ENTRIES'!B:B, B136, '04_LOG_FIELD_ENTRIES'!D:D, C136, '04_LOG_FIELD_ENTRIES'!K:K, "EV_PRODUCCION")</f>
        <v>0</v>
      </c>
      <c r="I136" s="6">
        <f>SUMIFS(H$2:H136, C$2:C136, C136)</f>
        <v>9327.4500000000007</v>
      </c>
      <c r="J136" s="6">
        <f>SUMIFS('04_LOG_FIELD_ENTRIES'!J:J, '04_LOG_FIELD_ENTRIES'!B:B, B136, '04_LOG_FIELD_ENTRIES'!D:D, C136, '04_LOG_FIELD_ENTRIES'!K:K, "AC_*")</f>
        <v>0</v>
      </c>
      <c r="K136" s="6">
        <f>SUMIFS(J$2:J136, C$2:C136, C136)</f>
        <v>7730.8</v>
      </c>
      <c r="L136" s="6">
        <f t="shared" si="10"/>
        <v>1596.6500000000005</v>
      </c>
      <c r="M136" s="6">
        <f t="shared" si="11"/>
        <v>-16396.990000000002</v>
      </c>
      <c r="N136" s="21">
        <f t="shared" si="12"/>
        <v>0.36259098351606489</v>
      </c>
      <c r="O136" s="21">
        <f t="shared" si="13"/>
        <v>1.2065310187820149</v>
      </c>
      <c r="P136" s="2" t="str">
        <f t="shared" si="14"/>
        <v>ALERTA RETRASO</v>
      </c>
    </row>
    <row r="137" spans="1:16" ht="19.95" customHeight="1" x14ac:dyDescent="0.3">
      <c r="A137" s="4">
        <v>34</v>
      </c>
      <c r="B137" s="4" t="s">
        <v>97</v>
      </c>
      <c r="C137" s="2" t="s">
        <v>56</v>
      </c>
      <c r="D137" s="3" t="s">
        <v>74</v>
      </c>
      <c r="E137" s="6">
        <f>SUM('01_PRESUPUESTO_CRONOGRAMA_BASE'!G12:G12)</f>
        <v>9348.06</v>
      </c>
      <c r="F137" s="6">
        <f>SUMIFS('02_CRONOGRAMA_PV_DIARIO'!E:E, '02_CRONOGRAMA_PV_DIARIO'!A:A, A137, '02_CRONOGRAMA_PV_DIARIO'!C:C, C137)</f>
        <v>0</v>
      </c>
      <c r="G137" s="6">
        <f>SUMIFS(F$2:F137, C$2:C137, C137)</f>
        <v>0</v>
      </c>
      <c r="H137" s="6">
        <f>SUMIFS('04_LOG_FIELD_ENTRIES'!J:J, '04_LOG_FIELD_ENTRIES'!B:B, B137, '04_LOG_FIELD_ENTRIES'!D:D, C137, '04_LOG_FIELD_ENTRIES'!K:K, "EV_PRODUCCION")</f>
        <v>0</v>
      </c>
      <c r="I137" s="6">
        <f>SUMIFS(H$2:H137, C$2:C137, C137)</f>
        <v>2337.02</v>
      </c>
      <c r="J137" s="6">
        <f>SUMIFS('04_LOG_FIELD_ENTRIES'!J:J, '04_LOG_FIELD_ENTRIES'!B:B, B137, '04_LOG_FIELD_ENTRIES'!D:D, C137, '04_LOG_FIELD_ENTRIES'!K:K, "AC_*")</f>
        <v>0</v>
      </c>
      <c r="K137" s="6">
        <f>SUMIFS(J$2:J137, C$2:C137, C137)</f>
        <v>1299.2</v>
      </c>
      <c r="L137" s="6">
        <f t="shared" si="10"/>
        <v>1037.82</v>
      </c>
      <c r="M137" s="6">
        <f t="shared" si="11"/>
        <v>2337.02</v>
      </c>
      <c r="N137" s="21">
        <f t="shared" si="12"/>
        <v>1</v>
      </c>
      <c r="O137" s="21">
        <f t="shared" si="13"/>
        <v>1.7988146551724138</v>
      </c>
      <c r="P137" s="2" t="str">
        <f t="shared" si="14"/>
        <v>SALUDABLE</v>
      </c>
    </row>
    <row r="138" spans="1:16" ht="19.95" customHeight="1" x14ac:dyDescent="0.3">
      <c r="A138" s="4">
        <v>35</v>
      </c>
      <c r="B138" s="4" t="s">
        <v>98</v>
      </c>
      <c r="C138" s="2" t="s">
        <v>14</v>
      </c>
      <c r="D138" s="3" t="s">
        <v>71</v>
      </c>
      <c r="E138" s="6">
        <f>SUM('01_PRESUPUESTO_CRONOGRAMA_BASE'!G2:G3)</f>
        <v>16336.4</v>
      </c>
      <c r="F138" s="6">
        <f>SUMIFS('02_CRONOGRAMA_PV_DIARIO'!E:E, '02_CRONOGRAMA_PV_DIARIO'!A:A, A138, '02_CRONOGRAMA_PV_DIARIO'!C:C, C138)</f>
        <v>0</v>
      </c>
      <c r="G138" s="6">
        <f>SUMIFS(F$2:F138, C$2:C138, C138)</f>
        <v>16336.459999999994</v>
      </c>
      <c r="H138" s="6">
        <f>SUMIFS('04_LOG_FIELD_ENTRIES'!J:J, '04_LOG_FIELD_ENTRIES'!B:B, B138, '04_LOG_FIELD_ENTRIES'!D:D, C138, '04_LOG_FIELD_ENTRIES'!K:K, "EV_PRODUCCION")</f>
        <v>0</v>
      </c>
      <c r="I138" s="6">
        <f>SUMIFS(H$2:H138, C$2:C138, C138)</f>
        <v>5823.2</v>
      </c>
      <c r="J138" s="6">
        <f>SUMIFS('04_LOG_FIELD_ENTRIES'!J:J, '04_LOG_FIELD_ENTRIES'!B:B, B138, '04_LOG_FIELD_ENTRIES'!D:D, C138, '04_LOG_FIELD_ENTRIES'!K:K, "AC_*")</f>
        <v>0</v>
      </c>
      <c r="K138" s="6">
        <f>SUMIFS(J$2:J138, C$2:C138, C138)</f>
        <v>6331</v>
      </c>
      <c r="L138" s="6">
        <f t="shared" si="10"/>
        <v>-507.80000000000018</v>
      </c>
      <c r="M138" s="6">
        <f t="shared" si="11"/>
        <v>-10513.259999999995</v>
      </c>
      <c r="N138" s="21">
        <f t="shared" si="12"/>
        <v>0.35645421345872985</v>
      </c>
      <c r="O138" s="21">
        <f t="shared" si="13"/>
        <v>0.91979150213236449</v>
      </c>
      <c r="P138" s="2" t="str">
        <f t="shared" si="14"/>
        <v>ALERTA RETRASO</v>
      </c>
    </row>
    <row r="139" spans="1:16" ht="19.95" customHeight="1" x14ac:dyDescent="0.3">
      <c r="A139" s="4">
        <v>35</v>
      </c>
      <c r="B139" s="4" t="s">
        <v>98</v>
      </c>
      <c r="C139" s="2" t="s">
        <v>23</v>
      </c>
      <c r="D139" s="3" t="s">
        <v>72</v>
      </c>
      <c r="E139" s="6">
        <f>SUM('01_PRESUPUESTO_CRONOGRAMA_BASE'!G4:G9)</f>
        <v>372046.56</v>
      </c>
      <c r="F139" s="6">
        <f>SUMIFS('02_CRONOGRAMA_PV_DIARIO'!E:E, '02_CRONOGRAMA_PV_DIARIO'!A:A, A139, '02_CRONOGRAMA_PV_DIARIO'!C:C, C139)</f>
        <v>11999.669999999998</v>
      </c>
      <c r="G139" s="6">
        <f>SUMIFS(F$2:F139, C$2:C139, C139)</f>
        <v>318750.20999999996</v>
      </c>
      <c r="H139" s="6">
        <f>SUMIFS('04_LOG_FIELD_ENTRIES'!J:J, '04_LOG_FIELD_ENTRIES'!B:B, B139, '04_LOG_FIELD_ENTRIES'!D:D, C139, '04_LOG_FIELD_ENTRIES'!K:K, "EV_PRODUCCION")</f>
        <v>0</v>
      </c>
      <c r="I139" s="6">
        <f>SUMIFS(H$2:H139, C$2:C139, C139)</f>
        <v>44254.52</v>
      </c>
      <c r="J139" s="6">
        <f>SUMIFS('04_LOG_FIELD_ENTRIES'!J:J, '04_LOG_FIELD_ENTRIES'!B:B, B139, '04_LOG_FIELD_ENTRIES'!D:D, C139, '04_LOG_FIELD_ENTRIES'!K:K, "AC_*")</f>
        <v>0</v>
      </c>
      <c r="K139" s="6">
        <f>SUMIFS(J$2:J139, C$2:C139, C139)</f>
        <v>34269.199999999997</v>
      </c>
      <c r="L139" s="6">
        <f t="shared" si="10"/>
        <v>9985.32</v>
      </c>
      <c r="M139" s="6">
        <f t="shared" si="11"/>
        <v>-274495.68999999994</v>
      </c>
      <c r="N139" s="21">
        <f t="shared" si="12"/>
        <v>0.13883761833443184</v>
      </c>
      <c r="O139" s="21">
        <f t="shared" si="13"/>
        <v>1.291378847478202</v>
      </c>
      <c r="P139" s="2" t="str">
        <f t="shared" si="14"/>
        <v>ALERTA RETRASO</v>
      </c>
    </row>
    <row r="140" spans="1:16" ht="19.95" customHeight="1" x14ac:dyDescent="0.3">
      <c r="A140" s="4">
        <v>35</v>
      </c>
      <c r="B140" s="4" t="s">
        <v>98</v>
      </c>
      <c r="C140" s="2" t="s">
        <v>49</v>
      </c>
      <c r="D140" s="3" t="s">
        <v>73</v>
      </c>
      <c r="E140" s="6">
        <f>SUM('01_PRESUPUESTO_CRONOGRAMA_BASE'!G10:G11)</f>
        <v>57565.2</v>
      </c>
      <c r="F140" s="6">
        <f>SUMIFS('02_CRONOGRAMA_PV_DIARIO'!E:E, '02_CRONOGRAMA_PV_DIARIO'!A:A, A140, '02_CRONOGRAMA_PV_DIARIO'!C:C, C140)</f>
        <v>2702.08</v>
      </c>
      <c r="G140" s="6">
        <f>SUMIFS(F$2:F140, C$2:C140, C140)</f>
        <v>28426.520000000004</v>
      </c>
      <c r="H140" s="6">
        <f>SUMIFS('04_LOG_FIELD_ENTRIES'!J:J, '04_LOG_FIELD_ENTRIES'!B:B, B140, '04_LOG_FIELD_ENTRIES'!D:D, C140, '04_LOG_FIELD_ENTRIES'!K:K, "EV_PRODUCCION")</f>
        <v>0</v>
      </c>
      <c r="I140" s="6">
        <f>SUMIFS(H$2:H140, C$2:C140, C140)</f>
        <v>9327.4500000000007</v>
      </c>
      <c r="J140" s="6">
        <f>SUMIFS('04_LOG_FIELD_ENTRIES'!J:J, '04_LOG_FIELD_ENTRIES'!B:B, B140, '04_LOG_FIELD_ENTRIES'!D:D, C140, '04_LOG_FIELD_ENTRIES'!K:K, "AC_*")</f>
        <v>0</v>
      </c>
      <c r="K140" s="6">
        <f>SUMIFS(J$2:J140, C$2:C140, C140)</f>
        <v>7730.8</v>
      </c>
      <c r="L140" s="6">
        <f t="shared" si="10"/>
        <v>1596.6500000000005</v>
      </c>
      <c r="M140" s="6">
        <f t="shared" si="11"/>
        <v>-19099.070000000003</v>
      </c>
      <c r="N140" s="21">
        <f t="shared" si="12"/>
        <v>0.32812493404046644</v>
      </c>
      <c r="O140" s="21">
        <f t="shared" si="13"/>
        <v>1.2065310187820149</v>
      </c>
      <c r="P140" s="2" t="str">
        <f t="shared" si="14"/>
        <v>ALERTA RETRASO</v>
      </c>
    </row>
    <row r="141" spans="1:16" ht="19.95" customHeight="1" x14ac:dyDescent="0.3">
      <c r="A141" s="4">
        <v>35</v>
      </c>
      <c r="B141" s="4" t="s">
        <v>98</v>
      </c>
      <c r="C141" s="2" t="s">
        <v>56</v>
      </c>
      <c r="D141" s="3" t="s">
        <v>74</v>
      </c>
      <c r="E141" s="6">
        <f>SUM('01_PRESUPUESTO_CRONOGRAMA_BASE'!G12:G12)</f>
        <v>9348.06</v>
      </c>
      <c r="F141" s="6">
        <f>SUMIFS('02_CRONOGRAMA_PV_DIARIO'!E:E, '02_CRONOGRAMA_PV_DIARIO'!A:A, A141, '02_CRONOGRAMA_PV_DIARIO'!C:C, C141)</f>
        <v>0</v>
      </c>
      <c r="G141" s="6">
        <f>SUMIFS(F$2:F141, C$2:C141, C141)</f>
        <v>0</v>
      </c>
      <c r="H141" s="6">
        <f>SUMIFS('04_LOG_FIELD_ENTRIES'!J:J, '04_LOG_FIELD_ENTRIES'!B:B, B141, '04_LOG_FIELD_ENTRIES'!D:D, C141, '04_LOG_FIELD_ENTRIES'!K:K, "EV_PRODUCCION")</f>
        <v>0</v>
      </c>
      <c r="I141" s="6">
        <f>SUMIFS(H$2:H141, C$2:C141, C141)</f>
        <v>2337.02</v>
      </c>
      <c r="J141" s="6">
        <f>SUMIFS('04_LOG_FIELD_ENTRIES'!J:J, '04_LOG_FIELD_ENTRIES'!B:B, B141, '04_LOG_FIELD_ENTRIES'!D:D, C141, '04_LOG_FIELD_ENTRIES'!K:K, "AC_*")</f>
        <v>0</v>
      </c>
      <c r="K141" s="6">
        <f>SUMIFS(J$2:J141, C$2:C141, C141)</f>
        <v>1299.2</v>
      </c>
      <c r="L141" s="6">
        <f t="shared" si="10"/>
        <v>1037.82</v>
      </c>
      <c r="M141" s="6">
        <f t="shared" si="11"/>
        <v>2337.02</v>
      </c>
      <c r="N141" s="21">
        <f t="shared" si="12"/>
        <v>1</v>
      </c>
      <c r="O141" s="21">
        <f t="shared" si="13"/>
        <v>1.7988146551724138</v>
      </c>
      <c r="P141" s="2" t="str">
        <f t="shared" si="14"/>
        <v>SALUDABLE</v>
      </c>
    </row>
    <row r="142" spans="1:16" ht="19.95" customHeight="1" x14ac:dyDescent="0.3">
      <c r="A142" s="4">
        <v>36</v>
      </c>
      <c r="B142" s="4" t="s">
        <v>39</v>
      </c>
      <c r="C142" s="2" t="s">
        <v>14</v>
      </c>
      <c r="D142" s="3" t="s">
        <v>71</v>
      </c>
      <c r="E142" s="6">
        <f>SUM('01_PRESUPUESTO_CRONOGRAMA_BASE'!G2:G3)</f>
        <v>16336.4</v>
      </c>
      <c r="F142" s="6">
        <f>SUMIFS('02_CRONOGRAMA_PV_DIARIO'!E:E, '02_CRONOGRAMA_PV_DIARIO'!A:A, A142, '02_CRONOGRAMA_PV_DIARIO'!C:C, C142)</f>
        <v>0</v>
      </c>
      <c r="G142" s="6">
        <f>SUMIFS(F$2:F142, C$2:C142, C142)</f>
        <v>16336.459999999994</v>
      </c>
      <c r="H142" s="6">
        <f>SUMIFS('04_LOG_FIELD_ENTRIES'!J:J, '04_LOG_FIELD_ENTRIES'!B:B, B142, '04_LOG_FIELD_ENTRIES'!D:D, C142, '04_LOG_FIELD_ENTRIES'!K:K, "EV_PRODUCCION")</f>
        <v>0</v>
      </c>
      <c r="I142" s="6">
        <f>SUMIFS(H$2:H142, C$2:C142, C142)</f>
        <v>5823.2</v>
      </c>
      <c r="J142" s="6">
        <f>SUMIFS('04_LOG_FIELD_ENTRIES'!J:J, '04_LOG_FIELD_ENTRIES'!B:B, B142, '04_LOG_FIELD_ENTRIES'!D:D, C142, '04_LOG_FIELD_ENTRIES'!K:K, "AC_*")</f>
        <v>0</v>
      </c>
      <c r="K142" s="6">
        <f>SUMIFS(J$2:J142, C$2:C142, C142)</f>
        <v>6331</v>
      </c>
      <c r="L142" s="6">
        <f t="shared" si="10"/>
        <v>-507.80000000000018</v>
      </c>
      <c r="M142" s="6">
        <f t="shared" si="11"/>
        <v>-10513.259999999995</v>
      </c>
      <c r="N142" s="21">
        <f t="shared" si="12"/>
        <v>0.35645421345872985</v>
      </c>
      <c r="O142" s="21">
        <f t="shared" si="13"/>
        <v>0.91979150213236449</v>
      </c>
      <c r="P142" s="2" t="str">
        <f t="shared" si="14"/>
        <v>ALERTA RETRASO</v>
      </c>
    </row>
    <row r="143" spans="1:16" ht="19.95" customHeight="1" x14ac:dyDescent="0.3">
      <c r="A143" s="4">
        <v>36</v>
      </c>
      <c r="B143" s="4" t="s">
        <v>39</v>
      </c>
      <c r="C143" s="2" t="s">
        <v>23</v>
      </c>
      <c r="D143" s="3" t="s">
        <v>72</v>
      </c>
      <c r="E143" s="6">
        <f>SUM('01_PRESUPUESTO_CRONOGRAMA_BASE'!G4:G9)</f>
        <v>372046.56</v>
      </c>
      <c r="F143" s="6">
        <f>SUMIFS('02_CRONOGRAMA_PV_DIARIO'!E:E, '02_CRONOGRAMA_PV_DIARIO'!A:A, A143, '02_CRONOGRAMA_PV_DIARIO'!C:C, C143)</f>
        <v>11999.669999999998</v>
      </c>
      <c r="G143" s="6">
        <f>SUMIFS(F$2:F143, C$2:C143, C143)</f>
        <v>330749.87999999995</v>
      </c>
      <c r="H143" s="6">
        <f>SUMIFS('04_LOG_FIELD_ENTRIES'!J:J, '04_LOG_FIELD_ENTRIES'!B:B, B143, '04_LOG_FIELD_ENTRIES'!D:D, C143, '04_LOG_FIELD_ENTRIES'!K:K, "EV_PRODUCCION")</f>
        <v>0</v>
      </c>
      <c r="I143" s="6">
        <f>SUMIFS(H$2:H143, C$2:C143, C143)</f>
        <v>44254.52</v>
      </c>
      <c r="J143" s="6">
        <f>SUMIFS('04_LOG_FIELD_ENTRIES'!J:J, '04_LOG_FIELD_ENTRIES'!B:B, B143, '04_LOG_FIELD_ENTRIES'!D:D, C143, '04_LOG_FIELD_ENTRIES'!K:K, "AC_*")</f>
        <v>0</v>
      </c>
      <c r="K143" s="6">
        <f>SUMIFS(J$2:J143, C$2:C143, C143)</f>
        <v>34269.199999999997</v>
      </c>
      <c r="L143" s="6">
        <f t="shared" si="10"/>
        <v>9985.32</v>
      </c>
      <c r="M143" s="6">
        <f t="shared" si="11"/>
        <v>-286495.35999999993</v>
      </c>
      <c r="N143" s="21">
        <f t="shared" si="12"/>
        <v>0.1338005625277929</v>
      </c>
      <c r="O143" s="21">
        <f t="shared" si="13"/>
        <v>1.291378847478202</v>
      </c>
      <c r="P143" s="2" t="str">
        <f t="shared" si="14"/>
        <v>ALERTA RETRASO</v>
      </c>
    </row>
    <row r="144" spans="1:16" ht="19.95" customHeight="1" x14ac:dyDescent="0.3">
      <c r="A144" s="4">
        <v>36</v>
      </c>
      <c r="B144" s="4" t="s">
        <v>39</v>
      </c>
      <c r="C144" s="2" t="s">
        <v>49</v>
      </c>
      <c r="D144" s="3" t="s">
        <v>73</v>
      </c>
      <c r="E144" s="6">
        <f>SUM('01_PRESUPUESTO_CRONOGRAMA_BASE'!G10:G11)</f>
        <v>57565.2</v>
      </c>
      <c r="F144" s="6">
        <f>SUMIFS('02_CRONOGRAMA_PV_DIARIO'!E:E, '02_CRONOGRAMA_PV_DIARIO'!A:A, A144, '02_CRONOGRAMA_PV_DIARIO'!C:C, C144)</f>
        <v>2702.08</v>
      </c>
      <c r="G144" s="6">
        <f>SUMIFS(F$2:F144, C$2:C144, C144)</f>
        <v>31128.600000000006</v>
      </c>
      <c r="H144" s="6">
        <f>SUMIFS('04_LOG_FIELD_ENTRIES'!J:J, '04_LOG_FIELD_ENTRIES'!B:B, B144, '04_LOG_FIELD_ENTRIES'!D:D, C144, '04_LOG_FIELD_ENTRIES'!K:K, "EV_PRODUCCION")</f>
        <v>0</v>
      </c>
      <c r="I144" s="6">
        <f>SUMIFS(H$2:H144, C$2:C144, C144)</f>
        <v>9327.4500000000007</v>
      </c>
      <c r="J144" s="6">
        <f>SUMIFS('04_LOG_FIELD_ENTRIES'!J:J, '04_LOG_FIELD_ENTRIES'!B:B, B144, '04_LOG_FIELD_ENTRIES'!D:D, C144, '04_LOG_FIELD_ENTRIES'!K:K, "AC_*")</f>
        <v>0</v>
      </c>
      <c r="K144" s="6">
        <f>SUMIFS(J$2:J144, C$2:C144, C144)</f>
        <v>7730.8</v>
      </c>
      <c r="L144" s="6">
        <f t="shared" si="10"/>
        <v>1596.6500000000005</v>
      </c>
      <c r="M144" s="6">
        <f t="shared" si="11"/>
        <v>-21801.150000000005</v>
      </c>
      <c r="N144" s="21">
        <f t="shared" si="12"/>
        <v>0.29964245099361997</v>
      </c>
      <c r="O144" s="21">
        <f t="shared" si="13"/>
        <v>1.2065310187820149</v>
      </c>
      <c r="P144" s="2" t="str">
        <f t="shared" si="14"/>
        <v>ALERTA RETRASO</v>
      </c>
    </row>
    <row r="145" spans="1:16" ht="19.95" customHeight="1" x14ac:dyDescent="0.3">
      <c r="A145" s="4">
        <v>36</v>
      </c>
      <c r="B145" s="4" t="s">
        <v>39</v>
      </c>
      <c r="C145" s="2" t="s">
        <v>56</v>
      </c>
      <c r="D145" s="3" t="s">
        <v>74</v>
      </c>
      <c r="E145" s="6">
        <f>SUM('01_PRESUPUESTO_CRONOGRAMA_BASE'!G12:G12)</f>
        <v>9348.06</v>
      </c>
      <c r="F145" s="6">
        <f>SUMIFS('02_CRONOGRAMA_PV_DIARIO'!E:E, '02_CRONOGRAMA_PV_DIARIO'!A:A, A145, '02_CRONOGRAMA_PV_DIARIO'!C:C, C145)</f>
        <v>0</v>
      </c>
      <c r="G145" s="6">
        <f>SUMIFS(F$2:F145, C$2:C145, C145)</f>
        <v>0</v>
      </c>
      <c r="H145" s="6">
        <f>SUMIFS('04_LOG_FIELD_ENTRIES'!J:J, '04_LOG_FIELD_ENTRIES'!B:B, B145, '04_LOG_FIELD_ENTRIES'!D:D, C145, '04_LOG_FIELD_ENTRIES'!K:K, "EV_PRODUCCION")</f>
        <v>0</v>
      </c>
      <c r="I145" s="6">
        <f>SUMIFS(H$2:H145, C$2:C145, C145)</f>
        <v>2337.02</v>
      </c>
      <c r="J145" s="6">
        <f>SUMIFS('04_LOG_FIELD_ENTRIES'!J:J, '04_LOG_FIELD_ENTRIES'!B:B, B145, '04_LOG_FIELD_ENTRIES'!D:D, C145, '04_LOG_FIELD_ENTRIES'!K:K, "AC_*")</f>
        <v>0</v>
      </c>
      <c r="K145" s="6">
        <f>SUMIFS(J$2:J145, C$2:C145, C145)</f>
        <v>1299.2</v>
      </c>
      <c r="L145" s="6">
        <f t="shared" si="10"/>
        <v>1037.82</v>
      </c>
      <c r="M145" s="6">
        <f t="shared" si="11"/>
        <v>2337.02</v>
      </c>
      <c r="N145" s="21">
        <f t="shared" si="12"/>
        <v>1</v>
      </c>
      <c r="O145" s="21">
        <f t="shared" si="13"/>
        <v>1.7988146551724138</v>
      </c>
      <c r="P145" s="2" t="str">
        <f t="shared" si="14"/>
        <v>SALUDABLE</v>
      </c>
    </row>
    <row r="146" spans="1:16" ht="19.95" customHeight="1" x14ac:dyDescent="0.3">
      <c r="A146" s="4">
        <v>37</v>
      </c>
      <c r="B146" s="4" t="s">
        <v>99</v>
      </c>
      <c r="C146" s="2" t="s">
        <v>14</v>
      </c>
      <c r="D146" s="3" t="s">
        <v>71</v>
      </c>
      <c r="E146" s="6">
        <f>SUM('01_PRESUPUESTO_CRONOGRAMA_BASE'!G2:G3)</f>
        <v>16336.4</v>
      </c>
      <c r="F146" s="6">
        <f>SUMIFS('02_CRONOGRAMA_PV_DIARIO'!E:E, '02_CRONOGRAMA_PV_DIARIO'!A:A, A146, '02_CRONOGRAMA_PV_DIARIO'!C:C, C146)</f>
        <v>0</v>
      </c>
      <c r="G146" s="6">
        <f>SUMIFS(F$2:F146, C$2:C146, C146)</f>
        <v>16336.459999999994</v>
      </c>
      <c r="H146" s="6">
        <f>SUMIFS('04_LOG_FIELD_ENTRIES'!J:J, '04_LOG_FIELD_ENTRIES'!B:B, B146, '04_LOG_FIELD_ENTRIES'!D:D, C146, '04_LOG_FIELD_ENTRIES'!K:K, "EV_PRODUCCION")</f>
        <v>0</v>
      </c>
      <c r="I146" s="6">
        <f>SUMIFS(H$2:H146, C$2:C146, C146)</f>
        <v>5823.2</v>
      </c>
      <c r="J146" s="6">
        <f>SUMIFS('04_LOG_FIELD_ENTRIES'!J:J, '04_LOG_FIELD_ENTRIES'!B:B, B146, '04_LOG_FIELD_ENTRIES'!D:D, C146, '04_LOG_FIELD_ENTRIES'!K:K, "AC_*")</f>
        <v>0</v>
      </c>
      <c r="K146" s="6">
        <f>SUMIFS(J$2:J146, C$2:C146, C146)</f>
        <v>6331</v>
      </c>
      <c r="L146" s="6">
        <f t="shared" si="10"/>
        <v>-507.80000000000018</v>
      </c>
      <c r="M146" s="6">
        <f t="shared" si="11"/>
        <v>-10513.259999999995</v>
      </c>
      <c r="N146" s="21">
        <f t="shared" si="12"/>
        <v>0.35645421345872985</v>
      </c>
      <c r="O146" s="21">
        <f t="shared" si="13"/>
        <v>0.91979150213236449</v>
      </c>
      <c r="P146" s="2" t="str">
        <f t="shared" si="14"/>
        <v>ALERTA RETRASO</v>
      </c>
    </row>
    <row r="147" spans="1:16" ht="19.95" customHeight="1" x14ac:dyDescent="0.3">
      <c r="A147" s="4">
        <v>37</v>
      </c>
      <c r="B147" s="4" t="s">
        <v>99</v>
      </c>
      <c r="C147" s="2" t="s">
        <v>23</v>
      </c>
      <c r="D147" s="3" t="s">
        <v>72</v>
      </c>
      <c r="E147" s="6">
        <f>SUM('01_PRESUPUESTO_CRONOGRAMA_BASE'!G4:G9)</f>
        <v>372046.56</v>
      </c>
      <c r="F147" s="6">
        <f>SUMIFS('02_CRONOGRAMA_PV_DIARIO'!E:E, '02_CRONOGRAMA_PV_DIARIO'!A:A, A147, '02_CRONOGRAMA_PV_DIARIO'!C:C, C147)</f>
        <v>7042.72</v>
      </c>
      <c r="G147" s="6">
        <f>SUMIFS(F$2:F147, C$2:C147, C147)</f>
        <v>337792.59999999992</v>
      </c>
      <c r="H147" s="6">
        <f>SUMIFS('04_LOG_FIELD_ENTRIES'!J:J, '04_LOG_FIELD_ENTRIES'!B:B, B147, '04_LOG_FIELD_ENTRIES'!D:D, C147, '04_LOG_FIELD_ENTRIES'!K:K, "EV_PRODUCCION")</f>
        <v>0</v>
      </c>
      <c r="I147" s="6">
        <f>SUMIFS(H$2:H147, C$2:C147, C147)</f>
        <v>44254.52</v>
      </c>
      <c r="J147" s="6">
        <f>SUMIFS('04_LOG_FIELD_ENTRIES'!J:J, '04_LOG_FIELD_ENTRIES'!B:B, B147, '04_LOG_FIELD_ENTRIES'!D:D, C147, '04_LOG_FIELD_ENTRIES'!K:K, "AC_*")</f>
        <v>0</v>
      </c>
      <c r="K147" s="6">
        <f>SUMIFS(J$2:J147, C$2:C147, C147)</f>
        <v>34269.199999999997</v>
      </c>
      <c r="L147" s="6">
        <f t="shared" si="10"/>
        <v>9985.32</v>
      </c>
      <c r="M147" s="6">
        <f t="shared" si="11"/>
        <v>-293538.0799999999</v>
      </c>
      <c r="N147" s="21">
        <f t="shared" si="12"/>
        <v>0.13101092208651111</v>
      </c>
      <c r="O147" s="21">
        <f t="shared" si="13"/>
        <v>1.291378847478202</v>
      </c>
      <c r="P147" s="2" t="str">
        <f t="shared" si="14"/>
        <v>ALERTA RETRASO</v>
      </c>
    </row>
    <row r="148" spans="1:16" ht="19.95" customHeight="1" x14ac:dyDescent="0.3">
      <c r="A148" s="4">
        <v>37</v>
      </c>
      <c r="B148" s="4" t="s">
        <v>99</v>
      </c>
      <c r="C148" s="2" t="s">
        <v>49</v>
      </c>
      <c r="D148" s="3" t="s">
        <v>73</v>
      </c>
      <c r="E148" s="6">
        <f>SUM('01_PRESUPUESTO_CRONOGRAMA_BASE'!G10:G11)</f>
        <v>57565.2</v>
      </c>
      <c r="F148" s="6">
        <f>SUMIFS('02_CRONOGRAMA_PV_DIARIO'!E:E, '02_CRONOGRAMA_PV_DIARIO'!A:A, A148, '02_CRONOGRAMA_PV_DIARIO'!C:C, C148)</f>
        <v>2702.08</v>
      </c>
      <c r="G148" s="6">
        <f>SUMIFS(F$2:F148, C$2:C148, C148)</f>
        <v>33830.680000000008</v>
      </c>
      <c r="H148" s="6">
        <f>SUMIFS('04_LOG_FIELD_ENTRIES'!J:J, '04_LOG_FIELD_ENTRIES'!B:B, B148, '04_LOG_FIELD_ENTRIES'!D:D, C148, '04_LOG_FIELD_ENTRIES'!K:K, "EV_PRODUCCION")</f>
        <v>0</v>
      </c>
      <c r="I148" s="6">
        <f>SUMIFS(H$2:H148, C$2:C148, C148)</f>
        <v>9327.4500000000007</v>
      </c>
      <c r="J148" s="6">
        <f>SUMIFS('04_LOG_FIELD_ENTRIES'!J:J, '04_LOG_FIELD_ENTRIES'!B:B, B148, '04_LOG_FIELD_ENTRIES'!D:D, C148, '04_LOG_FIELD_ENTRIES'!K:K, "AC_*")</f>
        <v>0</v>
      </c>
      <c r="K148" s="6">
        <f>SUMIFS(J$2:J148, C$2:C148, C148)</f>
        <v>7730.8</v>
      </c>
      <c r="L148" s="6">
        <f t="shared" si="10"/>
        <v>1596.6500000000005</v>
      </c>
      <c r="M148" s="6">
        <f t="shared" si="11"/>
        <v>-24503.230000000007</v>
      </c>
      <c r="N148" s="21">
        <f t="shared" si="12"/>
        <v>0.2757097995074293</v>
      </c>
      <c r="O148" s="21">
        <f t="shared" si="13"/>
        <v>1.2065310187820149</v>
      </c>
      <c r="P148" s="2" t="str">
        <f t="shared" si="14"/>
        <v>ALERTA RETRASO</v>
      </c>
    </row>
    <row r="149" spans="1:16" ht="19.95" customHeight="1" x14ac:dyDescent="0.3">
      <c r="A149" s="4">
        <v>37</v>
      </c>
      <c r="B149" s="4" t="s">
        <v>99</v>
      </c>
      <c r="C149" s="2" t="s">
        <v>56</v>
      </c>
      <c r="D149" s="3" t="s">
        <v>74</v>
      </c>
      <c r="E149" s="6">
        <f>SUM('01_PRESUPUESTO_CRONOGRAMA_BASE'!G12:G12)</f>
        <v>9348.06</v>
      </c>
      <c r="F149" s="6">
        <f>SUMIFS('02_CRONOGRAMA_PV_DIARIO'!E:E, '02_CRONOGRAMA_PV_DIARIO'!A:A, A149, '02_CRONOGRAMA_PV_DIARIO'!C:C, C149)</f>
        <v>0</v>
      </c>
      <c r="G149" s="6">
        <f>SUMIFS(F$2:F149, C$2:C149, C149)</f>
        <v>0</v>
      </c>
      <c r="H149" s="6">
        <f>SUMIFS('04_LOG_FIELD_ENTRIES'!J:J, '04_LOG_FIELD_ENTRIES'!B:B, B149, '04_LOG_FIELD_ENTRIES'!D:D, C149, '04_LOG_FIELD_ENTRIES'!K:K, "EV_PRODUCCION")</f>
        <v>0</v>
      </c>
      <c r="I149" s="6">
        <f>SUMIFS(H$2:H149, C$2:C149, C149)</f>
        <v>2337.02</v>
      </c>
      <c r="J149" s="6">
        <f>SUMIFS('04_LOG_FIELD_ENTRIES'!J:J, '04_LOG_FIELD_ENTRIES'!B:B, B149, '04_LOG_FIELD_ENTRIES'!D:D, C149, '04_LOG_FIELD_ENTRIES'!K:K, "AC_*")</f>
        <v>0</v>
      </c>
      <c r="K149" s="6">
        <f>SUMIFS(J$2:J149, C$2:C149, C149)</f>
        <v>1299.2</v>
      </c>
      <c r="L149" s="6">
        <f t="shared" si="10"/>
        <v>1037.82</v>
      </c>
      <c r="M149" s="6">
        <f t="shared" si="11"/>
        <v>2337.02</v>
      </c>
      <c r="N149" s="21">
        <f t="shared" si="12"/>
        <v>1</v>
      </c>
      <c r="O149" s="21">
        <f t="shared" si="13"/>
        <v>1.7988146551724138</v>
      </c>
      <c r="P149" s="2" t="str">
        <f t="shared" si="14"/>
        <v>SALUDABLE</v>
      </c>
    </row>
    <row r="150" spans="1:16" ht="19.95" customHeight="1" x14ac:dyDescent="0.3">
      <c r="A150" s="4">
        <v>38</v>
      </c>
      <c r="B150" s="4" t="s">
        <v>100</v>
      </c>
      <c r="C150" s="2" t="s">
        <v>14</v>
      </c>
      <c r="D150" s="3" t="s">
        <v>71</v>
      </c>
      <c r="E150" s="6">
        <f>SUM('01_PRESUPUESTO_CRONOGRAMA_BASE'!G2:G3)</f>
        <v>16336.4</v>
      </c>
      <c r="F150" s="6">
        <f>SUMIFS('02_CRONOGRAMA_PV_DIARIO'!E:E, '02_CRONOGRAMA_PV_DIARIO'!A:A, A150, '02_CRONOGRAMA_PV_DIARIO'!C:C, C150)</f>
        <v>0</v>
      </c>
      <c r="G150" s="6">
        <f>SUMIFS(F$2:F150, C$2:C150, C150)</f>
        <v>16336.459999999994</v>
      </c>
      <c r="H150" s="6">
        <f>SUMIFS('04_LOG_FIELD_ENTRIES'!J:J, '04_LOG_FIELD_ENTRIES'!B:B, B150, '04_LOG_FIELD_ENTRIES'!D:D, C150, '04_LOG_FIELD_ENTRIES'!K:K, "EV_PRODUCCION")</f>
        <v>0</v>
      </c>
      <c r="I150" s="6">
        <f>SUMIFS(H$2:H150, C$2:C150, C150)</f>
        <v>5823.2</v>
      </c>
      <c r="J150" s="6">
        <f>SUMIFS('04_LOG_FIELD_ENTRIES'!J:J, '04_LOG_FIELD_ENTRIES'!B:B, B150, '04_LOG_FIELD_ENTRIES'!D:D, C150, '04_LOG_FIELD_ENTRIES'!K:K, "AC_*")</f>
        <v>0</v>
      </c>
      <c r="K150" s="6">
        <f>SUMIFS(J$2:J150, C$2:C150, C150)</f>
        <v>6331</v>
      </c>
      <c r="L150" s="6">
        <f t="shared" si="10"/>
        <v>-507.80000000000018</v>
      </c>
      <c r="M150" s="6">
        <f t="shared" si="11"/>
        <v>-10513.259999999995</v>
      </c>
      <c r="N150" s="21">
        <f t="shared" si="12"/>
        <v>0.35645421345872985</v>
      </c>
      <c r="O150" s="21">
        <f t="shared" si="13"/>
        <v>0.91979150213236449</v>
      </c>
      <c r="P150" s="2" t="str">
        <f t="shared" si="14"/>
        <v>ALERTA RETRASO</v>
      </c>
    </row>
    <row r="151" spans="1:16" ht="19.95" customHeight="1" x14ac:dyDescent="0.3">
      <c r="A151" s="4">
        <v>38</v>
      </c>
      <c r="B151" s="4" t="s">
        <v>100</v>
      </c>
      <c r="C151" s="2" t="s">
        <v>23</v>
      </c>
      <c r="D151" s="3" t="s">
        <v>72</v>
      </c>
      <c r="E151" s="6">
        <f>SUM('01_PRESUPUESTO_CRONOGRAMA_BASE'!G4:G9)</f>
        <v>372046.56</v>
      </c>
      <c r="F151" s="6">
        <f>SUMIFS('02_CRONOGRAMA_PV_DIARIO'!E:E, '02_CRONOGRAMA_PV_DIARIO'!A:A, A151, '02_CRONOGRAMA_PV_DIARIO'!C:C, C151)</f>
        <v>7042.72</v>
      </c>
      <c r="G151" s="6">
        <f>SUMIFS(F$2:F151, C$2:C151, C151)</f>
        <v>344835.31999999989</v>
      </c>
      <c r="H151" s="6">
        <f>SUMIFS('04_LOG_FIELD_ENTRIES'!J:J, '04_LOG_FIELD_ENTRIES'!B:B, B151, '04_LOG_FIELD_ENTRIES'!D:D, C151, '04_LOG_FIELD_ENTRIES'!K:K, "EV_PRODUCCION")</f>
        <v>0</v>
      </c>
      <c r="I151" s="6">
        <f>SUMIFS(H$2:H151, C$2:C151, C151)</f>
        <v>44254.52</v>
      </c>
      <c r="J151" s="6">
        <f>SUMIFS('04_LOG_FIELD_ENTRIES'!J:J, '04_LOG_FIELD_ENTRIES'!B:B, B151, '04_LOG_FIELD_ENTRIES'!D:D, C151, '04_LOG_FIELD_ENTRIES'!K:K, "AC_*")</f>
        <v>0</v>
      </c>
      <c r="K151" s="6">
        <f>SUMIFS(J$2:J151, C$2:C151, C151)</f>
        <v>34269.199999999997</v>
      </c>
      <c r="L151" s="6">
        <f t="shared" si="10"/>
        <v>9985.32</v>
      </c>
      <c r="M151" s="6">
        <f t="shared" si="11"/>
        <v>-300580.79999999987</v>
      </c>
      <c r="N151" s="21">
        <f t="shared" si="12"/>
        <v>0.12833522969746838</v>
      </c>
      <c r="O151" s="21">
        <f t="shared" si="13"/>
        <v>1.291378847478202</v>
      </c>
      <c r="P151" s="2" t="str">
        <f t="shared" si="14"/>
        <v>ALERTA RETRASO</v>
      </c>
    </row>
    <row r="152" spans="1:16" ht="19.95" customHeight="1" x14ac:dyDescent="0.3">
      <c r="A152" s="4">
        <v>38</v>
      </c>
      <c r="B152" s="4" t="s">
        <v>100</v>
      </c>
      <c r="C152" s="2" t="s">
        <v>49</v>
      </c>
      <c r="D152" s="3" t="s">
        <v>73</v>
      </c>
      <c r="E152" s="6">
        <f>SUM('01_PRESUPUESTO_CRONOGRAMA_BASE'!G10:G11)</f>
        <v>57565.2</v>
      </c>
      <c r="F152" s="6">
        <f>SUMIFS('02_CRONOGRAMA_PV_DIARIO'!E:E, '02_CRONOGRAMA_PV_DIARIO'!A:A, A152, '02_CRONOGRAMA_PV_DIARIO'!C:C, C152)</f>
        <v>2702.08</v>
      </c>
      <c r="G152" s="6">
        <f>SUMIFS(F$2:F152, C$2:C152, C152)</f>
        <v>36532.760000000009</v>
      </c>
      <c r="H152" s="6">
        <f>SUMIFS('04_LOG_FIELD_ENTRIES'!J:J, '04_LOG_FIELD_ENTRIES'!B:B, B152, '04_LOG_FIELD_ENTRIES'!D:D, C152, '04_LOG_FIELD_ENTRIES'!K:K, "EV_PRODUCCION")</f>
        <v>0</v>
      </c>
      <c r="I152" s="6">
        <f>SUMIFS(H$2:H152, C$2:C152, C152)</f>
        <v>9327.4500000000007</v>
      </c>
      <c r="J152" s="6">
        <f>SUMIFS('04_LOG_FIELD_ENTRIES'!J:J, '04_LOG_FIELD_ENTRIES'!B:B, B152, '04_LOG_FIELD_ENTRIES'!D:D, C152, '04_LOG_FIELD_ENTRIES'!K:K, "AC_*")</f>
        <v>0</v>
      </c>
      <c r="K152" s="6">
        <f>SUMIFS(J$2:J152, C$2:C152, C152)</f>
        <v>7730.8</v>
      </c>
      <c r="L152" s="6">
        <f t="shared" si="10"/>
        <v>1596.6500000000005</v>
      </c>
      <c r="M152" s="6">
        <f t="shared" si="11"/>
        <v>-27205.310000000009</v>
      </c>
      <c r="N152" s="21">
        <f t="shared" si="12"/>
        <v>0.25531741921497303</v>
      </c>
      <c r="O152" s="21">
        <f t="shared" si="13"/>
        <v>1.2065310187820149</v>
      </c>
      <c r="P152" s="2" t="str">
        <f t="shared" si="14"/>
        <v>ALERTA RETRASO</v>
      </c>
    </row>
    <row r="153" spans="1:16" ht="19.95" customHeight="1" x14ac:dyDescent="0.3">
      <c r="A153" s="4">
        <v>38</v>
      </c>
      <c r="B153" s="4" t="s">
        <v>100</v>
      </c>
      <c r="C153" s="2" t="s">
        <v>56</v>
      </c>
      <c r="D153" s="3" t="s">
        <v>74</v>
      </c>
      <c r="E153" s="6">
        <f>SUM('01_PRESUPUESTO_CRONOGRAMA_BASE'!G12:G12)</f>
        <v>9348.06</v>
      </c>
      <c r="F153" s="6">
        <f>SUMIFS('02_CRONOGRAMA_PV_DIARIO'!E:E, '02_CRONOGRAMA_PV_DIARIO'!A:A, A153, '02_CRONOGRAMA_PV_DIARIO'!C:C, C153)</f>
        <v>0</v>
      </c>
      <c r="G153" s="6">
        <f>SUMIFS(F$2:F153, C$2:C153, C153)</f>
        <v>0</v>
      </c>
      <c r="H153" s="6">
        <f>SUMIFS('04_LOG_FIELD_ENTRIES'!J:J, '04_LOG_FIELD_ENTRIES'!B:B, B153, '04_LOG_FIELD_ENTRIES'!D:D, C153, '04_LOG_FIELD_ENTRIES'!K:K, "EV_PRODUCCION")</f>
        <v>0</v>
      </c>
      <c r="I153" s="6">
        <f>SUMIFS(H$2:H153, C$2:C153, C153)</f>
        <v>2337.02</v>
      </c>
      <c r="J153" s="6">
        <f>SUMIFS('04_LOG_FIELD_ENTRIES'!J:J, '04_LOG_FIELD_ENTRIES'!B:B, B153, '04_LOG_FIELD_ENTRIES'!D:D, C153, '04_LOG_FIELD_ENTRIES'!K:K, "AC_*")</f>
        <v>0</v>
      </c>
      <c r="K153" s="6">
        <f>SUMIFS(J$2:J153, C$2:C153, C153)</f>
        <v>1299.2</v>
      </c>
      <c r="L153" s="6">
        <f t="shared" si="10"/>
        <v>1037.82</v>
      </c>
      <c r="M153" s="6">
        <f t="shared" si="11"/>
        <v>2337.02</v>
      </c>
      <c r="N153" s="21">
        <f t="shared" si="12"/>
        <v>1</v>
      </c>
      <c r="O153" s="21">
        <f t="shared" si="13"/>
        <v>1.7988146551724138</v>
      </c>
      <c r="P153" s="2" t="str">
        <f t="shared" si="14"/>
        <v>SALUDABLE</v>
      </c>
    </row>
    <row r="154" spans="1:16" ht="19.95" customHeight="1" x14ac:dyDescent="0.3">
      <c r="A154" s="4">
        <v>39</v>
      </c>
      <c r="B154" s="4" t="s">
        <v>101</v>
      </c>
      <c r="C154" s="2" t="s">
        <v>14</v>
      </c>
      <c r="D154" s="3" t="s">
        <v>71</v>
      </c>
      <c r="E154" s="6">
        <f>SUM('01_PRESUPUESTO_CRONOGRAMA_BASE'!G2:G3)</f>
        <v>16336.4</v>
      </c>
      <c r="F154" s="6">
        <f>SUMIFS('02_CRONOGRAMA_PV_DIARIO'!E:E, '02_CRONOGRAMA_PV_DIARIO'!A:A, A154, '02_CRONOGRAMA_PV_DIARIO'!C:C, C154)</f>
        <v>0</v>
      </c>
      <c r="G154" s="6">
        <f>SUMIFS(F$2:F154, C$2:C154, C154)</f>
        <v>16336.459999999994</v>
      </c>
      <c r="H154" s="6">
        <f>SUMIFS('04_LOG_FIELD_ENTRIES'!J:J, '04_LOG_FIELD_ENTRIES'!B:B, B154, '04_LOG_FIELD_ENTRIES'!D:D, C154, '04_LOG_FIELD_ENTRIES'!K:K, "EV_PRODUCCION")</f>
        <v>0</v>
      </c>
      <c r="I154" s="6">
        <f>SUMIFS(H$2:H154, C$2:C154, C154)</f>
        <v>5823.2</v>
      </c>
      <c r="J154" s="6">
        <f>SUMIFS('04_LOG_FIELD_ENTRIES'!J:J, '04_LOG_FIELD_ENTRIES'!B:B, B154, '04_LOG_FIELD_ENTRIES'!D:D, C154, '04_LOG_FIELD_ENTRIES'!K:K, "AC_*")</f>
        <v>0</v>
      </c>
      <c r="K154" s="6">
        <f>SUMIFS(J$2:J154, C$2:C154, C154)</f>
        <v>6331</v>
      </c>
      <c r="L154" s="6">
        <f t="shared" si="10"/>
        <v>-507.80000000000018</v>
      </c>
      <c r="M154" s="6">
        <f t="shared" si="11"/>
        <v>-10513.259999999995</v>
      </c>
      <c r="N154" s="21">
        <f t="shared" si="12"/>
        <v>0.35645421345872985</v>
      </c>
      <c r="O154" s="21">
        <f t="shared" si="13"/>
        <v>0.91979150213236449</v>
      </c>
      <c r="P154" s="2" t="str">
        <f t="shared" si="14"/>
        <v>ALERTA RETRASO</v>
      </c>
    </row>
    <row r="155" spans="1:16" ht="19.95" customHeight="1" x14ac:dyDescent="0.3">
      <c r="A155" s="4">
        <v>39</v>
      </c>
      <c r="B155" s="4" t="s">
        <v>101</v>
      </c>
      <c r="C155" s="2" t="s">
        <v>23</v>
      </c>
      <c r="D155" s="3" t="s">
        <v>72</v>
      </c>
      <c r="E155" s="6">
        <f>SUM('01_PRESUPUESTO_CRONOGRAMA_BASE'!G4:G9)</f>
        <v>372046.56</v>
      </c>
      <c r="F155" s="6">
        <f>SUMIFS('02_CRONOGRAMA_PV_DIARIO'!E:E, '02_CRONOGRAMA_PV_DIARIO'!A:A, A155, '02_CRONOGRAMA_PV_DIARIO'!C:C, C155)</f>
        <v>7042.72</v>
      </c>
      <c r="G155" s="6">
        <f>SUMIFS(F$2:F155, C$2:C155, C155)</f>
        <v>351878.03999999986</v>
      </c>
      <c r="H155" s="6">
        <f>SUMIFS('04_LOG_FIELD_ENTRIES'!J:J, '04_LOG_FIELD_ENTRIES'!B:B, B155, '04_LOG_FIELD_ENTRIES'!D:D, C155, '04_LOG_FIELD_ENTRIES'!K:K, "EV_PRODUCCION")</f>
        <v>0</v>
      </c>
      <c r="I155" s="6">
        <f>SUMIFS(H$2:H155, C$2:C155, C155)</f>
        <v>44254.52</v>
      </c>
      <c r="J155" s="6">
        <f>SUMIFS('04_LOG_FIELD_ENTRIES'!J:J, '04_LOG_FIELD_ENTRIES'!B:B, B155, '04_LOG_FIELD_ENTRIES'!D:D, C155, '04_LOG_FIELD_ENTRIES'!K:K, "AC_*")</f>
        <v>0</v>
      </c>
      <c r="K155" s="6">
        <f>SUMIFS(J$2:J155, C$2:C155, C155)</f>
        <v>34269.199999999997</v>
      </c>
      <c r="L155" s="6">
        <f t="shared" si="10"/>
        <v>9985.32</v>
      </c>
      <c r="M155" s="6">
        <f t="shared" si="11"/>
        <v>-307623.51999999984</v>
      </c>
      <c r="N155" s="21">
        <f t="shared" si="12"/>
        <v>0.12576664346544619</v>
      </c>
      <c r="O155" s="21">
        <f t="shared" si="13"/>
        <v>1.291378847478202</v>
      </c>
      <c r="P155" s="2" t="str">
        <f t="shared" si="14"/>
        <v>ALERTA RETRASO</v>
      </c>
    </row>
    <row r="156" spans="1:16" ht="19.95" customHeight="1" x14ac:dyDescent="0.3">
      <c r="A156" s="4">
        <v>39</v>
      </c>
      <c r="B156" s="4" t="s">
        <v>101</v>
      </c>
      <c r="C156" s="2" t="s">
        <v>49</v>
      </c>
      <c r="D156" s="3" t="s">
        <v>73</v>
      </c>
      <c r="E156" s="6">
        <f>SUM('01_PRESUPUESTO_CRONOGRAMA_BASE'!G10:G11)</f>
        <v>57565.2</v>
      </c>
      <c r="F156" s="6">
        <f>SUMIFS('02_CRONOGRAMA_PV_DIARIO'!E:E, '02_CRONOGRAMA_PV_DIARIO'!A:A, A156, '02_CRONOGRAMA_PV_DIARIO'!C:C, C156)</f>
        <v>2702.08</v>
      </c>
      <c r="G156" s="6">
        <f>SUMIFS(F$2:F156, C$2:C156, C156)</f>
        <v>39234.840000000011</v>
      </c>
      <c r="H156" s="6">
        <f>SUMIFS('04_LOG_FIELD_ENTRIES'!J:J, '04_LOG_FIELD_ENTRIES'!B:B, B156, '04_LOG_FIELD_ENTRIES'!D:D, C156, '04_LOG_FIELD_ENTRIES'!K:K, "EV_PRODUCCION")</f>
        <v>0</v>
      </c>
      <c r="I156" s="6">
        <f>SUMIFS(H$2:H156, C$2:C156, C156)</f>
        <v>9327.4500000000007</v>
      </c>
      <c r="J156" s="6">
        <f>SUMIFS('04_LOG_FIELD_ENTRIES'!J:J, '04_LOG_FIELD_ENTRIES'!B:B, B156, '04_LOG_FIELD_ENTRIES'!D:D, C156, '04_LOG_FIELD_ENTRIES'!K:K, "AC_*")</f>
        <v>0</v>
      </c>
      <c r="K156" s="6">
        <f>SUMIFS(J$2:J156, C$2:C156, C156)</f>
        <v>7730.8</v>
      </c>
      <c r="L156" s="6">
        <f t="shared" si="10"/>
        <v>1596.6500000000005</v>
      </c>
      <c r="M156" s="6">
        <f t="shared" si="11"/>
        <v>-29907.39000000001</v>
      </c>
      <c r="N156" s="21">
        <f t="shared" si="12"/>
        <v>0.23773386102759686</v>
      </c>
      <c r="O156" s="21">
        <f t="shared" si="13"/>
        <v>1.2065310187820149</v>
      </c>
      <c r="P156" s="2" t="str">
        <f t="shared" si="14"/>
        <v>ALERTA RETRASO</v>
      </c>
    </row>
    <row r="157" spans="1:16" ht="19.95" customHeight="1" x14ac:dyDescent="0.3">
      <c r="A157" s="4">
        <v>39</v>
      </c>
      <c r="B157" s="4" t="s">
        <v>101</v>
      </c>
      <c r="C157" s="2" t="s">
        <v>56</v>
      </c>
      <c r="D157" s="3" t="s">
        <v>74</v>
      </c>
      <c r="E157" s="6">
        <f>SUM('01_PRESUPUESTO_CRONOGRAMA_BASE'!G12:G12)</f>
        <v>9348.06</v>
      </c>
      <c r="F157" s="6">
        <f>SUMIFS('02_CRONOGRAMA_PV_DIARIO'!E:E, '02_CRONOGRAMA_PV_DIARIO'!A:A, A157, '02_CRONOGRAMA_PV_DIARIO'!C:C, C157)</f>
        <v>0</v>
      </c>
      <c r="G157" s="6">
        <f>SUMIFS(F$2:F157, C$2:C157, C157)</f>
        <v>0</v>
      </c>
      <c r="H157" s="6">
        <f>SUMIFS('04_LOG_FIELD_ENTRIES'!J:J, '04_LOG_FIELD_ENTRIES'!B:B, B157, '04_LOG_FIELD_ENTRIES'!D:D, C157, '04_LOG_FIELD_ENTRIES'!K:K, "EV_PRODUCCION")</f>
        <v>0</v>
      </c>
      <c r="I157" s="6">
        <f>SUMIFS(H$2:H157, C$2:C157, C157)</f>
        <v>2337.02</v>
      </c>
      <c r="J157" s="6">
        <f>SUMIFS('04_LOG_FIELD_ENTRIES'!J:J, '04_LOG_FIELD_ENTRIES'!B:B, B157, '04_LOG_FIELD_ENTRIES'!D:D, C157, '04_LOG_FIELD_ENTRIES'!K:K, "AC_*")</f>
        <v>0</v>
      </c>
      <c r="K157" s="6">
        <f>SUMIFS(J$2:J157, C$2:C157, C157)</f>
        <v>1299.2</v>
      </c>
      <c r="L157" s="6">
        <f t="shared" si="10"/>
        <v>1037.82</v>
      </c>
      <c r="M157" s="6">
        <f t="shared" si="11"/>
        <v>2337.02</v>
      </c>
      <c r="N157" s="21">
        <f t="shared" si="12"/>
        <v>1</v>
      </c>
      <c r="O157" s="21">
        <f t="shared" si="13"/>
        <v>1.7988146551724138</v>
      </c>
      <c r="P157" s="2" t="str">
        <f t="shared" si="14"/>
        <v>SALUDABLE</v>
      </c>
    </row>
    <row r="158" spans="1:16" ht="19.95" customHeight="1" x14ac:dyDescent="0.3">
      <c r="A158" s="4">
        <v>40</v>
      </c>
      <c r="B158" s="4" t="s">
        <v>102</v>
      </c>
      <c r="C158" s="2" t="s">
        <v>14</v>
      </c>
      <c r="D158" s="3" t="s">
        <v>71</v>
      </c>
      <c r="E158" s="6">
        <f>SUM('01_PRESUPUESTO_CRONOGRAMA_BASE'!G2:G3)</f>
        <v>16336.4</v>
      </c>
      <c r="F158" s="6">
        <f>SUMIFS('02_CRONOGRAMA_PV_DIARIO'!E:E, '02_CRONOGRAMA_PV_DIARIO'!A:A, A158, '02_CRONOGRAMA_PV_DIARIO'!C:C, C158)</f>
        <v>0</v>
      </c>
      <c r="G158" s="6">
        <f>SUMIFS(F$2:F158, C$2:C158, C158)</f>
        <v>16336.459999999994</v>
      </c>
      <c r="H158" s="6">
        <f>SUMIFS('04_LOG_FIELD_ENTRIES'!J:J, '04_LOG_FIELD_ENTRIES'!B:B, B158, '04_LOG_FIELD_ENTRIES'!D:D, C158, '04_LOG_FIELD_ENTRIES'!K:K, "EV_PRODUCCION")</f>
        <v>0</v>
      </c>
      <c r="I158" s="6">
        <f>SUMIFS(H$2:H158, C$2:C158, C158)</f>
        <v>5823.2</v>
      </c>
      <c r="J158" s="6">
        <f>SUMIFS('04_LOG_FIELD_ENTRIES'!J:J, '04_LOG_FIELD_ENTRIES'!B:B, B158, '04_LOG_FIELD_ENTRIES'!D:D, C158, '04_LOG_FIELD_ENTRIES'!K:K, "AC_*")</f>
        <v>0</v>
      </c>
      <c r="K158" s="6">
        <f>SUMIFS(J$2:J158, C$2:C158, C158)</f>
        <v>6331</v>
      </c>
      <c r="L158" s="6">
        <f t="shared" si="10"/>
        <v>-507.80000000000018</v>
      </c>
      <c r="M158" s="6">
        <f t="shared" si="11"/>
        <v>-10513.259999999995</v>
      </c>
      <c r="N158" s="21">
        <f t="shared" si="12"/>
        <v>0.35645421345872985</v>
      </c>
      <c r="O158" s="21">
        <f t="shared" si="13"/>
        <v>0.91979150213236449</v>
      </c>
      <c r="P158" s="2" t="str">
        <f t="shared" si="14"/>
        <v>ALERTA RETRASO</v>
      </c>
    </row>
    <row r="159" spans="1:16" ht="19.95" customHeight="1" x14ac:dyDescent="0.3">
      <c r="A159" s="4">
        <v>40</v>
      </c>
      <c r="B159" s="4" t="s">
        <v>102</v>
      </c>
      <c r="C159" s="2" t="s">
        <v>23</v>
      </c>
      <c r="D159" s="3" t="s">
        <v>72</v>
      </c>
      <c r="E159" s="6">
        <f>SUM('01_PRESUPUESTO_CRONOGRAMA_BASE'!G4:G9)</f>
        <v>372046.56</v>
      </c>
      <c r="F159" s="6">
        <f>SUMIFS('02_CRONOGRAMA_PV_DIARIO'!E:E, '02_CRONOGRAMA_PV_DIARIO'!A:A, A159, '02_CRONOGRAMA_PV_DIARIO'!C:C, C159)</f>
        <v>7042.72</v>
      </c>
      <c r="G159" s="6">
        <f>SUMIFS(F$2:F159, C$2:C159, C159)</f>
        <v>358920.75999999983</v>
      </c>
      <c r="H159" s="6">
        <f>SUMIFS('04_LOG_FIELD_ENTRIES'!J:J, '04_LOG_FIELD_ENTRIES'!B:B, B159, '04_LOG_FIELD_ENTRIES'!D:D, C159, '04_LOG_FIELD_ENTRIES'!K:K, "EV_PRODUCCION")</f>
        <v>0</v>
      </c>
      <c r="I159" s="6">
        <f>SUMIFS(H$2:H159, C$2:C159, C159)</f>
        <v>44254.52</v>
      </c>
      <c r="J159" s="6">
        <f>SUMIFS('04_LOG_FIELD_ENTRIES'!J:J, '04_LOG_FIELD_ENTRIES'!B:B, B159, '04_LOG_FIELD_ENTRIES'!D:D, C159, '04_LOG_FIELD_ENTRIES'!K:K, "AC_*")</f>
        <v>0</v>
      </c>
      <c r="K159" s="6">
        <f>SUMIFS(J$2:J159, C$2:C159, C159)</f>
        <v>34269.199999999997</v>
      </c>
      <c r="L159" s="6">
        <f t="shared" si="10"/>
        <v>9985.32</v>
      </c>
      <c r="M159" s="6">
        <f t="shared" si="11"/>
        <v>-314666.23999999982</v>
      </c>
      <c r="N159" s="21">
        <f t="shared" si="12"/>
        <v>0.1232988585001325</v>
      </c>
      <c r="O159" s="21">
        <f t="shared" si="13"/>
        <v>1.291378847478202</v>
      </c>
      <c r="P159" s="2" t="str">
        <f t="shared" si="14"/>
        <v>ALERTA RETRASO</v>
      </c>
    </row>
    <row r="160" spans="1:16" ht="19.95" customHeight="1" x14ac:dyDescent="0.3">
      <c r="A160" s="4">
        <v>40</v>
      </c>
      <c r="B160" s="4" t="s">
        <v>102</v>
      </c>
      <c r="C160" s="2" t="s">
        <v>49</v>
      </c>
      <c r="D160" s="3" t="s">
        <v>73</v>
      </c>
      <c r="E160" s="6">
        <f>SUM('01_PRESUPUESTO_CRONOGRAMA_BASE'!G10:G11)</f>
        <v>57565.2</v>
      </c>
      <c r="F160" s="6">
        <f>SUMIFS('02_CRONOGRAMA_PV_DIARIO'!E:E, '02_CRONOGRAMA_PV_DIARIO'!A:A, A160, '02_CRONOGRAMA_PV_DIARIO'!C:C, C160)</f>
        <v>2702.08</v>
      </c>
      <c r="G160" s="6">
        <f>SUMIFS(F$2:F160, C$2:C160, C160)</f>
        <v>41936.920000000013</v>
      </c>
      <c r="H160" s="6">
        <f>SUMIFS('04_LOG_FIELD_ENTRIES'!J:J, '04_LOG_FIELD_ENTRIES'!B:B, B160, '04_LOG_FIELD_ENTRIES'!D:D, C160, '04_LOG_FIELD_ENTRIES'!K:K, "EV_PRODUCCION")</f>
        <v>0</v>
      </c>
      <c r="I160" s="6">
        <f>SUMIFS(H$2:H160, C$2:C160, C160)</f>
        <v>9327.4500000000007</v>
      </c>
      <c r="J160" s="6">
        <f>SUMIFS('04_LOG_FIELD_ENTRIES'!J:J, '04_LOG_FIELD_ENTRIES'!B:B, B160, '04_LOG_FIELD_ENTRIES'!D:D, C160, '04_LOG_FIELD_ENTRIES'!K:K, "AC_*")</f>
        <v>0</v>
      </c>
      <c r="K160" s="6">
        <f>SUMIFS(J$2:J160, C$2:C160, C160)</f>
        <v>7730.8</v>
      </c>
      <c r="L160" s="6">
        <f t="shared" si="10"/>
        <v>1596.6500000000005</v>
      </c>
      <c r="M160" s="6">
        <f t="shared" si="11"/>
        <v>-32609.470000000012</v>
      </c>
      <c r="N160" s="21">
        <f t="shared" si="12"/>
        <v>0.22241619079321986</v>
      </c>
      <c r="O160" s="21">
        <f t="shared" si="13"/>
        <v>1.2065310187820149</v>
      </c>
      <c r="P160" s="2" t="str">
        <f t="shared" si="14"/>
        <v>ALERTA RETRASO</v>
      </c>
    </row>
    <row r="161" spans="1:16" ht="19.95" customHeight="1" x14ac:dyDescent="0.3">
      <c r="A161" s="4">
        <v>40</v>
      </c>
      <c r="B161" s="4" t="s">
        <v>102</v>
      </c>
      <c r="C161" s="2" t="s">
        <v>56</v>
      </c>
      <c r="D161" s="3" t="s">
        <v>74</v>
      </c>
      <c r="E161" s="6">
        <f>SUM('01_PRESUPUESTO_CRONOGRAMA_BASE'!G12:G12)</f>
        <v>9348.06</v>
      </c>
      <c r="F161" s="6">
        <f>SUMIFS('02_CRONOGRAMA_PV_DIARIO'!E:E, '02_CRONOGRAMA_PV_DIARIO'!A:A, A161, '02_CRONOGRAMA_PV_DIARIO'!C:C, C161)</f>
        <v>0</v>
      </c>
      <c r="G161" s="6">
        <f>SUMIFS(F$2:F161, C$2:C161, C161)</f>
        <v>0</v>
      </c>
      <c r="H161" s="6">
        <f>SUMIFS('04_LOG_FIELD_ENTRIES'!J:J, '04_LOG_FIELD_ENTRIES'!B:B, B161, '04_LOG_FIELD_ENTRIES'!D:D, C161, '04_LOG_FIELD_ENTRIES'!K:K, "EV_PRODUCCION")</f>
        <v>0</v>
      </c>
      <c r="I161" s="6">
        <f>SUMIFS(H$2:H161, C$2:C161, C161)</f>
        <v>2337.02</v>
      </c>
      <c r="J161" s="6">
        <f>SUMIFS('04_LOG_FIELD_ENTRIES'!J:J, '04_LOG_FIELD_ENTRIES'!B:B, B161, '04_LOG_FIELD_ENTRIES'!D:D, C161, '04_LOG_FIELD_ENTRIES'!K:K, "AC_*")</f>
        <v>0</v>
      </c>
      <c r="K161" s="6">
        <f>SUMIFS(J$2:J161, C$2:C161, C161)</f>
        <v>1299.2</v>
      </c>
      <c r="L161" s="6">
        <f t="shared" si="10"/>
        <v>1037.82</v>
      </c>
      <c r="M161" s="6">
        <f t="shared" si="11"/>
        <v>2337.02</v>
      </c>
      <c r="N161" s="21">
        <f t="shared" si="12"/>
        <v>1</v>
      </c>
      <c r="O161" s="21">
        <f t="shared" si="13"/>
        <v>1.7988146551724138</v>
      </c>
      <c r="P161" s="2" t="str">
        <f t="shared" si="14"/>
        <v>SALUDABLE</v>
      </c>
    </row>
    <row r="162" spans="1:16" ht="19.95" customHeight="1" x14ac:dyDescent="0.3">
      <c r="A162" s="4">
        <v>41</v>
      </c>
      <c r="B162" s="4" t="s">
        <v>44</v>
      </c>
      <c r="C162" s="2" t="s">
        <v>14</v>
      </c>
      <c r="D162" s="3" t="s">
        <v>71</v>
      </c>
      <c r="E162" s="6">
        <f>SUM('01_PRESUPUESTO_CRONOGRAMA_BASE'!G2:G3)</f>
        <v>16336.4</v>
      </c>
      <c r="F162" s="6">
        <f>SUMIFS('02_CRONOGRAMA_PV_DIARIO'!E:E, '02_CRONOGRAMA_PV_DIARIO'!A:A, A162, '02_CRONOGRAMA_PV_DIARIO'!C:C, C162)</f>
        <v>0</v>
      </c>
      <c r="G162" s="6">
        <f>SUMIFS(F$2:F162, C$2:C162, C162)</f>
        <v>16336.459999999994</v>
      </c>
      <c r="H162" s="6">
        <f>SUMIFS('04_LOG_FIELD_ENTRIES'!J:J, '04_LOG_FIELD_ENTRIES'!B:B, B162, '04_LOG_FIELD_ENTRIES'!D:D, C162, '04_LOG_FIELD_ENTRIES'!K:K, "EV_PRODUCCION")</f>
        <v>0</v>
      </c>
      <c r="I162" s="6">
        <f>SUMIFS(H$2:H162, C$2:C162, C162)</f>
        <v>5823.2</v>
      </c>
      <c r="J162" s="6">
        <f>SUMIFS('04_LOG_FIELD_ENTRIES'!J:J, '04_LOG_FIELD_ENTRIES'!B:B, B162, '04_LOG_FIELD_ENTRIES'!D:D, C162, '04_LOG_FIELD_ENTRIES'!K:K, "AC_*")</f>
        <v>0</v>
      </c>
      <c r="K162" s="6">
        <f>SUMIFS(J$2:J162, C$2:C162, C162)</f>
        <v>6331</v>
      </c>
      <c r="L162" s="6">
        <f t="shared" si="10"/>
        <v>-507.80000000000018</v>
      </c>
      <c r="M162" s="6">
        <f t="shared" si="11"/>
        <v>-10513.259999999995</v>
      </c>
      <c r="N162" s="21">
        <f t="shared" si="12"/>
        <v>0.35645421345872985</v>
      </c>
      <c r="O162" s="21">
        <f t="shared" si="13"/>
        <v>0.91979150213236449</v>
      </c>
      <c r="P162" s="2" t="str">
        <f t="shared" si="14"/>
        <v>ALERTA RETRASO</v>
      </c>
    </row>
    <row r="163" spans="1:16" ht="19.95" customHeight="1" x14ac:dyDescent="0.3">
      <c r="A163" s="4">
        <v>41</v>
      </c>
      <c r="B163" s="4" t="s">
        <v>44</v>
      </c>
      <c r="C163" s="2" t="s">
        <v>23</v>
      </c>
      <c r="D163" s="3" t="s">
        <v>72</v>
      </c>
      <c r="E163" s="6">
        <f>SUM('01_PRESUPUESTO_CRONOGRAMA_BASE'!G4:G9)</f>
        <v>372046.56</v>
      </c>
      <c r="F163" s="6">
        <f>SUMIFS('02_CRONOGRAMA_PV_DIARIO'!E:E, '02_CRONOGRAMA_PV_DIARIO'!A:A, A163, '02_CRONOGRAMA_PV_DIARIO'!C:C, C163)</f>
        <v>7042.72</v>
      </c>
      <c r="G163" s="6">
        <f>SUMIFS(F$2:F163, C$2:C163, C163)</f>
        <v>365963.47999999981</v>
      </c>
      <c r="H163" s="6">
        <f>SUMIFS('04_LOG_FIELD_ENTRIES'!J:J, '04_LOG_FIELD_ENTRIES'!B:B, B163, '04_LOG_FIELD_ENTRIES'!D:D, C163, '04_LOG_FIELD_ENTRIES'!K:K, "EV_PRODUCCION")</f>
        <v>0</v>
      </c>
      <c r="I163" s="6">
        <f>SUMIFS(H$2:H163, C$2:C163, C163)</f>
        <v>44254.52</v>
      </c>
      <c r="J163" s="6">
        <f>SUMIFS('04_LOG_FIELD_ENTRIES'!J:J, '04_LOG_FIELD_ENTRIES'!B:B, B163, '04_LOG_FIELD_ENTRIES'!D:D, C163, '04_LOG_FIELD_ENTRIES'!K:K, "AC_*")</f>
        <v>0</v>
      </c>
      <c r="K163" s="6">
        <f>SUMIFS(J$2:J163, C$2:C163, C163)</f>
        <v>34269.199999999997</v>
      </c>
      <c r="L163" s="6">
        <f t="shared" si="10"/>
        <v>9985.32</v>
      </c>
      <c r="M163" s="6">
        <f t="shared" si="11"/>
        <v>-321708.95999999979</v>
      </c>
      <c r="N163" s="21">
        <f t="shared" si="12"/>
        <v>0.12092605524463812</v>
      </c>
      <c r="O163" s="21">
        <f t="shared" si="13"/>
        <v>1.291378847478202</v>
      </c>
      <c r="P163" s="2" t="str">
        <f t="shared" si="14"/>
        <v>ALERTA RETRASO</v>
      </c>
    </row>
    <row r="164" spans="1:16" ht="19.95" customHeight="1" x14ac:dyDescent="0.3">
      <c r="A164" s="4">
        <v>41</v>
      </c>
      <c r="B164" s="4" t="s">
        <v>44</v>
      </c>
      <c r="C164" s="2" t="s">
        <v>49</v>
      </c>
      <c r="D164" s="3" t="s">
        <v>73</v>
      </c>
      <c r="E164" s="6">
        <f>SUM('01_PRESUPUESTO_CRONOGRAMA_BASE'!G10:G11)</f>
        <v>57565.2</v>
      </c>
      <c r="F164" s="6">
        <f>SUMIFS('02_CRONOGRAMA_PV_DIARIO'!E:E, '02_CRONOGRAMA_PV_DIARIO'!A:A, A164, '02_CRONOGRAMA_PV_DIARIO'!C:C, C164)</f>
        <v>2702.08</v>
      </c>
      <c r="G164" s="6">
        <f>SUMIFS(F$2:F164, C$2:C164, C164)</f>
        <v>44639.000000000015</v>
      </c>
      <c r="H164" s="6">
        <f>SUMIFS('04_LOG_FIELD_ENTRIES'!J:J, '04_LOG_FIELD_ENTRIES'!B:B, B164, '04_LOG_FIELD_ENTRIES'!D:D, C164, '04_LOG_FIELD_ENTRIES'!K:K, "EV_PRODUCCION")</f>
        <v>0</v>
      </c>
      <c r="I164" s="6">
        <f>SUMIFS(H$2:H164, C$2:C164, C164)</f>
        <v>9327.4500000000007</v>
      </c>
      <c r="J164" s="6">
        <f>SUMIFS('04_LOG_FIELD_ENTRIES'!J:J, '04_LOG_FIELD_ENTRIES'!B:B, B164, '04_LOG_FIELD_ENTRIES'!D:D, C164, '04_LOG_FIELD_ENTRIES'!K:K, "AC_*")</f>
        <v>0</v>
      </c>
      <c r="K164" s="6">
        <f>SUMIFS(J$2:J164, C$2:C164, C164)</f>
        <v>7730.8</v>
      </c>
      <c r="L164" s="6">
        <f t="shared" si="10"/>
        <v>1596.6500000000005</v>
      </c>
      <c r="M164" s="6">
        <f t="shared" si="11"/>
        <v>-35311.550000000017</v>
      </c>
      <c r="N164" s="21">
        <f t="shared" si="12"/>
        <v>0.20895293353345723</v>
      </c>
      <c r="O164" s="21">
        <f t="shared" si="13"/>
        <v>1.2065310187820149</v>
      </c>
      <c r="P164" s="2" t="str">
        <f t="shared" si="14"/>
        <v>ALERTA RETRASO</v>
      </c>
    </row>
    <row r="165" spans="1:16" ht="19.95" customHeight="1" x14ac:dyDescent="0.3">
      <c r="A165" s="4">
        <v>41</v>
      </c>
      <c r="B165" s="4" t="s">
        <v>44</v>
      </c>
      <c r="C165" s="2" t="s">
        <v>56</v>
      </c>
      <c r="D165" s="3" t="s">
        <v>74</v>
      </c>
      <c r="E165" s="6">
        <f>SUM('01_PRESUPUESTO_CRONOGRAMA_BASE'!G12:G12)</f>
        <v>9348.06</v>
      </c>
      <c r="F165" s="6">
        <f>SUMIFS('02_CRONOGRAMA_PV_DIARIO'!E:E, '02_CRONOGRAMA_PV_DIARIO'!A:A, A165, '02_CRONOGRAMA_PV_DIARIO'!C:C, C165)</f>
        <v>0</v>
      </c>
      <c r="G165" s="6">
        <f>SUMIFS(F$2:F165, C$2:C165, C165)</f>
        <v>0</v>
      </c>
      <c r="H165" s="6">
        <f>SUMIFS('04_LOG_FIELD_ENTRIES'!J:J, '04_LOG_FIELD_ENTRIES'!B:B, B165, '04_LOG_FIELD_ENTRIES'!D:D, C165, '04_LOG_FIELD_ENTRIES'!K:K, "EV_PRODUCCION")</f>
        <v>0</v>
      </c>
      <c r="I165" s="6">
        <f>SUMIFS(H$2:H165, C$2:C165, C165)</f>
        <v>2337.02</v>
      </c>
      <c r="J165" s="6">
        <f>SUMIFS('04_LOG_FIELD_ENTRIES'!J:J, '04_LOG_FIELD_ENTRIES'!B:B, B165, '04_LOG_FIELD_ENTRIES'!D:D, C165, '04_LOG_FIELD_ENTRIES'!K:K, "AC_*")</f>
        <v>0</v>
      </c>
      <c r="K165" s="6">
        <f>SUMIFS(J$2:J165, C$2:C165, C165)</f>
        <v>1299.2</v>
      </c>
      <c r="L165" s="6">
        <f t="shared" si="10"/>
        <v>1037.82</v>
      </c>
      <c r="M165" s="6">
        <f t="shared" si="11"/>
        <v>2337.02</v>
      </c>
      <c r="N165" s="21">
        <f t="shared" si="12"/>
        <v>1</v>
      </c>
      <c r="O165" s="21">
        <f t="shared" si="13"/>
        <v>1.7988146551724138</v>
      </c>
      <c r="P165" s="2" t="str">
        <f t="shared" si="14"/>
        <v>SALUDABLE</v>
      </c>
    </row>
    <row r="166" spans="1:16" ht="19.95" customHeight="1" x14ac:dyDescent="0.3">
      <c r="A166" s="4">
        <v>42</v>
      </c>
      <c r="B166" s="4" t="s">
        <v>103</v>
      </c>
      <c r="C166" s="2" t="s">
        <v>14</v>
      </c>
      <c r="D166" s="3" t="s">
        <v>71</v>
      </c>
      <c r="E166" s="6">
        <f>SUM('01_PRESUPUESTO_CRONOGRAMA_BASE'!G2:G3)</f>
        <v>16336.4</v>
      </c>
      <c r="F166" s="6">
        <f>SUMIFS('02_CRONOGRAMA_PV_DIARIO'!E:E, '02_CRONOGRAMA_PV_DIARIO'!A:A, A166, '02_CRONOGRAMA_PV_DIARIO'!C:C, C166)</f>
        <v>0</v>
      </c>
      <c r="G166" s="6">
        <f>SUMIFS(F$2:F166, C$2:C166, C166)</f>
        <v>16336.459999999994</v>
      </c>
      <c r="H166" s="6">
        <f>SUMIFS('04_LOG_FIELD_ENTRIES'!J:J, '04_LOG_FIELD_ENTRIES'!B:B, B166, '04_LOG_FIELD_ENTRIES'!D:D, C166, '04_LOG_FIELD_ENTRIES'!K:K, "EV_PRODUCCION")</f>
        <v>0</v>
      </c>
      <c r="I166" s="6">
        <f>SUMIFS(H$2:H166, C$2:C166, C166)</f>
        <v>5823.2</v>
      </c>
      <c r="J166" s="6">
        <f>SUMIFS('04_LOG_FIELD_ENTRIES'!J:J, '04_LOG_FIELD_ENTRIES'!B:B, B166, '04_LOG_FIELD_ENTRIES'!D:D, C166, '04_LOG_FIELD_ENTRIES'!K:K, "AC_*")</f>
        <v>0</v>
      </c>
      <c r="K166" s="6">
        <f>SUMIFS(J$2:J166, C$2:C166, C166)</f>
        <v>6331</v>
      </c>
      <c r="L166" s="6">
        <f t="shared" si="10"/>
        <v>-507.80000000000018</v>
      </c>
      <c r="M166" s="6">
        <f t="shared" si="11"/>
        <v>-10513.259999999995</v>
      </c>
      <c r="N166" s="21">
        <f t="shared" si="12"/>
        <v>0.35645421345872985</v>
      </c>
      <c r="O166" s="21">
        <f t="shared" si="13"/>
        <v>0.91979150213236449</v>
      </c>
      <c r="P166" s="2" t="str">
        <f t="shared" si="14"/>
        <v>ALERTA RETRASO</v>
      </c>
    </row>
    <row r="167" spans="1:16" ht="19.95" customHeight="1" x14ac:dyDescent="0.3">
      <c r="A167" s="4">
        <v>42</v>
      </c>
      <c r="B167" s="4" t="s">
        <v>103</v>
      </c>
      <c r="C167" s="2" t="s">
        <v>23</v>
      </c>
      <c r="D167" s="3" t="s">
        <v>72</v>
      </c>
      <c r="E167" s="6">
        <f>SUM('01_PRESUPUESTO_CRONOGRAMA_BASE'!G4:G9)</f>
        <v>372046.56</v>
      </c>
      <c r="F167" s="6">
        <f>SUMIFS('02_CRONOGRAMA_PV_DIARIO'!E:E, '02_CRONOGRAMA_PV_DIARIO'!A:A, A167, '02_CRONOGRAMA_PV_DIARIO'!C:C, C167)</f>
        <v>3041.55</v>
      </c>
      <c r="G167" s="6">
        <f>SUMIFS(F$2:F167, C$2:C167, C167)</f>
        <v>369005.0299999998</v>
      </c>
      <c r="H167" s="6">
        <f>SUMIFS('04_LOG_FIELD_ENTRIES'!J:J, '04_LOG_FIELD_ENTRIES'!B:B, B167, '04_LOG_FIELD_ENTRIES'!D:D, C167, '04_LOG_FIELD_ENTRIES'!K:K, "EV_PRODUCCION")</f>
        <v>0</v>
      </c>
      <c r="I167" s="6">
        <f>SUMIFS(H$2:H167, C$2:C167, C167)</f>
        <v>44254.52</v>
      </c>
      <c r="J167" s="6">
        <f>SUMIFS('04_LOG_FIELD_ENTRIES'!J:J, '04_LOG_FIELD_ENTRIES'!B:B, B167, '04_LOG_FIELD_ENTRIES'!D:D, C167, '04_LOG_FIELD_ENTRIES'!K:K, "AC_*")</f>
        <v>0</v>
      </c>
      <c r="K167" s="6">
        <f>SUMIFS(J$2:J167, C$2:C167, C167)</f>
        <v>34269.199999999997</v>
      </c>
      <c r="L167" s="6">
        <f t="shared" si="10"/>
        <v>9985.32</v>
      </c>
      <c r="M167" s="6">
        <f t="shared" si="11"/>
        <v>-324750.50999999978</v>
      </c>
      <c r="N167" s="21">
        <f t="shared" si="12"/>
        <v>0.11992931370068322</v>
      </c>
      <c r="O167" s="21">
        <f t="shared" si="13"/>
        <v>1.291378847478202</v>
      </c>
      <c r="P167" s="2" t="str">
        <f t="shared" si="14"/>
        <v>ALERTA RETRASO</v>
      </c>
    </row>
    <row r="168" spans="1:16" ht="19.95" customHeight="1" x14ac:dyDescent="0.3">
      <c r="A168" s="4">
        <v>42</v>
      </c>
      <c r="B168" s="4" t="s">
        <v>103</v>
      </c>
      <c r="C168" s="2" t="s">
        <v>49</v>
      </c>
      <c r="D168" s="3" t="s">
        <v>73</v>
      </c>
      <c r="E168" s="6">
        <f>SUM('01_PRESUPUESTO_CRONOGRAMA_BASE'!G10:G11)</f>
        <v>57565.2</v>
      </c>
      <c r="F168" s="6">
        <f>SUMIFS('02_CRONOGRAMA_PV_DIARIO'!E:E, '02_CRONOGRAMA_PV_DIARIO'!A:A, A168, '02_CRONOGRAMA_PV_DIARIO'!C:C, C168)</f>
        <v>2702.08</v>
      </c>
      <c r="G168" s="6">
        <f>SUMIFS(F$2:F168, C$2:C168, C168)</f>
        <v>47341.080000000016</v>
      </c>
      <c r="H168" s="6">
        <f>SUMIFS('04_LOG_FIELD_ENTRIES'!J:J, '04_LOG_FIELD_ENTRIES'!B:B, B168, '04_LOG_FIELD_ENTRIES'!D:D, C168, '04_LOG_FIELD_ENTRIES'!K:K, "EV_PRODUCCION")</f>
        <v>0</v>
      </c>
      <c r="I168" s="6">
        <f>SUMIFS(H$2:H168, C$2:C168, C168)</f>
        <v>9327.4500000000007</v>
      </c>
      <c r="J168" s="6">
        <f>SUMIFS('04_LOG_FIELD_ENTRIES'!J:J, '04_LOG_FIELD_ENTRIES'!B:B, B168, '04_LOG_FIELD_ENTRIES'!D:D, C168, '04_LOG_FIELD_ENTRIES'!K:K, "AC_*")</f>
        <v>0</v>
      </c>
      <c r="K168" s="6">
        <f>SUMIFS(J$2:J168, C$2:C168, C168)</f>
        <v>7730.8</v>
      </c>
      <c r="L168" s="6">
        <f t="shared" si="10"/>
        <v>1596.6500000000005</v>
      </c>
      <c r="M168" s="6">
        <f t="shared" si="11"/>
        <v>-38013.630000000019</v>
      </c>
      <c r="N168" s="21">
        <f t="shared" si="12"/>
        <v>0.19702655706206951</v>
      </c>
      <c r="O168" s="21">
        <f t="shared" si="13"/>
        <v>1.2065310187820149</v>
      </c>
      <c r="P168" s="2" t="str">
        <f t="shared" si="14"/>
        <v>ALERTA RETRASO</v>
      </c>
    </row>
    <row r="169" spans="1:16" ht="19.95" customHeight="1" x14ac:dyDescent="0.3">
      <c r="A169" s="4">
        <v>42</v>
      </c>
      <c r="B169" s="4" t="s">
        <v>103</v>
      </c>
      <c r="C169" s="2" t="s">
        <v>56</v>
      </c>
      <c r="D169" s="3" t="s">
        <v>74</v>
      </c>
      <c r="E169" s="6">
        <f>SUM('01_PRESUPUESTO_CRONOGRAMA_BASE'!G12:G12)</f>
        <v>9348.06</v>
      </c>
      <c r="F169" s="6">
        <f>SUMIFS('02_CRONOGRAMA_PV_DIARIO'!E:E, '02_CRONOGRAMA_PV_DIARIO'!A:A, A169, '02_CRONOGRAMA_PV_DIARIO'!C:C, C169)</f>
        <v>0</v>
      </c>
      <c r="G169" s="6">
        <f>SUMIFS(F$2:F169, C$2:C169, C169)</f>
        <v>0</v>
      </c>
      <c r="H169" s="6">
        <f>SUMIFS('04_LOG_FIELD_ENTRIES'!J:J, '04_LOG_FIELD_ENTRIES'!B:B, B169, '04_LOG_FIELD_ENTRIES'!D:D, C169, '04_LOG_FIELD_ENTRIES'!K:K, "EV_PRODUCCION")</f>
        <v>0</v>
      </c>
      <c r="I169" s="6">
        <f>SUMIFS(H$2:H169, C$2:C169, C169)</f>
        <v>2337.02</v>
      </c>
      <c r="J169" s="6">
        <f>SUMIFS('04_LOG_FIELD_ENTRIES'!J:J, '04_LOG_FIELD_ENTRIES'!B:B, B169, '04_LOG_FIELD_ENTRIES'!D:D, C169, '04_LOG_FIELD_ENTRIES'!K:K, "AC_*")</f>
        <v>0</v>
      </c>
      <c r="K169" s="6">
        <f>SUMIFS(J$2:J169, C$2:C169, C169)</f>
        <v>1299.2</v>
      </c>
      <c r="L169" s="6">
        <f t="shared" si="10"/>
        <v>1037.82</v>
      </c>
      <c r="M169" s="6">
        <f t="shared" si="11"/>
        <v>2337.02</v>
      </c>
      <c r="N169" s="21">
        <f t="shared" si="12"/>
        <v>1</v>
      </c>
      <c r="O169" s="21">
        <f t="shared" si="13"/>
        <v>1.7988146551724138</v>
      </c>
      <c r="P169" s="2" t="str">
        <f t="shared" si="14"/>
        <v>SALUDABLE</v>
      </c>
    </row>
    <row r="170" spans="1:16" ht="19.95" customHeight="1" x14ac:dyDescent="0.3">
      <c r="A170" s="4">
        <v>43</v>
      </c>
      <c r="B170" s="4" t="s">
        <v>47</v>
      </c>
      <c r="C170" s="2" t="s">
        <v>14</v>
      </c>
      <c r="D170" s="3" t="s">
        <v>71</v>
      </c>
      <c r="E170" s="6">
        <f>SUM('01_PRESUPUESTO_CRONOGRAMA_BASE'!G2:G3)</f>
        <v>16336.4</v>
      </c>
      <c r="F170" s="6">
        <f>SUMIFS('02_CRONOGRAMA_PV_DIARIO'!E:E, '02_CRONOGRAMA_PV_DIARIO'!A:A, A170, '02_CRONOGRAMA_PV_DIARIO'!C:C, C170)</f>
        <v>0</v>
      </c>
      <c r="G170" s="6">
        <f>SUMIFS(F$2:F170, C$2:C170, C170)</f>
        <v>16336.459999999994</v>
      </c>
      <c r="H170" s="6">
        <f>SUMIFS('04_LOG_FIELD_ENTRIES'!J:J, '04_LOG_FIELD_ENTRIES'!B:B, B170, '04_LOG_FIELD_ENTRIES'!D:D, C170, '04_LOG_FIELD_ENTRIES'!K:K, "EV_PRODUCCION")</f>
        <v>0</v>
      </c>
      <c r="I170" s="6">
        <f>SUMIFS(H$2:H170, C$2:C170, C170)</f>
        <v>5823.2</v>
      </c>
      <c r="J170" s="6">
        <f>SUMIFS('04_LOG_FIELD_ENTRIES'!J:J, '04_LOG_FIELD_ENTRIES'!B:B, B170, '04_LOG_FIELD_ENTRIES'!D:D, C170, '04_LOG_FIELD_ENTRIES'!K:K, "AC_*")</f>
        <v>0</v>
      </c>
      <c r="K170" s="6">
        <f>SUMIFS(J$2:J170, C$2:C170, C170)</f>
        <v>6331</v>
      </c>
      <c r="L170" s="6">
        <f t="shared" si="10"/>
        <v>-507.80000000000018</v>
      </c>
      <c r="M170" s="6">
        <f t="shared" si="11"/>
        <v>-10513.259999999995</v>
      </c>
      <c r="N170" s="21">
        <f t="shared" si="12"/>
        <v>0.35645421345872985</v>
      </c>
      <c r="O170" s="21">
        <f t="shared" si="13"/>
        <v>0.91979150213236449</v>
      </c>
      <c r="P170" s="2" t="str">
        <f t="shared" si="14"/>
        <v>ALERTA RETRASO</v>
      </c>
    </row>
    <row r="171" spans="1:16" ht="19.95" customHeight="1" x14ac:dyDescent="0.3">
      <c r="A171" s="4">
        <v>43</v>
      </c>
      <c r="B171" s="4" t="s">
        <v>47</v>
      </c>
      <c r="C171" s="2" t="s">
        <v>23</v>
      </c>
      <c r="D171" s="3" t="s">
        <v>72</v>
      </c>
      <c r="E171" s="6">
        <f>SUM('01_PRESUPUESTO_CRONOGRAMA_BASE'!G4:G9)</f>
        <v>372046.56</v>
      </c>
      <c r="F171" s="6">
        <f>SUMIFS('02_CRONOGRAMA_PV_DIARIO'!E:E, '02_CRONOGRAMA_PV_DIARIO'!A:A, A171, '02_CRONOGRAMA_PV_DIARIO'!C:C, C171)</f>
        <v>3041.55</v>
      </c>
      <c r="G171" s="6">
        <f>SUMIFS(F$2:F171, C$2:C171, C171)</f>
        <v>372046.57999999978</v>
      </c>
      <c r="H171" s="6">
        <f>SUMIFS('04_LOG_FIELD_ENTRIES'!J:J, '04_LOG_FIELD_ENTRIES'!B:B, B171, '04_LOG_FIELD_ENTRIES'!D:D, C171, '04_LOG_FIELD_ENTRIES'!K:K, "EV_PRODUCCION")</f>
        <v>0</v>
      </c>
      <c r="I171" s="6">
        <f>SUMIFS(H$2:H171, C$2:C171, C171)</f>
        <v>44254.52</v>
      </c>
      <c r="J171" s="6">
        <f>SUMIFS('04_LOG_FIELD_ENTRIES'!J:J, '04_LOG_FIELD_ENTRIES'!B:B, B171, '04_LOG_FIELD_ENTRIES'!D:D, C171, '04_LOG_FIELD_ENTRIES'!K:K, "AC_*")</f>
        <v>0</v>
      </c>
      <c r="K171" s="6">
        <f>SUMIFS(J$2:J171, C$2:C171, C171)</f>
        <v>34269.199999999997</v>
      </c>
      <c r="L171" s="6">
        <f t="shared" si="10"/>
        <v>9985.32</v>
      </c>
      <c r="M171" s="6">
        <f t="shared" si="11"/>
        <v>-327792.05999999976</v>
      </c>
      <c r="N171" s="21">
        <f t="shared" si="12"/>
        <v>0.11894886925180181</v>
      </c>
      <c r="O171" s="21">
        <f t="shared" si="13"/>
        <v>1.291378847478202</v>
      </c>
      <c r="P171" s="2" t="str">
        <f t="shared" si="14"/>
        <v>ALERTA RETRASO</v>
      </c>
    </row>
    <row r="172" spans="1:16" ht="19.95" customHeight="1" x14ac:dyDescent="0.3">
      <c r="A172" s="4">
        <v>43</v>
      </c>
      <c r="B172" s="4" t="s">
        <v>47</v>
      </c>
      <c r="C172" s="2" t="s">
        <v>49</v>
      </c>
      <c r="D172" s="3" t="s">
        <v>73</v>
      </c>
      <c r="E172" s="6">
        <f>SUM('01_PRESUPUESTO_CRONOGRAMA_BASE'!G10:G11)</f>
        <v>57565.2</v>
      </c>
      <c r="F172" s="6">
        <f>SUMIFS('02_CRONOGRAMA_PV_DIARIO'!E:E, '02_CRONOGRAMA_PV_DIARIO'!A:A, A172, '02_CRONOGRAMA_PV_DIARIO'!C:C, C172)</f>
        <v>2702.08</v>
      </c>
      <c r="G172" s="6">
        <f>SUMIFS(F$2:F172, C$2:C172, C172)</f>
        <v>50043.160000000018</v>
      </c>
      <c r="H172" s="6">
        <f>SUMIFS('04_LOG_FIELD_ENTRIES'!J:J, '04_LOG_FIELD_ENTRIES'!B:B, B172, '04_LOG_FIELD_ENTRIES'!D:D, C172, '04_LOG_FIELD_ENTRIES'!K:K, "EV_PRODUCCION")</f>
        <v>0</v>
      </c>
      <c r="I172" s="6">
        <f>SUMIFS(H$2:H172, C$2:C172, C172)</f>
        <v>9327.4500000000007</v>
      </c>
      <c r="J172" s="6">
        <f>SUMIFS('04_LOG_FIELD_ENTRIES'!J:J, '04_LOG_FIELD_ENTRIES'!B:B, B172, '04_LOG_FIELD_ENTRIES'!D:D, C172, '04_LOG_FIELD_ENTRIES'!K:K, "AC_*")</f>
        <v>0</v>
      </c>
      <c r="K172" s="6">
        <f>SUMIFS(J$2:J172, C$2:C172, C172)</f>
        <v>7730.8</v>
      </c>
      <c r="L172" s="6">
        <f t="shared" si="10"/>
        <v>1596.6500000000005</v>
      </c>
      <c r="M172" s="6">
        <f t="shared" si="11"/>
        <v>-40715.710000000021</v>
      </c>
      <c r="N172" s="21">
        <f t="shared" si="12"/>
        <v>0.18638810978363471</v>
      </c>
      <c r="O172" s="21">
        <f t="shared" si="13"/>
        <v>1.2065310187820149</v>
      </c>
      <c r="P172" s="2" t="str">
        <f t="shared" si="14"/>
        <v>ALERTA RETRASO</v>
      </c>
    </row>
    <row r="173" spans="1:16" ht="19.95" customHeight="1" x14ac:dyDescent="0.3">
      <c r="A173" s="4">
        <v>43</v>
      </c>
      <c r="B173" s="4" t="s">
        <v>47</v>
      </c>
      <c r="C173" s="2" t="s">
        <v>56</v>
      </c>
      <c r="D173" s="3" t="s">
        <v>74</v>
      </c>
      <c r="E173" s="6">
        <f>SUM('01_PRESUPUESTO_CRONOGRAMA_BASE'!G12:G12)</f>
        <v>9348.06</v>
      </c>
      <c r="F173" s="6">
        <f>SUMIFS('02_CRONOGRAMA_PV_DIARIO'!E:E, '02_CRONOGRAMA_PV_DIARIO'!A:A, A173, '02_CRONOGRAMA_PV_DIARIO'!C:C, C173)</f>
        <v>0</v>
      </c>
      <c r="G173" s="6">
        <f>SUMIFS(F$2:F173, C$2:C173, C173)</f>
        <v>0</v>
      </c>
      <c r="H173" s="6">
        <f>SUMIFS('04_LOG_FIELD_ENTRIES'!J:J, '04_LOG_FIELD_ENTRIES'!B:B, B173, '04_LOG_FIELD_ENTRIES'!D:D, C173, '04_LOG_FIELD_ENTRIES'!K:K, "EV_PRODUCCION")</f>
        <v>0</v>
      </c>
      <c r="I173" s="6">
        <f>SUMIFS(H$2:H173, C$2:C173, C173)</f>
        <v>2337.02</v>
      </c>
      <c r="J173" s="6">
        <f>SUMIFS('04_LOG_FIELD_ENTRIES'!J:J, '04_LOG_FIELD_ENTRIES'!B:B, B173, '04_LOG_FIELD_ENTRIES'!D:D, C173, '04_LOG_FIELD_ENTRIES'!K:K, "AC_*")</f>
        <v>0</v>
      </c>
      <c r="K173" s="6">
        <f>SUMIFS(J$2:J173, C$2:C173, C173)</f>
        <v>1299.2</v>
      </c>
      <c r="L173" s="6">
        <f t="shared" si="10"/>
        <v>1037.82</v>
      </c>
      <c r="M173" s="6">
        <f t="shared" si="11"/>
        <v>2337.02</v>
      </c>
      <c r="N173" s="21">
        <f t="shared" si="12"/>
        <v>1</v>
      </c>
      <c r="O173" s="21">
        <f t="shared" si="13"/>
        <v>1.7988146551724138</v>
      </c>
      <c r="P173" s="2" t="str">
        <f t="shared" si="14"/>
        <v>SALUDABLE</v>
      </c>
    </row>
    <row r="174" spans="1:16" ht="19.95" customHeight="1" x14ac:dyDescent="0.3">
      <c r="A174" s="4">
        <v>44</v>
      </c>
      <c r="B174" s="4" t="s">
        <v>104</v>
      </c>
      <c r="C174" s="2" t="s">
        <v>14</v>
      </c>
      <c r="D174" s="3" t="s">
        <v>71</v>
      </c>
      <c r="E174" s="6">
        <f>SUM('01_PRESUPUESTO_CRONOGRAMA_BASE'!G2:G3)</f>
        <v>16336.4</v>
      </c>
      <c r="F174" s="6">
        <f>SUMIFS('02_CRONOGRAMA_PV_DIARIO'!E:E, '02_CRONOGRAMA_PV_DIARIO'!A:A, A174, '02_CRONOGRAMA_PV_DIARIO'!C:C, C174)</f>
        <v>0</v>
      </c>
      <c r="G174" s="6">
        <f>SUMIFS(F$2:F174, C$2:C174, C174)</f>
        <v>16336.459999999994</v>
      </c>
      <c r="H174" s="6">
        <f>SUMIFS('04_LOG_FIELD_ENTRIES'!J:J, '04_LOG_FIELD_ENTRIES'!B:B, B174, '04_LOG_FIELD_ENTRIES'!D:D, C174, '04_LOG_FIELD_ENTRIES'!K:K, "EV_PRODUCCION")</f>
        <v>0</v>
      </c>
      <c r="I174" s="6">
        <f>SUMIFS(H$2:H174, C$2:C174, C174)</f>
        <v>5823.2</v>
      </c>
      <c r="J174" s="6">
        <f>SUMIFS('04_LOG_FIELD_ENTRIES'!J:J, '04_LOG_FIELD_ENTRIES'!B:B, B174, '04_LOG_FIELD_ENTRIES'!D:D, C174, '04_LOG_FIELD_ENTRIES'!K:K, "AC_*")</f>
        <v>0</v>
      </c>
      <c r="K174" s="6">
        <f>SUMIFS(J$2:J174, C$2:C174, C174)</f>
        <v>6331</v>
      </c>
      <c r="L174" s="6">
        <f t="shared" si="10"/>
        <v>-507.80000000000018</v>
      </c>
      <c r="M174" s="6">
        <f t="shared" si="11"/>
        <v>-10513.259999999995</v>
      </c>
      <c r="N174" s="21">
        <f t="shared" si="12"/>
        <v>0.35645421345872985</v>
      </c>
      <c r="O174" s="21">
        <f t="shared" si="13"/>
        <v>0.91979150213236449</v>
      </c>
      <c r="P174" s="2" t="str">
        <f t="shared" si="14"/>
        <v>ALERTA RETRASO</v>
      </c>
    </row>
    <row r="175" spans="1:16" ht="19.95" customHeight="1" x14ac:dyDescent="0.3">
      <c r="A175" s="4">
        <v>44</v>
      </c>
      <c r="B175" s="4" t="s">
        <v>104</v>
      </c>
      <c r="C175" s="2" t="s">
        <v>23</v>
      </c>
      <c r="D175" s="3" t="s">
        <v>72</v>
      </c>
      <c r="E175" s="6">
        <f>SUM('01_PRESUPUESTO_CRONOGRAMA_BASE'!G4:G9)</f>
        <v>372046.56</v>
      </c>
      <c r="F175" s="6">
        <f>SUMIFS('02_CRONOGRAMA_PV_DIARIO'!E:E, '02_CRONOGRAMA_PV_DIARIO'!A:A, A175, '02_CRONOGRAMA_PV_DIARIO'!C:C, C175)</f>
        <v>0</v>
      </c>
      <c r="G175" s="6">
        <f>SUMIFS(F$2:F175, C$2:C175, C175)</f>
        <v>372046.57999999978</v>
      </c>
      <c r="H175" s="6">
        <f>SUMIFS('04_LOG_FIELD_ENTRIES'!J:J, '04_LOG_FIELD_ENTRIES'!B:B, B175, '04_LOG_FIELD_ENTRIES'!D:D, C175, '04_LOG_FIELD_ENTRIES'!K:K, "EV_PRODUCCION")</f>
        <v>0</v>
      </c>
      <c r="I175" s="6">
        <f>SUMIFS(H$2:H175, C$2:C175, C175)</f>
        <v>44254.52</v>
      </c>
      <c r="J175" s="6">
        <f>SUMIFS('04_LOG_FIELD_ENTRIES'!J:J, '04_LOG_FIELD_ENTRIES'!B:B, B175, '04_LOG_FIELD_ENTRIES'!D:D, C175, '04_LOG_FIELD_ENTRIES'!K:K, "AC_*")</f>
        <v>0</v>
      </c>
      <c r="K175" s="6">
        <f>SUMIFS(J$2:J175, C$2:C175, C175)</f>
        <v>34269.199999999997</v>
      </c>
      <c r="L175" s="6">
        <f t="shared" si="10"/>
        <v>9985.32</v>
      </c>
      <c r="M175" s="6">
        <f t="shared" si="11"/>
        <v>-327792.05999999976</v>
      </c>
      <c r="N175" s="21">
        <f t="shared" si="12"/>
        <v>0.11894886925180181</v>
      </c>
      <c r="O175" s="21">
        <f t="shared" si="13"/>
        <v>1.291378847478202</v>
      </c>
      <c r="P175" s="2" t="str">
        <f t="shared" si="14"/>
        <v>ALERTA RETRASO</v>
      </c>
    </row>
    <row r="176" spans="1:16" ht="19.95" customHeight="1" x14ac:dyDescent="0.3">
      <c r="A176" s="4">
        <v>44</v>
      </c>
      <c r="B176" s="4" t="s">
        <v>104</v>
      </c>
      <c r="C176" s="2" t="s">
        <v>49</v>
      </c>
      <c r="D176" s="3" t="s">
        <v>73</v>
      </c>
      <c r="E176" s="6">
        <f>SUM('01_PRESUPUESTO_CRONOGRAMA_BASE'!G10:G11)</f>
        <v>57565.2</v>
      </c>
      <c r="F176" s="6">
        <f>SUMIFS('02_CRONOGRAMA_PV_DIARIO'!E:E, '02_CRONOGRAMA_PV_DIARIO'!A:A, A176, '02_CRONOGRAMA_PV_DIARIO'!C:C, C176)</f>
        <v>940.26</v>
      </c>
      <c r="G176" s="6">
        <f>SUMIFS(F$2:F176, C$2:C176, C176)</f>
        <v>50983.42000000002</v>
      </c>
      <c r="H176" s="6">
        <f>SUMIFS('04_LOG_FIELD_ENTRIES'!J:J, '04_LOG_FIELD_ENTRIES'!B:B, B176, '04_LOG_FIELD_ENTRIES'!D:D, C176, '04_LOG_FIELD_ENTRIES'!K:K, "EV_PRODUCCION")</f>
        <v>0</v>
      </c>
      <c r="I176" s="6">
        <f>SUMIFS(H$2:H176, C$2:C176, C176)</f>
        <v>9327.4500000000007</v>
      </c>
      <c r="J176" s="6">
        <f>SUMIFS('04_LOG_FIELD_ENTRIES'!J:J, '04_LOG_FIELD_ENTRIES'!B:B, B176, '04_LOG_FIELD_ENTRIES'!D:D, C176, '04_LOG_FIELD_ENTRIES'!K:K, "AC_*")</f>
        <v>0</v>
      </c>
      <c r="K176" s="6">
        <f>SUMIFS(J$2:J176, C$2:C176, C176)</f>
        <v>7730.8</v>
      </c>
      <c r="L176" s="6">
        <f t="shared" si="10"/>
        <v>1596.6500000000005</v>
      </c>
      <c r="M176" s="6">
        <f t="shared" si="11"/>
        <v>-41655.970000000016</v>
      </c>
      <c r="N176" s="21">
        <f t="shared" si="12"/>
        <v>0.18295065336927174</v>
      </c>
      <c r="O176" s="21">
        <f t="shared" si="13"/>
        <v>1.2065310187820149</v>
      </c>
      <c r="P176" s="2" t="str">
        <f t="shared" si="14"/>
        <v>ALERTA RETRASO</v>
      </c>
    </row>
    <row r="177" spans="1:16" ht="19.95" customHeight="1" x14ac:dyDescent="0.3">
      <c r="A177" s="4">
        <v>44</v>
      </c>
      <c r="B177" s="4" t="s">
        <v>104</v>
      </c>
      <c r="C177" s="2" t="s">
        <v>56</v>
      </c>
      <c r="D177" s="3" t="s">
        <v>74</v>
      </c>
      <c r="E177" s="6">
        <f>SUM('01_PRESUPUESTO_CRONOGRAMA_BASE'!G12:G12)</f>
        <v>9348.06</v>
      </c>
      <c r="F177" s="6">
        <f>SUMIFS('02_CRONOGRAMA_PV_DIARIO'!E:E, '02_CRONOGRAMA_PV_DIARIO'!A:A, A177, '02_CRONOGRAMA_PV_DIARIO'!C:C, C177)</f>
        <v>0</v>
      </c>
      <c r="G177" s="6">
        <f>SUMIFS(F$2:F177, C$2:C177, C177)</f>
        <v>0</v>
      </c>
      <c r="H177" s="6">
        <f>SUMIFS('04_LOG_FIELD_ENTRIES'!J:J, '04_LOG_FIELD_ENTRIES'!B:B, B177, '04_LOG_FIELD_ENTRIES'!D:D, C177, '04_LOG_FIELD_ENTRIES'!K:K, "EV_PRODUCCION")</f>
        <v>0</v>
      </c>
      <c r="I177" s="6">
        <f>SUMIFS(H$2:H177, C$2:C177, C177)</f>
        <v>2337.02</v>
      </c>
      <c r="J177" s="6">
        <f>SUMIFS('04_LOG_FIELD_ENTRIES'!J:J, '04_LOG_FIELD_ENTRIES'!B:B, B177, '04_LOG_FIELD_ENTRIES'!D:D, C177, '04_LOG_FIELD_ENTRIES'!K:K, "AC_*")</f>
        <v>0</v>
      </c>
      <c r="K177" s="6">
        <f>SUMIFS(J$2:J177, C$2:C177, C177)</f>
        <v>1299.2</v>
      </c>
      <c r="L177" s="6">
        <f t="shared" si="10"/>
        <v>1037.82</v>
      </c>
      <c r="M177" s="6">
        <f t="shared" si="11"/>
        <v>2337.02</v>
      </c>
      <c r="N177" s="21">
        <f t="shared" si="12"/>
        <v>1</v>
      </c>
      <c r="O177" s="21">
        <f t="shared" si="13"/>
        <v>1.7988146551724138</v>
      </c>
      <c r="P177" s="2" t="str">
        <f t="shared" si="14"/>
        <v>SALUDABLE</v>
      </c>
    </row>
    <row r="178" spans="1:16" ht="19.95" customHeight="1" x14ac:dyDescent="0.3">
      <c r="A178" s="4">
        <v>45</v>
      </c>
      <c r="B178" s="4" t="s">
        <v>105</v>
      </c>
      <c r="C178" s="2" t="s">
        <v>14</v>
      </c>
      <c r="D178" s="3" t="s">
        <v>71</v>
      </c>
      <c r="E178" s="6">
        <f>SUM('01_PRESUPUESTO_CRONOGRAMA_BASE'!G2:G3)</f>
        <v>16336.4</v>
      </c>
      <c r="F178" s="6">
        <f>SUMIFS('02_CRONOGRAMA_PV_DIARIO'!E:E, '02_CRONOGRAMA_PV_DIARIO'!A:A, A178, '02_CRONOGRAMA_PV_DIARIO'!C:C, C178)</f>
        <v>0</v>
      </c>
      <c r="G178" s="6">
        <f>SUMIFS(F$2:F178, C$2:C178, C178)</f>
        <v>16336.459999999994</v>
      </c>
      <c r="H178" s="6">
        <f>SUMIFS('04_LOG_FIELD_ENTRIES'!J:J, '04_LOG_FIELD_ENTRIES'!B:B, B178, '04_LOG_FIELD_ENTRIES'!D:D, C178, '04_LOG_FIELD_ENTRIES'!K:K, "EV_PRODUCCION")</f>
        <v>0</v>
      </c>
      <c r="I178" s="6">
        <f>SUMIFS(H$2:H178, C$2:C178, C178)</f>
        <v>5823.2</v>
      </c>
      <c r="J178" s="6">
        <f>SUMIFS('04_LOG_FIELD_ENTRIES'!J:J, '04_LOG_FIELD_ENTRIES'!B:B, B178, '04_LOG_FIELD_ENTRIES'!D:D, C178, '04_LOG_FIELD_ENTRIES'!K:K, "AC_*")</f>
        <v>0</v>
      </c>
      <c r="K178" s="6">
        <f>SUMIFS(J$2:J178, C$2:C178, C178)</f>
        <v>6331</v>
      </c>
      <c r="L178" s="6">
        <f t="shared" si="10"/>
        <v>-507.80000000000018</v>
      </c>
      <c r="M178" s="6">
        <f t="shared" si="11"/>
        <v>-10513.259999999995</v>
      </c>
      <c r="N178" s="21">
        <f t="shared" si="12"/>
        <v>0.35645421345872985</v>
      </c>
      <c r="O178" s="21">
        <f t="shared" si="13"/>
        <v>0.91979150213236449</v>
      </c>
      <c r="P178" s="2" t="str">
        <f t="shared" si="14"/>
        <v>ALERTA RETRASO</v>
      </c>
    </row>
    <row r="179" spans="1:16" ht="19.95" customHeight="1" x14ac:dyDescent="0.3">
      <c r="A179" s="4">
        <v>45</v>
      </c>
      <c r="B179" s="4" t="s">
        <v>105</v>
      </c>
      <c r="C179" s="2" t="s">
        <v>23</v>
      </c>
      <c r="D179" s="3" t="s">
        <v>72</v>
      </c>
      <c r="E179" s="6">
        <f>SUM('01_PRESUPUESTO_CRONOGRAMA_BASE'!G4:G9)</f>
        <v>372046.56</v>
      </c>
      <c r="F179" s="6">
        <f>SUMIFS('02_CRONOGRAMA_PV_DIARIO'!E:E, '02_CRONOGRAMA_PV_DIARIO'!A:A, A179, '02_CRONOGRAMA_PV_DIARIO'!C:C, C179)</f>
        <v>0</v>
      </c>
      <c r="G179" s="6">
        <f>SUMIFS(F$2:F179, C$2:C179, C179)</f>
        <v>372046.57999999978</v>
      </c>
      <c r="H179" s="6">
        <f>SUMIFS('04_LOG_FIELD_ENTRIES'!J:J, '04_LOG_FIELD_ENTRIES'!B:B, B179, '04_LOG_FIELD_ENTRIES'!D:D, C179, '04_LOG_FIELD_ENTRIES'!K:K, "EV_PRODUCCION")</f>
        <v>0</v>
      </c>
      <c r="I179" s="6">
        <f>SUMIFS(H$2:H179, C$2:C179, C179)</f>
        <v>44254.52</v>
      </c>
      <c r="J179" s="6">
        <f>SUMIFS('04_LOG_FIELD_ENTRIES'!J:J, '04_LOG_FIELD_ENTRIES'!B:B, B179, '04_LOG_FIELD_ENTRIES'!D:D, C179, '04_LOG_FIELD_ENTRIES'!K:K, "AC_*")</f>
        <v>0</v>
      </c>
      <c r="K179" s="6">
        <f>SUMIFS(J$2:J179, C$2:C179, C179)</f>
        <v>34269.199999999997</v>
      </c>
      <c r="L179" s="6">
        <f t="shared" si="10"/>
        <v>9985.32</v>
      </c>
      <c r="M179" s="6">
        <f t="shared" si="11"/>
        <v>-327792.05999999976</v>
      </c>
      <c r="N179" s="21">
        <f t="shared" si="12"/>
        <v>0.11894886925180181</v>
      </c>
      <c r="O179" s="21">
        <f t="shared" si="13"/>
        <v>1.291378847478202</v>
      </c>
      <c r="P179" s="2" t="str">
        <f t="shared" si="14"/>
        <v>ALERTA RETRASO</v>
      </c>
    </row>
    <row r="180" spans="1:16" ht="19.95" customHeight="1" x14ac:dyDescent="0.3">
      <c r="A180" s="4">
        <v>45</v>
      </c>
      <c r="B180" s="4" t="s">
        <v>105</v>
      </c>
      <c r="C180" s="2" t="s">
        <v>49</v>
      </c>
      <c r="D180" s="3" t="s">
        <v>73</v>
      </c>
      <c r="E180" s="6">
        <f>SUM('01_PRESUPUESTO_CRONOGRAMA_BASE'!G10:G11)</f>
        <v>57565.2</v>
      </c>
      <c r="F180" s="6">
        <f>SUMIFS('02_CRONOGRAMA_PV_DIARIO'!E:E, '02_CRONOGRAMA_PV_DIARIO'!A:A, A180, '02_CRONOGRAMA_PV_DIARIO'!C:C, C180)</f>
        <v>940.26</v>
      </c>
      <c r="G180" s="6">
        <f>SUMIFS(F$2:F180, C$2:C180, C180)</f>
        <v>51923.680000000022</v>
      </c>
      <c r="H180" s="6">
        <f>SUMIFS('04_LOG_FIELD_ENTRIES'!J:J, '04_LOG_FIELD_ENTRIES'!B:B, B180, '04_LOG_FIELD_ENTRIES'!D:D, C180, '04_LOG_FIELD_ENTRIES'!K:K, "EV_PRODUCCION")</f>
        <v>0</v>
      </c>
      <c r="I180" s="6">
        <f>SUMIFS(H$2:H180, C$2:C180, C180)</f>
        <v>9327.4500000000007</v>
      </c>
      <c r="J180" s="6">
        <f>SUMIFS('04_LOG_FIELD_ENTRIES'!J:J, '04_LOG_FIELD_ENTRIES'!B:B, B180, '04_LOG_FIELD_ENTRIES'!D:D, C180, '04_LOG_FIELD_ENTRIES'!K:K, "AC_*")</f>
        <v>0</v>
      </c>
      <c r="K180" s="6">
        <f>SUMIFS(J$2:J180, C$2:C180, C180)</f>
        <v>7730.8</v>
      </c>
      <c r="L180" s="6">
        <f t="shared" si="10"/>
        <v>1596.6500000000005</v>
      </c>
      <c r="M180" s="6">
        <f t="shared" si="11"/>
        <v>-42596.230000000025</v>
      </c>
      <c r="N180" s="21">
        <f t="shared" si="12"/>
        <v>0.17963769131925927</v>
      </c>
      <c r="O180" s="21">
        <f t="shared" si="13"/>
        <v>1.2065310187820149</v>
      </c>
      <c r="P180" s="2" t="str">
        <f t="shared" si="14"/>
        <v>ALERTA RETRASO</v>
      </c>
    </row>
    <row r="181" spans="1:16" ht="19.95" customHeight="1" x14ac:dyDescent="0.3">
      <c r="A181" s="4">
        <v>45</v>
      </c>
      <c r="B181" s="4" t="s">
        <v>105</v>
      </c>
      <c r="C181" s="2" t="s">
        <v>56</v>
      </c>
      <c r="D181" s="3" t="s">
        <v>74</v>
      </c>
      <c r="E181" s="6">
        <f>SUM('01_PRESUPUESTO_CRONOGRAMA_BASE'!G12:G12)</f>
        <v>9348.06</v>
      </c>
      <c r="F181" s="6">
        <f>SUMIFS('02_CRONOGRAMA_PV_DIARIO'!E:E, '02_CRONOGRAMA_PV_DIARIO'!A:A, A181, '02_CRONOGRAMA_PV_DIARIO'!C:C, C181)</f>
        <v>0</v>
      </c>
      <c r="G181" s="6">
        <f>SUMIFS(F$2:F181, C$2:C181, C181)</f>
        <v>0</v>
      </c>
      <c r="H181" s="6">
        <f>SUMIFS('04_LOG_FIELD_ENTRIES'!J:J, '04_LOG_FIELD_ENTRIES'!B:B, B181, '04_LOG_FIELD_ENTRIES'!D:D, C181, '04_LOG_FIELD_ENTRIES'!K:K, "EV_PRODUCCION")</f>
        <v>0</v>
      </c>
      <c r="I181" s="6">
        <f>SUMIFS(H$2:H181, C$2:C181, C181)</f>
        <v>2337.02</v>
      </c>
      <c r="J181" s="6">
        <f>SUMIFS('04_LOG_FIELD_ENTRIES'!J:J, '04_LOG_FIELD_ENTRIES'!B:B, B181, '04_LOG_FIELD_ENTRIES'!D:D, C181, '04_LOG_FIELD_ENTRIES'!K:K, "AC_*")</f>
        <v>0</v>
      </c>
      <c r="K181" s="6">
        <f>SUMIFS(J$2:J181, C$2:C181, C181)</f>
        <v>1299.2</v>
      </c>
      <c r="L181" s="6">
        <f t="shared" si="10"/>
        <v>1037.82</v>
      </c>
      <c r="M181" s="6">
        <f t="shared" si="11"/>
        <v>2337.02</v>
      </c>
      <c r="N181" s="21">
        <f t="shared" si="12"/>
        <v>1</v>
      </c>
      <c r="O181" s="21">
        <f t="shared" si="13"/>
        <v>1.7988146551724138</v>
      </c>
      <c r="P181" s="2" t="str">
        <f t="shared" si="14"/>
        <v>SALUDABLE</v>
      </c>
    </row>
    <row r="182" spans="1:16" ht="19.95" customHeight="1" x14ac:dyDescent="0.3">
      <c r="A182" s="4">
        <v>46</v>
      </c>
      <c r="B182" s="4" t="s">
        <v>106</v>
      </c>
      <c r="C182" s="2" t="s">
        <v>14</v>
      </c>
      <c r="D182" s="3" t="s">
        <v>71</v>
      </c>
      <c r="E182" s="6">
        <f>SUM('01_PRESUPUESTO_CRONOGRAMA_BASE'!G2:G3)</f>
        <v>16336.4</v>
      </c>
      <c r="F182" s="6">
        <f>SUMIFS('02_CRONOGRAMA_PV_DIARIO'!E:E, '02_CRONOGRAMA_PV_DIARIO'!A:A, A182, '02_CRONOGRAMA_PV_DIARIO'!C:C, C182)</f>
        <v>0</v>
      </c>
      <c r="G182" s="6">
        <f>SUMIFS(F$2:F182, C$2:C182, C182)</f>
        <v>16336.459999999994</v>
      </c>
      <c r="H182" s="6">
        <f>SUMIFS('04_LOG_FIELD_ENTRIES'!J:J, '04_LOG_FIELD_ENTRIES'!B:B, B182, '04_LOG_FIELD_ENTRIES'!D:D, C182, '04_LOG_FIELD_ENTRIES'!K:K, "EV_PRODUCCION")</f>
        <v>0</v>
      </c>
      <c r="I182" s="6">
        <f>SUMIFS(H$2:H182, C$2:C182, C182)</f>
        <v>5823.2</v>
      </c>
      <c r="J182" s="6">
        <f>SUMIFS('04_LOG_FIELD_ENTRIES'!J:J, '04_LOG_FIELD_ENTRIES'!B:B, B182, '04_LOG_FIELD_ENTRIES'!D:D, C182, '04_LOG_FIELD_ENTRIES'!K:K, "AC_*")</f>
        <v>0</v>
      </c>
      <c r="K182" s="6">
        <f>SUMIFS(J$2:J182, C$2:C182, C182)</f>
        <v>6331</v>
      </c>
      <c r="L182" s="6">
        <f t="shared" si="10"/>
        <v>-507.80000000000018</v>
      </c>
      <c r="M182" s="6">
        <f t="shared" si="11"/>
        <v>-10513.259999999995</v>
      </c>
      <c r="N182" s="21">
        <f t="shared" si="12"/>
        <v>0.35645421345872985</v>
      </c>
      <c r="O182" s="21">
        <f t="shared" si="13"/>
        <v>0.91979150213236449</v>
      </c>
      <c r="P182" s="2" t="str">
        <f t="shared" si="14"/>
        <v>ALERTA RETRASO</v>
      </c>
    </row>
    <row r="183" spans="1:16" ht="19.95" customHeight="1" x14ac:dyDescent="0.3">
      <c r="A183" s="4">
        <v>46</v>
      </c>
      <c r="B183" s="4" t="s">
        <v>106</v>
      </c>
      <c r="C183" s="2" t="s">
        <v>23</v>
      </c>
      <c r="D183" s="3" t="s">
        <v>72</v>
      </c>
      <c r="E183" s="6">
        <f>SUM('01_PRESUPUESTO_CRONOGRAMA_BASE'!G4:G9)</f>
        <v>372046.56</v>
      </c>
      <c r="F183" s="6">
        <f>SUMIFS('02_CRONOGRAMA_PV_DIARIO'!E:E, '02_CRONOGRAMA_PV_DIARIO'!A:A, A183, '02_CRONOGRAMA_PV_DIARIO'!C:C, C183)</f>
        <v>0</v>
      </c>
      <c r="G183" s="6">
        <f>SUMIFS(F$2:F183, C$2:C183, C183)</f>
        <v>372046.57999999978</v>
      </c>
      <c r="H183" s="6">
        <f>SUMIFS('04_LOG_FIELD_ENTRIES'!J:J, '04_LOG_FIELD_ENTRIES'!B:B, B183, '04_LOG_FIELD_ENTRIES'!D:D, C183, '04_LOG_FIELD_ENTRIES'!K:K, "EV_PRODUCCION")</f>
        <v>0</v>
      </c>
      <c r="I183" s="6">
        <f>SUMIFS(H$2:H183, C$2:C183, C183)</f>
        <v>44254.52</v>
      </c>
      <c r="J183" s="6">
        <f>SUMIFS('04_LOG_FIELD_ENTRIES'!J:J, '04_LOG_FIELD_ENTRIES'!B:B, B183, '04_LOG_FIELD_ENTRIES'!D:D, C183, '04_LOG_FIELD_ENTRIES'!K:K, "AC_*")</f>
        <v>0</v>
      </c>
      <c r="K183" s="6">
        <f>SUMIFS(J$2:J183, C$2:C183, C183)</f>
        <v>34269.199999999997</v>
      </c>
      <c r="L183" s="6">
        <f t="shared" si="10"/>
        <v>9985.32</v>
      </c>
      <c r="M183" s="6">
        <f t="shared" si="11"/>
        <v>-327792.05999999976</v>
      </c>
      <c r="N183" s="21">
        <f t="shared" si="12"/>
        <v>0.11894886925180181</v>
      </c>
      <c r="O183" s="21">
        <f t="shared" si="13"/>
        <v>1.291378847478202</v>
      </c>
      <c r="P183" s="2" t="str">
        <f t="shared" si="14"/>
        <v>ALERTA RETRASO</v>
      </c>
    </row>
    <row r="184" spans="1:16" ht="19.95" customHeight="1" x14ac:dyDescent="0.3">
      <c r="A184" s="4">
        <v>46</v>
      </c>
      <c r="B184" s="4" t="s">
        <v>106</v>
      </c>
      <c r="C184" s="2" t="s">
        <v>49</v>
      </c>
      <c r="D184" s="3" t="s">
        <v>73</v>
      </c>
      <c r="E184" s="6">
        <f>SUM('01_PRESUPUESTO_CRONOGRAMA_BASE'!G10:G11)</f>
        <v>57565.2</v>
      </c>
      <c r="F184" s="6">
        <f>SUMIFS('02_CRONOGRAMA_PV_DIARIO'!E:E, '02_CRONOGRAMA_PV_DIARIO'!A:A, A184, '02_CRONOGRAMA_PV_DIARIO'!C:C, C184)</f>
        <v>940.26</v>
      </c>
      <c r="G184" s="6">
        <f>SUMIFS(F$2:F184, C$2:C184, C184)</f>
        <v>52863.940000000024</v>
      </c>
      <c r="H184" s="6">
        <f>SUMIFS('04_LOG_FIELD_ENTRIES'!J:J, '04_LOG_FIELD_ENTRIES'!B:B, B184, '04_LOG_FIELD_ENTRIES'!D:D, C184, '04_LOG_FIELD_ENTRIES'!K:K, "EV_PRODUCCION")</f>
        <v>0</v>
      </c>
      <c r="I184" s="6">
        <f>SUMIFS(H$2:H184, C$2:C184, C184)</f>
        <v>9327.4500000000007</v>
      </c>
      <c r="J184" s="6">
        <f>SUMIFS('04_LOG_FIELD_ENTRIES'!J:J, '04_LOG_FIELD_ENTRIES'!B:B, B184, '04_LOG_FIELD_ENTRIES'!D:D, C184, '04_LOG_FIELD_ENTRIES'!K:K, "AC_*")</f>
        <v>0</v>
      </c>
      <c r="K184" s="6">
        <f>SUMIFS(J$2:J184, C$2:C184, C184)</f>
        <v>7730.8</v>
      </c>
      <c r="L184" s="6">
        <f t="shared" si="10"/>
        <v>1596.6500000000005</v>
      </c>
      <c r="M184" s="6">
        <f t="shared" si="11"/>
        <v>-43536.49000000002</v>
      </c>
      <c r="N184" s="21">
        <f t="shared" si="12"/>
        <v>0.17644258070813482</v>
      </c>
      <c r="O184" s="21">
        <f t="shared" si="13"/>
        <v>1.2065310187820149</v>
      </c>
      <c r="P184" s="2" t="str">
        <f t="shared" si="14"/>
        <v>ALERTA RETRASO</v>
      </c>
    </row>
    <row r="185" spans="1:16" ht="19.95" customHeight="1" x14ac:dyDescent="0.3">
      <c r="A185" s="4">
        <v>46</v>
      </c>
      <c r="B185" s="4" t="s">
        <v>106</v>
      </c>
      <c r="C185" s="2" t="s">
        <v>56</v>
      </c>
      <c r="D185" s="3" t="s">
        <v>74</v>
      </c>
      <c r="E185" s="6">
        <f>SUM('01_PRESUPUESTO_CRONOGRAMA_BASE'!G12:G12)</f>
        <v>9348.06</v>
      </c>
      <c r="F185" s="6">
        <f>SUMIFS('02_CRONOGRAMA_PV_DIARIO'!E:E, '02_CRONOGRAMA_PV_DIARIO'!A:A, A185, '02_CRONOGRAMA_PV_DIARIO'!C:C, C185)</f>
        <v>0</v>
      </c>
      <c r="G185" s="6">
        <f>SUMIFS(F$2:F185, C$2:C185, C185)</f>
        <v>0</v>
      </c>
      <c r="H185" s="6">
        <f>SUMIFS('04_LOG_FIELD_ENTRIES'!J:J, '04_LOG_FIELD_ENTRIES'!B:B, B185, '04_LOG_FIELD_ENTRIES'!D:D, C185, '04_LOG_FIELD_ENTRIES'!K:K, "EV_PRODUCCION")</f>
        <v>0</v>
      </c>
      <c r="I185" s="6">
        <f>SUMIFS(H$2:H185, C$2:C185, C185)</f>
        <v>2337.02</v>
      </c>
      <c r="J185" s="6">
        <f>SUMIFS('04_LOG_FIELD_ENTRIES'!J:J, '04_LOG_FIELD_ENTRIES'!B:B, B185, '04_LOG_FIELD_ENTRIES'!D:D, C185, '04_LOG_FIELD_ENTRIES'!K:K, "AC_*")</f>
        <v>0</v>
      </c>
      <c r="K185" s="6">
        <f>SUMIFS(J$2:J185, C$2:C185, C185)</f>
        <v>1299.2</v>
      </c>
      <c r="L185" s="6">
        <f t="shared" si="10"/>
        <v>1037.82</v>
      </c>
      <c r="M185" s="6">
        <f t="shared" si="11"/>
        <v>2337.02</v>
      </c>
      <c r="N185" s="21">
        <f t="shared" si="12"/>
        <v>1</v>
      </c>
      <c r="O185" s="21">
        <f t="shared" si="13"/>
        <v>1.7988146551724138</v>
      </c>
      <c r="P185" s="2" t="str">
        <f t="shared" si="14"/>
        <v>SALUDABLE</v>
      </c>
    </row>
    <row r="186" spans="1:16" ht="19.95" customHeight="1" x14ac:dyDescent="0.3">
      <c r="A186" s="4">
        <v>47</v>
      </c>
      <c r="B186" s="4" t="s">
        <v>107</v>
      </c>
      <c r="C186" s="2" t="s">
        <v>14</v>
      </c>
      <c r="D186" s="3" t="s">
        <v>71</v>
      </c>
      <c r="E186" s="6">
        <f>SUM('01_PRESUPUESTO_CRONOGRAMA_BASE'!G2:G3)</f>
        <v>16336.4</v>
      </c>
      <c r="F186" s="6">
        <f>SUMIFS('02_CRONOGRAMA_PV_DIARIO'!E:E, '02_CRONOGRAMA_PV_DIARIO'!A:A, A186, '02_CRONOGRAMA_PV_DIARIO'!C:C, C186)</f>
        <v>0</v>
      </c>
      <c r="G186" s="6">
        <f>SUMIFS(F$2:F186, C$2:C186, C186)</f>
        <v>16336.459999999994</v>
      </c>
      <c r="H186" s="6">
        <f>SUMIFS('04_LOG_FIELD_ENTRIES'!J:J, '04_LOG_FIELD_ENTRIES'!B:B, B186, '04_LOG_FIELD_ENTRIES'!D:D, C186, '04_LOG_FIELD_ENTRIES'!K:K, "EV_PRODUCCION")</f>
        <v>0</v>
      </c>
      <c r="I186" s="6">
        <f>SUMIFS(H$2:H186, C$2:C186, C186)</f>
        <v>5823.2</v>
      </c>
      <c r="J186" s="6">
        <f>SUMIFS('04_LOG_FIELD_ENTRIES'!J:J, '04_LOG_FIELD_ENTRIES'!B:B, B186, '04_LOG_FIELD_ENTRIES'!D:D, C186, '04_LOG_FIELD_ENTRIES'!K:K, "AC_*")</f>
        <v>0</v>
      </c>
      <c r="K186" s="6">
        <f>SUMIFS(J$2:J186, C$2:C186, C186)</f>
        <v>6331</v>
      </c>
      <c r="L186" s="6">
        <f t="shared" si="10"/>
        <v>-507.80000000000018</v>
      </c>
      <c r="M186" s="6">
        <f t="shared" si="11"/>
        <v>-10513.259999999995</v>
      </c>
      <c r="N186" s="21">
        <f t="shared" si="12"/>
        <v>0.35645421345872985</v>
      </c>
      <c r="O186" s="21">
        <f t="shared" si="13"/>
        <v>0.91979150213236449</v>
      </c>
      <c r="P186" s="2" t="str">
        <f t="shared" si="14"/>
        <v>ALERTA RETRASO</v>
      </c>
    </row>
    <row r="187" spans="1:16" ht="19.95" customHeight="1" x14ac:dyDescent="0.3">
      <c r="A187" s="4">
        <v>47</v>
      </c>
      <c r="B187" s="4" t="s">
        <v>107</v>
      </c>
      <c r="C187" s="2" t="s">
        <v>23</v>
      </c>
      <c r="D187" s="3" t="s">
        <v>72</v>
      </c>
      <c r="E187" s="6">
        <f>SUM('01_PRESUPUESTO_CRONOGRAMA_BASE'!G4:G9)</f>
        <v>372046.56</v>
      </c>
      <c r="F187" s="6">
        <f>SUMIFS('02_CRONOGRAMA_PV_DIARIO'!E:E, '02_CRONOGRAMA_PV_DIARIO'!A:A, A187, '02_CRONOGRAMA_PV_DIARIO'!C:C, C187)</f>
        <v>0</v>
      </c>
      <c r="G187" s="6">
        <f>SUMIFS(F$2:F187, C$2:C187, C187)</f>
        <v>372046.57999999978</v>
      </c>
      <c r="H187" s="6">
        <f>SUMIFS('04_LOG_FIELD_ENTRIES'!J:J, '04_LOG_FIELD_ENTRIES'!B:B, B187, '04_LOG_FIELD_ENTRIES'!D:D, C187, '04_LOG_FIELD_ENTRIES'!K:K, "EV_PRODUCCION")</f>
        <v>0</v>
      </c>
      <c r="I187" s="6">
        <f>SUMIFS(H$2:H187, C$2:C187, C187)</f>
        <v>44254.52</v>
      </c>
      <c r="J187" s="6">
        <f>SUMIFS('04_LOG_FIELD_ENTRIES'!J:J, '04_LOG_FIELD_ENTRIES'!B:B, B187, '04_LOG_FIELD_ENTRIES'!D:D, C187, '04_LOG_FIELD_ENTRIES'!K:K, "AC_*")</f>
        <v>0</v>
      </c>
      <c r="K187" s="6">
        <f>SUMIFS(J$2:J187, C$2:C187, C187)</f>
        <v>34269.199999999997</v>
      </c>
      <c r="L187" s="6">
        <f t="shared" si="10"/>
        <v>9985.32</v>
      </c>
      <c r="M187" s="6">
        <f t="shared" si="11"/>
        <v>-327792.05999999976</v>
      </c>
      <c r="N187" s="21">
        <f t="shared" si="12"/>
        <v>0.11894886925180181</v>
      </c>
      <c r="O187" s="21">
        <f t="shared" si="13"/>
        <v>1.291378847478202</v>
      </c>
      <c r="P187" s="2" t="str">
        <f t="shared" si="14"/>
        <v>ALERTA RETRASO</v>
      </c>
    </row>
    <row r="188" spans="1:16" ht="19.95" customHeight="1" x14ac:dyDescent="0.3">
      <c r="A188" s="4">
        <v>47</v>
      </c>
      <c r="B188" s="4" t="s">
        <v>107</v>
      </c>
      <c r="C188" s="2" t="s">
        <v>49</v>
      </c>
      <c r="D188" s="3" t="s">
        <v>73</v>
      </c>
      <c r="E188" s="6">
        <f>SUM('01_PRESUPUESTO_CRONOGRAMA_BASE'!G10:G11)</f>
        <v>57565.2</v>
      </c>
      <c r="F188" s="6">
        <f>SUMIFS('02_CRONOGRAMA_PV_DIARIO'!E:E, '02_CRONOGRAMA_PV_DIARIO'!A:A, A188, '02_CRONOGRAMA_PV_DIARIO'!C:C, C188)</f>
        <v>940.26</v>
      </c>
      <c r="G188" s="6">
        <f>SUMIFS(F$2:F188, C$2:C188, C188)</f>
        <v>53804.200000000026</v>
      </c>
      <c r="H188" s="6">
        <f>SUMIFS('04_LOG_FIELD_ENTRIES'!J:J, '04_LOG_FIELD_ENTRIES'!B:B, B188, '04_LOG_FIELD_ENTRIES'!D:D, C188, '04_LOG_FIELD_ENTRIES'!K:K, "EV_PRODUCCION")</f>
        <v>0</v>
      </c>
      <c r="I188" s="6">
        <f>SUMIFS(H$2:H188, C$2:C188, C188)</f>
        <v>9327.4500000000007</v>
      </c>
      <c r="J188" s="6">
        <f>SUMIFS('04_LOG_FIELD_ENTRIES'!J:J, '04_LOG_FIELD_ENTRIES'!B:B, B188, '04_LOG_FIELD_ENTRIES'!D:D, C188, '04_LOG_FIELD_ENTRIES'!K:K, "AC_*")</f>
        <v>0</v>
      </c>
      <c r="K188" s="6">
        <f>SUMIFS(J$2:J188, C$2:C188, C188)</f>
        <v>7730.8</v>
      </c>
      <c r="L188" s="6">
        <f t="shared" si="10"/>
        <v>1596.6500000000005</v>
      </c>
      <c r="M188" s="6">
        <f t="shared" si="11"/>
        <v>-44476.750000000029</v>
      </c>
      <c r="N188" s="21">
        <f t="shared" si="12"/>
        <v>0.17335914296653415</v>
      </c>
      <c r="O188" s="21">
        <f t="shared" si="13"/>
        <v>1.2065310187820149</v>
      </c>
      <c r="P188" s="2" t="str">
        <f t="shared" si="14"/>
        <v>ALERTA RETRASO</v>
      </c>
    </row>
    <row r="189" spans="1:16" ht="19.95" customHeight="1" x14ac:dyDescent="0.3">
      <c r="A189" s="4">
        <v>47</v>
      </c>
      <c r="B189" s="4" t="s">
        <v>107</v>
      </c>
      <c r="C189" s="2" t="s">
        <v>56</v>
      </c>
      <c r="D189" s="3" t="s">
        <v>74</v>
      </c>
      <c r="E189" s="6">
        <f>SUM('01_PRESUPUESTO_CRONOGRAMA_BASE'!G12:G12)</f>
        <v>9348.06</v>
      </c>
      <c r="F189" s="6">
        <f>SUMIFS('02_CRONOGRAMA_PV_DIARIO'!E:E, '02_CRONOGRAMA_PV_DIARIO'!A:A, A189, '02_CRONOGRAMA_PV_DIARIO'!C:C, C189)</f>
        <v>0</v>
      </c>
      <c r="G189" s="6">
        <f>SUMIFS(F$2:F189, C$2:C189, C189)</f>
        <v>0</v>
      </c>
      <c r="H189" s="6">
        <f>SUMIFS('04_LOG_FIELD_ENTRIES'!J:J, '04_LOG_FIELD_ENTRIES'!B:B, B189, '04_LOG_FIELD_ENTRIES'!D:D, C189, '04_LOG_FIELD_ENTRIES'!K:K, "EV_PRODUCCION")</f>
        <v>0</v>
      </c>
      <c r="I189" s="6">
        <f>SUMIFS(H$2:H189, C$2:C189, C189)</f>
        <v>2337.02</v>
      </c>
      <c r="J189" s="6">
        <f>SUMIFS('04_LOG_FIELD_ENTRIES'!J:J, '04_LOG_FIELD_ENTRIES'!B:B, B189, '04_LOG_FIELD_ENTRIES'!D:D, C189, '04_LOG_FIELD_ENTRIES'!K:K, "AC_*")</f>
        <v>0</v>
      </c>
      <c r="K189" s="6">
        <f>SUMIFS(J$2:J189, C$2:C189, C189)</f>
        <v>1299.2</v>
      </c>
      <c r="L189" s="6">
        <f t="shared" si="10"/>
        <v>1037.82</v>
      </c>
      <c r="M189" s="6">
        <f t="shared" si="11"/>
        <v>2337.02</v>
      </c>
      <c r="N189" s="21">
        <f t="shared" si="12"/>
        <v>1</v>
      </c>
      <c r="O189" s="21">
        <f t="shared" si="13"/>
        <v>1.7988146551724138</v>
      </c>
      <c r="P189" s="2" t="str">
        <f t="shared" si="14"/>
        <v>SALUDABLE</v>
      </c>
    </row>
    <row r="190" spans="1:16" ht="19.95" customHeight="1" x14ac:dyDescent="0.3">
      <c r="A190" s="4">
        <v>48</v>
      </c>
      <c r="B190" s="4" t="s">
        <v>58</v>
      </c>
      <c r="C190" s="2" t="s">
        <v>14</v>
      </c>
      <c r="D190" s="3" t="s">
        <v>71</v>
      </c>
      <c r="E190" s="6">
        <f>SUM('01_PRESUPUESTO_CRONOGRAMA_BASE'!G2:G3)</f>
        <v>16336.4</v>
      </c>
      <c r="F190" s="6">
        <f>SUMIFS('02_CRONOGRAMA_PV_DIARIO'!E:E, '02_CRONOGRAMA_PV_DIARIO'!A:A, A190, '02_CRONOGRAMA_PV_DIARIO'!C:C, C190)</f>
        <v>0</v>
      </c>
      <c r="G190" s="6">
        <f>SUMIFS(F$2:F190, C$2:C190, C190)</f>
        <v>16336.459999999994</v>
      </c>
      <c r="H190" s="6">
        <f>SUMIFS('04_LOG_FIELD_ENTRIES'!J:J, '04_LOG_FIELD_ENTRIES'!B:B, B190, '04_LOG_FIELD_ENTRIES'!D:D, C190, '04_LOG_FIELD_ENTRIES'!K:K, "EV_PRODUCCION")</f>
        <v>0</v>
      </c>
      <c r="I190" s="6">
        <f>SUMIFS(H$2:H190, C$2:C190, C190)</f>
        <v>5823.2</v>
      </c>
      <c r="J190" s="6">
        <f>SUMIFS('04_LOG_FIELD_ENTRIES'!J:J, '04_LOG_FIELD_ENTRIES'!B:B, B190, '04_LOG_FIELD_ENTRIES'!D:D, C190, '04_LOG_FIELD_ENTRIES'!K:K, "AC_*")</f>
        <v>0</v>
      </c>
      <c r="K190" s="6">
        <f>SUMIFS(J$2:J190, C$2:C190, C190)</f>
        <v>6331</v>
      </c>
      <c r="L190" s="6">
        <f t="shared" si="10"/>
        <v>-507.80000000000018</v>
      </c>
      <c r="M190" s="6">
        <f t="shared" si="11"/>
        <v>-10513.259999999995</v>
      </c>
      <c r="N190" s="21">
        <f t="shared" si="12"/>
        <v>0.35645421345872985</v>
      </c>
      <c r="O190" s="21">
        <f t="shared" si="13"/>
        <v>0.91979150213236449</v>
      </c>
      <c r="P190" s="2" t="str">
        <f t="shared" si="14"/>
        <v>ALERTA RETRASO</v>
      </c>
    </row>
    <row r="191" spans="1:16" ht="19.95" customHeight="1" x14ac:dyDescent="0.3">
      <c r="A191" s="4">
        <v>48</v>
      </c>
      <c r="B191" s="4" t="s">
        <v>58</v>
      </c>
      <c r="C191" s="2" t="s">
        <v>23</v>
      </c>
      <c r="D191" s="3" t="s">
        <v>72</v>
      </c>
      <c r="E191" s="6">
        <f>SUM('01_PRESUPUESTO_CRONOGRAMA_BASE'!G4:G9)</f>
        <v>372046.56</v>
      </c>
      <c r="F191" s="6">
        <f>SUMIFS('02_CRONOGRAMA_PV_DIARIO'!E:E, '02_CRONOGRAMA_PV_DIARIO'!A:A, A191, '02_CRONOGRAMA_PV_DIARIO'!C:C, C191)</f>
        <v>0</v>
      </c>
      <c r="G191" s="6">
        <f>SUMIFS(F$2:F191, C$2:C191, C191)</f>
        <v>372046.57999999978</v>
      </c>
      <c r="H191" s="6">
        <f>SUMIFS('04_LOG_FIELD_ENTRIES'!J:J, '04_LOG_FIELD_ENTRIES'!B:B, B191, '04_LOG_FIELD_ENTRIES'!D:D, C191, '04_LOG_FIELD_ENTRIES'!K:K, "EV_PRODUCCION")</f>
        <v>0</v>
      </c>
      <c r="I191" s="6">
        <f>SUMIFS(H$2:H191, C$2:C191, C191)</f>
        <v>44254.52</v>
      </c>
      <c r="J191" s="6">
        <f>SUMIFS('04_LOG_FIELD_ENTRIES'!J:J, '04_LOG_FIELD_ENTRIES'!B:B, B191, '04_LOG_FIELD_ENTRIES'!D:D, C191, '04_LOG_FIELD_ENTRIES'!K:K, "AC_*")</f>
        <v>0</v>
      </c>
      <c r="K191" s="6">
        <f>SUMIFS(J$2:J191, C$2:C191, C191)</f>
        <v>34269.199999999997</v>
      </c>
      <c r="L191" s="6">
        <f t="shared" si="10"/>
        <v>9985.32</v>
      </c>
      <c r="M191" s="6">
        <f t="shared" si="11"/>
        <v>-327792.05999999976</v>
      </c>
      <c r="N191" s="21">
        <f t="shared" si="12"/>
        <v>0.11894886925180181</v>
      </c>
      <c r="O191" s="21">
        <f t="shared" si="13"/>
        <v>1.291378847478202</v>
      </c>
      <c r="P191" s="2" t="str">
        <f t="shared" si="14"/>
        <v>ALERTA RETRASO</v>
      </c>
    </row>
    <row r="192" spans="1:16" ht="19.95" customHeight="1" x14ac:dyDescent="0.3">
      <c r="A192" s="4">
        <v>48</v>
      </c>
      <c r="B192" s="4" t="s">
        <v>58</v>
      </c>
      <c r="C192" s="2" t="s">
        <v>49</v>
      </c>
      <c r="D192" s="3" t="s">
        <v>73</v>
      </c>
      <c r="E192" s="6">
        <f>SUM('01_PRESUPUESTO_CRONOGRAMA_BASE'!G10:G11)</f>
        <v>57565.2</v>
      </c>
      <c r="F192" s="6">
        <f>SUMIFS('02_CRONOGRAMA_PV_DIARIO'!E:E, '02_CRONOGRAMA_PV_DIARIO'!A:A, A192, '02_CRONOGRAMA_PV_DIARIO'!C:C, C192)</f>
        <v>940.26</v>
      </c>
      <c r="G192" s="6">
        <f>SUMIFS(F$2:F192, C$2:C192, C192)</f>
        <v>54744.460000000028</v>
      </c>
      <c r="H192" s="6">
        <f>SUMIFS('04_LOG_FIELD_ENTRIES'!J:J, '04_LOG_FIELD_ENTRIES'!B:B, B192, '04_LOG_FIELD_ENTRIES'!D:D, C192, '04_LOG_FIELD_ENTRIES'!K:K, "EV_PRODUCCION")</f>
        <v>0</v>
      </c>
      <c r="I192" s="6">
        <f>SUMIFS(H$2:H192, C$2:C192, C192)</f>
        <v>9327.4500000000007</v>
      </c>
      <c r="J192" s="6">
        <f>SUMIFS('04_LOG_FIELD_ENTRIES'!J:J, '04_LOG_FIELD_ENTRIES'!B:B, B192, '04_LOG_FIELD_ENTRIES'!D:D, C192, '04_LOG_FIELD_ENTRIES'!K:K, "AC_*")</f>
        <v>0</v>
      </c>
      <c r="K192" s="6">
        <f>SUMIFS(J$2:J192, C$2:C192, C192)</f>
        <v>7730.8</v>
      </c>
      <c r="L192" s="6">
        <f t="shared" si="10"/>
        <v>1596.6500000000005</v>
      </c>
      <c r="M192" s="6">
        <f t="shared" si="11"/>
        <v>-45417.010000000024</v>
      </c>
      <c r="N192" s="21">
        <f t="shared" si="12"/>
        <v>0.17038162400359774</v>
      </c>
      <c r="O192" s="21">
        <f t="shared" si="13"/>
        <v>1.2065310187820149</v>
      </c>
      <c r="P192" s="2" t="str">
        <f t="shared" si="14"/>
        <v>ALERTA RETRASO</v>
      </c>
    </row>
    <row r="193" spans="1:16" ht="19.95" customHeight="1" x14ac:dyDescent="0.3">
      <c r="A193" s="4">
        <v>48</v>
      </c>
      <c r="B193" s="4" t="s">
        <v>58</v>
      </c>
      <c r="C193" s="2" t="s">
        <v>56</v>
      </c>
      <c r="D193" s="3" t="s">
        <v>74</v>
      </c>
      <c r="E193" s="6">
        <f>SUM('01_PRESUPUESTO_CRONOGRAMA_BASE'!G12:G12)</f>
        <v>9348.06</v>
      </c>
      <c r="F193" s="6">
        <f>SUMIFS('02_CRONOGRAMA_PV_DIARIO'!E:E, '02_CRONOGRAMA_PV_DIARIO'!A:A, A193, '02_CRONOGRAMA_PV_DIARIO'!C:C, C193)</f>
        <v>719.08</v>
      </c>
      <c r="G193" s="6">
        <f>SUMIFS(F$2:F193, C$2:C193, C193)</f>
        <v>719.08</v>
      </c>
      <c r="H193" s="6">
        <f>SUMIFS('04_LOG_FIELD_ENTRIES'!J:J, '04_LOG_FIELD_ENTRIES'!B:B, B193, '04_LOG_FIELD_ENTRIES'!D:D, C193, '04_LOG_FIELD_ENTRIES'!K:K, "EV_PRODUCCION")</f>
        <v>0</v>
      </c>
      <c r="I193" s="6">
        <f>SUMIFS(H$2:H193, C$2:C193, C193)</f>
        <v>2337.02</v>
      </c>
      <c r="J193" s="6">
        <f>SUMIFS('04_LOG_FIELD_ENTRIES'!J:J, '04_LOG_FIELD_ENTRIES'!B:B, B193, '04_LOG_FIELD_ENTRIES'!D:D, C193, '04_LOG_FIELD_ENTRIES'!K:K, "AC_*")</f>
        <v>0</v>
      </c>
      <c r="K193" s="6">
        <f>SUMIFS(J$2:J193, C$2:C193, C193)</f>
        <v>1299.2</v>
      </c>
      <c r="L193" s="6">
        <f t="shared" si="10"/>
        <v>1037.82</v>
      </c>
      <c r="M193" s="6">
        <f t="shared" si="11"/>
        <v>1617.94</v>
      </c>
      <c r="N193" s="21">
        <f t="shared" si="12"/>
        <v>3.2500139066585079</v>
      </c>
      <c r="O193" s="21">
        <f t="shared" si="13"/>
        <v>1.7988146551724138</v>
      </c>
      <c r="P193" s="2" t="str">
        <f t="shared" si="14"/>
        <v>SALUDABLE</v>
      </c>
    </row>
    <row r="194" spans="1:16" ht="19.95" customHeight="1" x14ac:dyDescent="0.3">
      <c r="A194" s="4">
        <v>49</v>
      </c>
      <c r="B194" s="4" t="s">
        <v>108</v>
      </c>
      <c r="C194" s="2" t="s">
        <v>14</v>
      </c>
      <c r="D194" s="3" t="s">
        <v>71</v>
      </c>
      <c r="E194" s="6">
        <f>SUM('01_PRESUPUESTO_CRONOGRAMA_BASE'!G2:G3)</f>
        <v>16336.4</v>
      </c>
      <c r="F194" s="6">
        <f>SUMIFS('02_CRONOGRAMA_PV_DIARIO'!E:E, '02_CRONOGRAMA_PV_DIARIO'!A:A, A194, '02_CRONOGRAMA_PV_DIARIO'!C:C, C194)</f>
        <v>0</v>
      </c>
      <c r="G194" s="6">
        <f>SUMIFS(F$2:F194, C$2:C194, C194)</f>
        <v>16336.459999999994</v>
      </c>
      <c r="H194" s="6">
        <f>SUMIFS('04_LOG_FIELD_ENTRIES'!J:J, '04_LOG_FIELD_ENTRIES'!B:B, B194, '04_LOG_FIELD_ENTRIES'!D:D, C194, '04_LOG_FIELD_ENTRIES'!K:K, "EV_PRODUCCION")</f>
        <v>0</v>
      </c>
      <c r="I194" s="6">
        <f>SUMIFS(H$2:H194, C$2:C194, C194)</f>
        <v>5823.2</v>
      </c>
      <c r="J194" s="6">
        <f>SUMIFS('04_LOG_FIELD_ENTRIES'!J:J, '04_LOG_FIELD_ENTRIES'!B:B, B194, '04_LOG_FIELD_ENTRIES'!D:D, C194, '04_LOG_FIELD_ENTRIES'!K:K, "AC_*")</f>
        <v>0</v>
      </c>
      <c r="K194" s="6">
        <f>SUMIFS(J$2:J194, C$2:C194, C194)</f>
        <v>6331</v>
      </c>
      <c r="L194" s="6">
        <f t="shared" ref="L194:L257" si="15">I194-K194</f>
        <v>-507.80000000000018</v>
      </c>
      <c r="M194" s="6">
        <f t="shared" ref="M194:M241" si="16">I194-G194</f>
        <v>-10513.259999999995</v>
      </c>
      <c r="N194" s="21">
        <f t="shared" ref="N194:N241" si="17">IF(G194&gt;0, I194/G194, 1)</f>
        <v>0.35645421345872985</v>
      </c>
      <c r="O194" s="21">
        <f t="shared" ref="O194:O241" si="18">IF(K194&gt;0, I194/K194, 1)</f>
        <v>0.91979150213236449</v>
      </c>
      <c r="P194" s="2" t="str">
        <f t="shared" ref="P194:P257" si="19">IF(AND(N194&gt;=0.95, O194&gt;=0.95), "SALUDABLE", IF(N194&lt;0.9, "ALERTA RETRASO", "ALERTA SOBRECOSTO"))</f>
        <v>ALERTA RETRASO</v>
      </c>
    </row>
    <row r="195" spans="1:16" ht="19.95" customHeight="1" x14ac:dyDescent="0.3">
      <c r="A195" s="4">
        <v>49</v>
      </c>
      <c r="B195" s="4" t="s">
        <v>108</v>
      </c>
      <c r="C195" s="2" t="s">
        <v>23</v>
      </c>
      <c r="D195" s="3" t="s">
        <v>72</v>
      </c>
      <c r="E195" s="6">
        <f>SUM('01_PRESUPUESTO_CRONOGRAMA_BASE'!G4:G9)</f>
        <v>372046.56</v>
      </c>
      <c r="F195" s="6">
        <f>SUMIFS('02_CRONOGRAMA_PV_DIARIO'!E:E, '02_CRONOGRAMA_PV_DIARIO'!A:A, A195, '02_CRONOGRAMA_PV_DIARIO'!C:C, C195)</f>
        <v>0</v>
      </c>
      <c r="G195" s="6">
        <f>SUMIFS(F$2:F195, C$2:C195, C195)</f>
        <v>372046.57999999978</v>
      </c>
      <c r="H195" s="6">
        <f>SUMIFS('04_LOG_FIELD_ENTRIES'!J:J, '04_LOG_FIELD_ENTRIES'!B:B, B195, '04_LOG_FIELD_ENTRIES'!D:D, C195, '04_LOG_FIELD_ENTRIES'!K:K, "EV_PRODUCCION")</f>
        <v>0</v>
      </c>
      <c r="I195" s="6">
        <f>SUMIFS(H$2:H195, C$2:C195, C195)</f>
        <v>44254.52</v>
      </c>
      <c r="J195" s="6">
        <f>SUMIFS('04_LOG_FIELD_ENTRIES'!J:J, '04_LOG_FIELD_ENTRIES'!B:B, B195, '04_LOG_FIELD_ENTRIES'!D:D, C195, '04_LOG_FIELD_ENTRIES'!K:K, "AC_*")</f>
        <v>0</v>
      </c>
      <c r="K195" s="6">
        <f>SUMIFS(J$2:J195, C$2:C195, C195)</f>
        <v>34269.199999999997</v>
      </c>
      <c r="L195" s="6">
        <f t="shared" si="15"/>
        <v>9985.32</v>
      </c>
      <c r="M195" s="6">
        <f t="shared" si="16"/>
        <v>-327792.05999999976</v>
      </c>
      <c r="N195" s="21">
        <f t="shared" si="17"/>
        <v>0.11894886925180181</v>
      </c>
      <c r="O195" s="21">
        <f t="shared" si="18"/>
        <v>1.291378847478202</v>
      </c>
      <c r="P195" s="2" t="str">
        <f t="shared" si="19"/>
        <v>ALERTA RETRASO</v>
      </c>
    </row>
    <row r="196" spans="1:16" ht="19.95" customHeight="1" x14ac:dyDescent="0.3">
      <c r="A196" s="4">
        <v>49</v>
      </c>
      <c r="B196" s="4" t="s">
        <v>108</v>
      </c>
      <c r="C196" s="2" t="s">
        <v>49</v>
      </c>
      <c r="D196" s="3" t="s">
        <v>73</v>
      </c>
      <c r="E196" s="6">
        <f>SUM('01_PRESUPUESTO_CRONOGRAMA_BASE'!G10:G11)</f>
        <v>57565.2</v>
      </c>
      <c r="F196" s="6">
        <f>SUMIFS('02_CRONOGRAMA_PV_DIARIO'!E:E, '02_CRONOGRAMA_PV_DIARIO'!A:A, A196, '02_CRONOGRAMA_PV_DIARIO'!C:C, C196)</f>
        <v>940.26</v>
      </c>
      <c r="G196" s="6">
        <f>SUMIFS(F$2:F196, C$2:C196, C196)</f>
        <v>55684.72000000003</v>
      </c>
      <c r="H196" s="6">
        <f>SUMIFS('04_LOG_FIELD_ENTRIES'!J:J, '04_LOG_FIELD_ENTRIES'!B:B, B196, '04_LOG_FIELD_ENTRIES'!D:D, C196, '04_LOG_FIELD_ENTRIES'!K:K, "EV_PRODUCCION")</f>
        <v>0</v>
      </c>
      <c r="I196" s="6">
        <f>SUMIFS(H$2:H196, C$2:C196, C196)</f>
        <v>9327.4500000000007</v>
      </c>
      <c r="J196" s="6">
        <f>SUMIFS('04_LOG_FIELD_ENTRIES'!J:J, '04_LOG_FIELD_ENTRIES'!B:B, B196, '04_LOG_FIELD_ENTRIES'!D:D, C196, '04_LOG_FIELD_ENTRIES'!K:K, "AC_*")</f>
        <v>0</v>
      </c>
      <c r="K196" s="6">
        <f>SUMIFS(J$2:J196, C$2:C196, C196)</f>
        <v>7730.8</v>
      </c>
      <c r="L196" s="6">
        <f t="shared" si="15"/>
        <v>1596.6500000000005</v>
      </c>
      <c r="M196" s="6">
        <f t="shared" si="16"/>
        <v>-46357.270000000033</v>
      </c>
      <c r="N196" s="21">
        <f t="shared" si="17"/>
        <v>0.16750465836947723</v>
      </c>
      <c r="O196" s="21">
        <f t="shared" si="18"/>
        <v>1.2065310187820149</v>
      </c>
      <c r="P196" s="2" t="str">
        <f t="shared" si="19"/>
        <v>ALERTA RETRASO</v>
      </c>
    </row>
    <row r="197" spans="1:16" ht="19.95" customHeight="1" x14ac:dyDescent="0.3">
      <c r="A197" s="4">
        <v>49</v>
      </c>
      <c r="B197" s="4" t="s">
        <v>108</v>
      </c>
      <c r="C197" s="2" t="s">
        <v>56</v>
      </c>
      <c r="D197" s="3" t="s">
        <v>74</v>
      </c>
      <c r="E197" s="6">
        <f>SUM('01_PRESUPUESTO_CRONOGRAMA_BASE'!G12:G12)</f>
        <v>9348.06</v>
      </c>
      <c r="F197" s="6">
        <f>SUMIFS('02_CRONOGRAMA_PV_DIARIO'!E:E, '02_CRONOGRAMA_PV_DIARIO'!A:A, A197, '02_CRONOGRAMA_PV_DIARIO'!C:C, C197)</f>
        <v>719.08</v>
      </c>
      <c r="G197" s="6">
        <f>SUMIFS(F$2:F197, C$2:C197, C197)</f>
        <v>1438.16</v>
      </c>
      <c r="H197" s="6">
        <f>SUMIFS('04_LOG_FIELD_ENTRIES'!J:J, '04_LOG_FIELD_ENTRIES'!B:B, B197, '04_LOG_FIELD_ENTRIES'!D:D, C197, '04_LOG_FIELD_ENTRIES'!K:K, "EV_PRODUCCION")</f>
        <v>0</v>
      </c>
      <c r="I197" s="6">
        <f>SUMIFS(H$2:H197, C$2:C197, C197)</f>
        <v>2337.02</v>
      </c>
      <c r="J197" s="6">
        <f>SUMIFS('04_LOG_FIELD_ENTRIES'!J:J, '04_LOG_FIELD_ENTRIES'!B:B, B197, '04_LOG_FIELD_ENTRIES'!D:D, C197, '04_LOG_FIELD_ENTRIES'!K:K, "AC_*")</f>
        <v>0</v>
      </c>
      <c r="K197" s="6">
        <f>SUMIFS(J$2:J197, C$2:C197, C197)</f>
        <v>1299.2</v>
      </c>
      <c r="L197" s="6">
        <f t="shared" si="15"/>
        <v>1037.82</v>
      </c>
      <c r="M197" s="6">
        <f t="shared" si="16"/>
        <v>898.8599999999999</v>
      </c>
      <c r="N197" s="21">
        <f t="shared" si="17"/>
        <v>1.6250069533292539</v>
      </c>
      <c r="O197" s="21">
        <f t="shared" si="18"/>
        <v>1.7988146551724138</v>
      </c>
      <c r="P197" s="2" t="str">
        <f t="shared" si="19"/>
        <v>SALUDABLE</v>
      </c>
    </row>
    <row r="198" spans="1:16" ht="19.95" customHeight="1" x14ac:dyDescent="0.3">
      <c r="A198" s="4">
        <v>50</v>
      </c>
      <c r="B198" s="4" t="s">
        <v>109</v>
      </c>
      <c r="C198" s="2" t="s">
        <v>14</v>
      </c>
      <c r="D198" s="3" t="s">
        <v>71</v>
      </c>
      <c r="E198" s="6">
        <f>SUM('01_PRESUPUESTO_CRONOGRAMA_BASE'!G2:G3)</f>
        <v>16336.4</v>
      </c>
      <c r="F198" s="6">
        <f>SUMIFS('02_CRONOGRAMA_PV_DIARIO'!E:E, '02_CRONOGRAMA_PV_DIARIO'!A:A, A198, '02_CRONOGRAMA_PV_DIARIO'!C:C, C198)</f>
        <v>0</v>
      </c>
      <c r="G198" s="6">
        <f>SUMIFS(F$2:F198, C$2:C198, C198)</f>
        <v>16336.459999999994</v>
      </c>
      <c r="H198" s="6">
        <f>SUMIFS('04_LOG_FIELD_ENTRIES'!J:J, '04_LOG_FIELD_ENTRIES'!B:B, B198, '04_LOG_FIELD_ENTRIES'!D:D, C198, '04_LOG_FIELD_ENTRIES'!K:K, "EV_PRODUCCION")</f>
        <v>0</v>
      </c>
      <c r="I198" s="6">
        <f>SUMIFS(H$2:H198, C$2:C198, C198)</f>
        <v>5823.2</v>
      </c>
      <c r="J198" s="6">
        <f>SUMIFS('04_LOG_FIELD_ENTRIES'!J:J, '04_LOG_FIELD_ENTRIES'!B:B, B198, '04_LOG_FIELD_ENTRIES'!D:D, C198, '04_LOG_FIELD_ENTRIES'!K:K, "AC_*")</f>
        <v>0</v>
      </c>
      <c r="K198" s="6">
        <f>SUMIFS(J$2:J198, C$2:C198, C198)</f>
        <v>6331</v>
      </c>
      <c r="L198" s="6">
        <f t="shared" si="15"/>
        <v>-507.80000000000018</v>
      </c>
      <c r="M198" s="6">
        <f t="shared" si="16"/>
        <v>-10513.259999999995</v>
      </c>
      <c r="N198" s="21">
        <f t="shared" si="17"/>
        <v>0.35645421345872985</v>
      </c>
      <c r="O198" s="21">
        <f t="shared" si="18"/>
        <v>0.91979150213236449</v>
      </c>
      <c r="P198" s="2" t="str">
        <f t="shared" si="19"/>
        <v>ALERTA RETRASO</v>
      </c>
    </row>
    <row r="199" spans="1:16" ht="19.95" customHeight="1" x14ac:dyDescent="0.3">
      <c r="A199" s="4">
        <v>50</v>
      </c>
      <c r="B199" s="4" t="s">
        <v>109</v>
      </c>
      <c r="C199" s="2" t="s">
        <v>23</v>
      </c>
      <c r="D199" s="3" t="s">
        <v>72</v>
      </c>
      <c r="E199" s="6">
        <f>SUM('01_PRESUPUESTO_CRONOGRAMA_BASE'!G4:G9)</f>
        <v>372046.56</v>
      </c>
      <c r="F199" s="6">
        <f>SUMIFS('02_CRONOGRAMA_PV_DIARIO'!E:E, '02_CRONOGRAMA_PV_DIARIO'!A:A, A199, '02_CRONOGRAMA_PV_DIARIO'!C:C, C199)</f>
        <v>0</v>
      </c>
      <c r="G199" s="6">
        <f>SUMIFS(F$2:F199, C$2:C199, C199)</f>
        <v>372046.57999999978</v>
      </c>
      <c r="H199" s="6">
        <f>SUMIFS('04_LOG_FIELD_ENTRIES'!J:J, '04_LOG_FIELD_ENTRIES'!B:B, B199, '04_LOG_FIELD_ENTRIES'!D:D, C199, '04_LOG_FIELD_ENTRIES'!K:K, "EV_PRODUCCION")</f>
        <v>0</v>
      </c>
      <c r="I199" s="6">
        <f>SUMIFS(H$2:H199, C$2:C199, C199)</f>
        <v>44254.52</v>
      </c>
      <c r="J199" s="6">
        <f>SUMIFS('04_LOG_FIELD_ENTRIES'!J:J, '04_LOG_FIELD_ENTRIES'!B:B, B199, '04_LOG_FIELD_ENTRIES'!D:D, C199, '04_LOG_FIELD_ENTRIES'!K:K, "AC_*")</f>
        <v>0</v>
      </c>
      <c r="K199" s="6">
        <f>SUMIFS(J$2:J199, C$2:C199, C199)</f>
        <v>34269.199999999997</v>
      </c>
      <c r="L199" s="6">
        <f t="shared" si="15"/>
        <v>9985.32</v>
      </c>
      <c r="M199" s="6">
        <f t="shared" si="16"/>
        <v>-327792.05999999976</v>
      </c>
      <c r="N199" s="21">
        <f t="shared" si="17"/>
        <v>0.11894886925180181</v>
      </c>
      <c r="O199" s="21">
        <f t="shared" si="18"/>
        <v>1.291378847478202</v>
      </c>
      <c r="P199" s="2" t="str">
        <f t="shared" si="19"/>
        <v>ALERTA RETRASO</v>
      </c>
    </row>
    <row r="200" spans="1:16" ht="19.95" customHeight="1" x14ac:dyDescent="0.3">
      <c r="A200" s="4">
        <v>50</v>
      </c>
      <c r="B200" s="4" t="s">
        <v>109</v>
      </c>
      <c r="C200" s="2" t="s">
        <v>49</v>
      </c>
      <c r="D200" s="3" t="s">
        <v>73</v>
      </c>
      <c r="E200" s="6">
        <f>SUM('01_PRESUPUESTO_CRONOGRAMA_BASE'!G10:G11)</f>
        <v>57565.2</v>
      </c>
      <c r="F200" s="6">
        <f>SUMIFS('02_CRONOGRAMA_PV_DIARIO'!E:E, '02_CRONOGRAMA_PV_DIARIO'!A:A, A200, '02_CRONOGRAMA_PV_DIARIO'!C:C, C200)</f>
        <v>940.26</v>
      </c>
      <c r="G200" s="6">
        <f>SUMIFS(F$2:F200, C$2:C200, C200)</f>
        <v>56624.980000000032</v>
      </c>
      <c r="H200" s="6">
        <f>SUMIFS('04_LOG_FIELD_ENTRIES'!J:J, '04_LOG_FIELD_ENTRIES'!B:B, B200, '04_LOG_FIELD_ENTRIES'!D:D, C200, '04_LOG_FIELD_ENTRIES'!K:K, "EV_PRODUCCION")</f>
        <v>0</v>
      </c>
      <c r="I200" s="6">
        <f>SUMIFS(H$2:H200, C$2:C200, C200)</f>
        <v>9327.4500000000007</v>
      </c>
      <c r="J200" s="6">
        <f>SUMIFS('04_LOG_FIELD_ENTRIES'!J:J, '04_LOG_FIELD_ENTRIES'!B:B, B200, '04_LOG_FIELD_ENTRIES'!D:D, C200, '04_LOG_FIELD_ENTRIES'!K:K, "AC_*")</f>
        <v>0</v>
      </c>
      <c r="K200" s="6">
        <f>SUMIFS(J$2:J200, C$2:C200, C200)</f>
        <v>7730.8</v>
      </c>
      <c r="L200" s="6">
        <f t="shared" si="15"/>
        <v>1596.6500000000005</v>
      </c>
      <c r="M200" s="6">
        <f t="shared" si="16"/>
        <v>-47297.530000000028</v>
      </c>
      <c r="N200" s="21">
        <f t="shared" si="17"/>
        <v>0.16472323698833968</v>
      </c>
      <c r="O200" s="21">
        <f t="shared" si="18"/>
        <v>1.2065310187820149</v>
      </c>
      <c r="P200" s="2" t="str">
        <f t="shared" si="19"/>
        <v>ALERTA RETRASO</v>
      </c>
    </row>
    <row r="201" spans="1:16" ht="19.95" customHeight="1" x14ac:dyDescent="0.3">
      <c r="A201" s="4">
        <v>50</v>
      </c>
      <c r="B201" s="4" t="s">
        <v>109</v>
      </c>
      <c r="C201" s="2" t="s">
        <v>56</v>
      </c>
      <c r="D201" s="3" t="s">
        <v>74</v>
      </c>
      <c r="E201" s="6">
        <f>SUM('01_PRESUPUESTO_CRONOGRAMA_BASE'!G12:G12)</f>
        <v>9348.06</v>
      </c>
      <c r="F201" s="6">
        <f>SUMIFS('02_CRONOGRAMA_PV_DIARIO'!E:E, '02_CRONOGRAMA_PV_DIARIO'!A:A, A201, '02_CRONOGRAMA_PV_DIARIO'!C:C, C201)</f>
        <v>719.08</v>
      </c>
      <c r="G201" s="6">
        <f>SUMIFS(F$2:F201, C$2:C201, C201)</f>
        <v>2157.2400000000002</v>
      </c>
      <c r="H201" s="6">
        <f>SUMIFS('04_LOG_FIELD_ENTRIES'!J:J, '04_LOG_FIELD_ENTRIES'!B:B, B201, '04_LOG_FIELD_ENTRIES'!D:D, C201, '04_LOG_FIELD_ENTRIES'!K:K, "EV_PRODUCCION")</f>
        <v>0</v>
      </c>
      <c r="I201" s="6">
        <f>SUMIFS(H$2:H201, C$2:C201, C201)</f>
        <v>2337.02</v>
      </c>
      <c r="J201" s="6">
        <f>SUMIFS('04_LOG_FIELD_ENTRIES'!J:J, '04_LOG_FIELD_ENTRIES'!B:B, B201, '04_LOG_FIELD_ENTRIES'!D:D, C201, '04_LOG_FIELD_ENTRIES'!K:K, "AC_*")</f>
        <v>0</v>
      </c>
      <c r="K201" s="6">
        <f>SUMIFS(J$2:J201, C$2:C201, C201)</f>
        <v>1299.2</v>
      </c>
      <c r="L201" s="6">
        <f t="shared" si="15"/>
        <v>1037.82</v>
      </c>
      <c r="M201" s="6">
        <f t="shared" si="16"/>
        <v>179.77999999999975</v>
      </c>
      <c r="N201" s="21">
        <f t="shared" si="17"/>
        <v>1.0833379688861693</v>
      </c>
      <c r="O201" s="21">
        <f t="shared" si="18"/>
        <v>1.7988146551724138</v>
      </c>
      <c r="P201" s="2" t="str">
        <f t="shared" si="19"/>
        <v>SALUDABLE</v>
      </c>
    </row>
    <row r="202" spans="1:16" ht="19.95" customHeight="1" x14ac:dyDescent="0.3">
      <c r="A202" s="4">
        <v>51</v>
      </c>
      <c r="B202" s="4" t="s">
        <v>54</v>
      </c>
      <c r="C202" s="2" t="s">
        <v>14</v>
      </c>
      <c r="D202" s="3" t="s">
        <v>71</v>
      </c>
      <c r="E202" s="6">
        <f>SUM('01_PRESUPUESTO_CRONOGRAMA_BASE'!G2:G3)</f>
        <v>16336.4</v>
      </c>
      <c r="F202" s="6">
        <f>SUMIFS('02_CRONOGRAMA_PV_DIARIO'!E:E, '02_CRONOGRAMA_PV_DIARIO'!A:A, A202, '02_CRONOGRAMA_PV_DIARIO'!C:C, C202)</f>
        <v>0</v>
      </c>
      <c r="G202" s="6">
        <f>SUMIFS(F$2:F202, C$2:C202, C202)</f>
        <v>16336.459999999994</v>
      </c>
      <c r="H202" s="6">
        <f>SUMIFS('04_LOG_FIELD_ENTRIES'!J:J, '04_LOG_FIELD_ENTRIES'!B:B, B202, '04_LOG_FIELD_ENTRIES'!D:D, C202, '04_LOG_FIELD_ENTRIES'!K:K, "EV_PRODUCCION")</f>
        <v>0</v>
      </c>
      <c r="I202" s="6">
        <f>SUMIFS(H$2:H202, C$2:C202, C202)</f>
        <v>5823.2</v>
      </c>
      <c r="J202" s="6">
        <f>SUMIFS('04_LOG_FIELD_ENTRIES'!J:J, '04_LOG_FIELD_ENTRIES'!B:B, B202, '04_LOG_FIELD_ENTRIES'!D:D, C202, '04_LOG_FIELD_ENTRIES'!K:K, "AC_*")</f>
        <v>0</v>
      </c>
      <c r="K202" s="6">
        <f>SUMIFS(J$2:J202, C$2:C202, C202)</f>
        <v>6331</v>
      </c>
      <c r="L202" s="6">
        <f t="shared" si="15"/>
        <v>-507.80000000000018</v>
      </c>
      <c r="M202" s="6">
        <f t="shared" si="16"/>
        <v>-10513.259999999995</v>
      </c>
      <c r="N202" s="21">
        <f t="shared" si="17"/>
        <v>0.35645421345872985</v>
      </c>
      <c r="O202" s="21">
        <f t="shared" si="18"/>
        <v>0.91979150213236449</v>
      </c>
      <c r="P202" s="2" t="str">
        <f t="shared" si="19"/>
        <v>ALERTA RETRASO</v>
      </c>
    </row>
    <row r="203" spans="1:16" ht="19.95" customHeight="1" x14ac:dyDescent="0.3">
      <c r="A203" s="4">
        <v>51</v>
      </c>
      <c r="B203" s="4" t="s">
        <v>54</v>
      </c>
      <c r="C203" s="2" t="s">
        <v>23</v>
      </c>
      <c r="D203" s="3" t="s">
        <v>72</v>
      </c>
      <c r="E203" s="6">
        <f>SUM('01_PRESUPUESTO_CRONOGRAMA_BASE'!G4:G9)</f>
        <v>372046.56</v>
      </c>
      <c r="F203" s="6">
        <f>SUMIFS('02_CRONOGRAMA_PV_DIARIO'!E:E, '02_CRONOGRAMA_PV_DIARIO'!A:A, A203, '02_CRONOGRAMA_PV_DIARIO'!C:C, C203)</f>
        <v>0</v>
      </c>
      <c r="G203" s="6">
        <f>SUMIFS(F$2:F203, C$2:C203, C203)</f>
        <v>372046.57999999978</v>
      </c>
      <c r="H203" s="6">
        <f>SUMIFS('04_LOG_FIELD_ENTRIES'!J:J, '04_LOG_FIELD_ENTRIES'!B:B, B203, '04_LOG_FIELD_ENTRIES'!D:D, C203, '04_LOG_FIELD_ENTRIES'!K:K, "EV_PRODUCCION")</f>
        <v>0</v>
      </c>
      <c r="I203" s="6">
        <f>SUMIFS(H$2:H203, C$2:C203, C203)</f>
        <v>44254.52</v>
      </c>
      <c r="J203" s="6">
        <f>SUMIFS('04_LOG_FIELD_ENTRIES'!J:J, '04_LOG_FIELD_ENTRIES'!B:B, B203, '04_LOG_FIELD_ENTRIES'!D:D, C203, '04_LOG_FIELD_ENTRIES'!K:K, "AC_*")</f>
        <v>0</v>
      </c>
      <c r="K203" s="6">
        <f>SUMIFS(J$2:J203, C$2:C203, C203)</f>
        <v>34269.199999999997</v>
      </c>
      <c r="L203" s="6">
        <f t="shared" si="15"/>
        <v>9985.32</v>
      </c>
      <c r="M203" s="6">
        <f t="shared" si="16"/>
        <v>-327792.05999999976</v>
      </c>
      <c r="N203" s="21">
        <f t="shared" si="17"/>
        <v>0.11894886925180181</v>
      </c>
      <c r="O203" s="21">
        <f t="shared" si="18"/>
        <v>1.291378847478202</v>
      </c>
      <c r="P203" s="2" t="str">
        <f t="shared" si="19"/>
        <v>ALERTA RETRASO</v>
      </c>
    </row>
    <row r="204" spans="1:16" ht="19.95" customHeight="1" x14ac:dyDescent="0.3">
      <c r="A204" s="4">
        <v>51</v>
      </c>
      <c r="B204" s="4" t="s">
        <v>54</v>
      </c>
      <c r="C204" s="2" t="s">
        <v>49</v>
      </c>
      <c r="D204" s="3" t="s">
        <v>73</v>
      </c>
      <c r="E204" s="6">
        <f>SUM('01_PRESUPUESTO_CRONOGRAMA_BASE'!G10:G11)</f>
        <v>57565.2</v>
      </c>
      <c r="F204" s="6">
        <f>SUMIFS('02_CRONOGRAMA_PV_DIARIO'!E:E, '02_CRONOGRAMA_PV_DIARIO'!A:A, A204, '02_CRONOGRAMA_PV_DIARIO'!C:C, C204)</f>
        <v>940.26</v>
      </c>
      <c r="G204" s="6">
        <f>SUMIFS(F$2:F204, C$2:C204, C204)</f>
        <v>57565.240000000034</v>
      </c>
      <c r="H204" s="6">
        <f>SUMIFS('04_LOG_FIELD_ENTRIES'!J:J, '04_LOG_FIELD_ENTRIES'!B:B, B204, '04_LOG_FIELD_ENTRIES'!D:D, C204, '04_LOG_FIELD_ENTRIES'!K:K, "EV_PRODUCCION")</f>
        <v>0</v>
      </c>
      <c r="I204" s="6">
        <f>SUMIFS(H$2:H204, C$2:C204, C204)</f>
        <v>9327.4500000000007</v>
      </c>
      <c r="J204" s="6">
        <f>SUMIFS('04_LOG_FIELD_ENTRIES'!J:J, '04_LOG_FIELD_ENTRIES'!B:B, B204, '04_LOG_FIELD_ENTRIES'!D:D, C204, '04_LOG_FIELD_ENTRIES'!K:K, "AC_*")</f>
        <v>0</v>
      </c>
      <c r="K204" s="6">
        <f>SUMIFS(J$2:J204, C$2:C204, C204)</f>
        <v>7730.8</v>
      </c>
      <c r="L204" s="6">
        <f t="shared" si="15"/>
        <v>1596.6500000000005</v>
      </c>
      <c r="M204" s="6">
        <f t="shared" si="16"/>
        <v>-48237.790000000037</v>
      </c>
      <c r="N204" s="21">
        <f t="shared" si="17"/>
        <v>0.16203267805363089</v>
      </c>
      <c r="O204" s="21">
        <f t="shared" si="18"/>
        <v>1.2065310187820149</v>
      </c>
      <c r="P204" s="2" t="str">
        <f t="shared" si="19"/>
        <v>ALERTA RETRASO</v>
      </c>
    </row>
    <row r="205" spans="1:16" ht="19.95" customHeight="1" x14ac:dyDescent="0.3">
      <c r="A205" s="4">
        <v>51</v>
      </c>
      <c r="B205" s="4" t="s">
        <v>54</v>
      </c>
      <c r="C205" s="2" t="s">
        <v>56</v>
      </c>
      <c r="D205" s="3" t="s">
        <v>74</v>
      </c>
      <c r="E205" s="6">
        <f>SUM('01_PRESUPUESTO_CRONOGRAMA_BASE'!G12:G12)</f>
        <v>9348.06</v>
      </c>
      <c r="F205" s="6">
        <f>SUMIFS('02_CRONOGRAMA_PV_DIARIO'!E:E, '02_CRONOGRAMA_PV_DIARIO'!A:A, A205, '02_CRONOGRAMA_PV_DIARIO'!C:C, C205)</f>
        <v>719.08</v>
      </c>
      <c r="G205" s="6">
        <f>SUMIFS(F$2:F205, C$2:C205, C205)</f>
        <v>2876.32</v>
      </c>
      <c r="H205" s="6">
        <f>SUMIFS('04_LOG_FIELD_ENTRIES'!J:J, '04_LOG_FIELD_ENTRIES'!B:B, B205, '04_LOG_FIELD_ENTRIES'!D:D, C205, '04_LOG_FIELD_ENTRIES'!K:K, "EV_PRODUCCION")</f>
        <v>0</v>
      </c>
      <c r="I205" s="6">
        <f>SUMIFS(H$2:H205, C$2:C205, C205)</f>
        <v>2337.02</v>
      </c>
      <c r="J205" s="6">
        <f>SUMIFS('04_LOG_FIELD_ENTRIES'!J:J, '04_LOG_FIELD_ENTRIES'!B:B, B205, '04_LOG_FIELD_ENTRIES'!D:D, C205, '04_LOG_FIELD_ENTRIES'!K:K, "AC_*")</f>
        <v>0</v>
      </c>
      <c r="K205" s="6">
        <f>SUMIFS(J$2:J205, C$2:C205, C205)</f>
        <v>1299.2</v>
      </c>
      <c r="L205" s="6">
        <f t="shared" si="15"/>
        <v>1037.82</v>
      </c>
      <c r="M205" s="6">
        <f t="shared" si="16"/>
        <v>-539.30000000000018</v>
      </c>
      <c r="N205" s="21">
        <f t="shared" si="17"/>
        <v>0.81250347666462697</v>
      </c>
      <c r="O205" s="21">
        <f t="shared" si="18"/>
        <v>1.7988146551724138</v>
      </c>
      <c r="P205" s="2" t="str">
        <f t="shared" si="19"/>
        <v>ALERTA RETRASO</v>
      </c>
    </row>
    <row r="206" spans="1:16" ht="19.95" customHeight="1" x14ac:dyDescent="0.3">
      <c r="A206" s="4">
        <v>52</v>
      </c>
      <c r="B206" s="4" t="s">
        <v>110</v>
      </c>
      <c r="C206" s="2" t="s">
        <v>14</v>
      </c>
      <c r="D206" s="3" t="s">
        <v>71</v>
      </c>
      <c r="E206" s="6">
        <f>SUM('01_PRESUPUESTO_CRONOGRAMA_BASE'!G2:G3)</f>
        <v>16336.4</v>
      </c>
      <c r="F206" s="6">
        <f>SUMIFS('02_CRONOGRAMA_PV_DIARIO'!E:E, '02_CRONOGRAMA_PV_DIARIO'!A:A, A206, '02_CRONOGRAMA_PV_DIARIO'!C:C, C206)</f>
        <v>0</v>
      </c>
      <c r="G206" s="6">
        <f>SUMIFS(F$2:F206, C$2:C206, C206)</f>
        <v>16336.459999999994</v>
      </c>
      <c r="H206" s="6">
        <f>SUMIFS('04_LOG_FIELD_ENTRIES'!J:J, '04_LOG_FIELD_ENTRIES'!B:B, B206, '04_LOG_FIELD_ENTRIES'!D:D, C206, '04_LOG_FIELD_ENTRIES'!K:K, "EV_PRODUCCION")</f>
        <v>0</v>
      </c>
      <c r="I206" s="6">
        <f>SUMIFS(H$2:H206, C$2:C206, C206)</f>
        <v>5823.2</v>
      </c>
      <c r="J206" s="6">
        <f>SUMIFS('04_LOG_FIELD_ENTRIES'!J:J, '04_LOG_FIELD_ENTRIES'!B:B, B206, '04_LOG_FIELD_ENTRIES'!D:D, C206, '04_LOG_FIELD_ENTRIES'!K:K, "AC_*")</f>
        <v>0</v>
      </c>
      <c r="K206" s="6">
        <f>SUMIFS(J$2:J206, C$2:C206, C206)</f>
        <v>6331</v>
      </c>
      <c r="L206" s="6">
        <f t="shared" si="15"/>
        <v>-507.80000000000018</v>
      </c>
      <c r="M206" s="6">
        <f t="shared" si="16"/>
        <v>-10513.259999999995</v>
      </c>
      <c r="N206" s="21">
        <f t="shared" si="17"/>
        <v>0.35645421345872985</v>
      </c>
      <c r="O206" s="21">
        <f t="shared" si="18"/>
        <v>0.91979150213236449</v>
      </c>
      <c r="P206" s="2" t="str">
        <f t="shared" si="19"/>
        <v>ALERTA RETRASO</v>
      </c>
    </row>
    <row r="207" spans="1:16" ht="19.95" customHeight="1" x14ac:dyDescent="0.3">
      <c r="A207" s="4">
        <v>52</v>
      </c>
      <c r="B207" s="4" t="s">
        <v>110</v>
      </c>
      <c r="C207" s="2" t="s">
        <v>23</v>
      </c>
      <c r="D207" s="3" t="s">
        <v>72</v>
      </c>
      <c r="E207" s="6">
        <f>SUM('01_PRESUPUESTO_CRONOGRAMA_BASE'!G4:G9)</f>
        <v>372046.56</v>
      </c>
      <c r="F207" s="6">
        <f>SUMIFS('02_CRONOGRAMA_PV_DIARIO'!E:E, '02_CRONOGRAMA_PV_DIARIO'!A:A, A207, '02_CRONOGRAMA_PV_DIARIO'!C:C, C207)</f>
        <v>0</v>
      </c>
      <c r="G207" s="6">
        <f>SUMIFS(F$2:F207, C$2:C207, C207)</f>
        <v>372046.57999999978</v>
      </c>
      <c r="H207" s="6">
        <f>SUMIFS('04_LOG_FIELD_ENTRIES'!J:J, '04_LOG_FIELD_ENTRIES'!B:B, B207, '04_LOG_FIELD_ENTRIES'!D:D, C207, '04_LOG_FIELD_ENTRIES'!K:K, "EV_PRODUCCION")</f>
        <v>0</v>
      </c>
      <c r="I207" s="6">
        <f>SUMIFS(H$2:H207, C$2:C207, C207)</f>
        <v>44254.52</v>
      </c>
      <c r="J207" s="6">
        <f>SUMIFS('04_LOG_FIELD_ENTRIES'!J:J, '04_LOG_FIELD_ENTRIES'!B:B, B207, '04_LOG_FIELD_ENTRIES'!D:D, C207, '04_LOG_FIELD_ENTRIES'!K:K, "AC_*")</f>
        <v>0</v>
      </c>
      <c r="K207" s="6">
        <f>SUMIFS(J$2:J207, C$2:C207, C207)</f>
        <v>34269.199999999997</v>
      </c>
      <c r="L207" s="6">
        <f t="shared" si="15"/>
        <v>9985.32</v>
      </c>
      <c r="M207" s="6">
        <f t="shared" si="16"/>
        <v>-327792.05999999976</v>
      </c>
      <c r="N207" s="21">
        <f t="shared" si="17"/>
        <v>0.11894886925180181</v>
      </c>
      <c r="O207" s="21">
        <f t="shared" si="18"/>
        <v>1.291378847478202</v>
      </c>
      <c r="P207" s="2" t="str">
        <f t="shared" si="19"/>
        <v>ALERTA RETRASO</v>
      </c>
    </row>
    <row r="208" spans="1:16" ht="19.95" customHeight="1" x14ac:dyDescent="0.3">
      <c r="A208" s="4">
        <v>52</v>
      </c>
      <c r="B208" s="4" t="s">
        <v>110</v>
      </c>
      <c r="C208" s="2" t="s">
        <v>49</v>
      </c>
      <c r="D208" s="3" t="s">
        <v>73</v>
      </c>
      <c r="E208" s="6">
        <f>SUM('01_PRESUPUESTO_CRONOGRAMA_BASE'!G10:G11)</f>
        <v>57565.2</v>
      </c>
      <c r="F208" s="6">
        <f>SUMIFS('02_CRONOGRAMA_PV_DIARIO'!E:E, '02_CRONOGRAMA_PV_DIARIO'!A:A, A208, '02_CRONOGRAMA_PV_DIARIO'!C:C, C208)</f>
        <v>0</v>
      </c>
      <c r="G208" s="6">
        <f>SUMIFS(F$2:F208, C$2:C208, C208)</f>
        <v>57565.240000000034</v>
      </c>
      <c r="H208" s="6">
        <f>SUMIFS('04_LOG_FIELD_ENTRIES'!J:J, '04_LOG_FIELD_ENTRIES'!B:B, B208, '04_LOG_FIELD_ENTRIES'!D:D, C208, '04_LOG_FIELD_ENTRIES'!K:K, "EV_PRODUCCION")</f>
        <v>0</v>
      </c>
      <c r="I208" s="6">
        <f>SUMIFS(H$2:H208, C$2:C208, C208)</f>
        <v>9327.4500000000007</v>
      </c>
      <c r="J208" s="6">
        <f>SUMIFS('04_LOG_FIELD_ENTRIES'!J:J, '04_LOG_FIELD_ENTRIES'!B:B, B208, '04_LOG_FIELD_ENTRIES'!D:D, C208, '04_LOG_FIELD_ENTRIES'!K:K, "AC_*")</f>
        <v>0</v>
      </c>
      <c r="K208" s="6">
        <f>SUMIFS(J$2:J208, C$2:C208, C208)</f>
        <v>7730.8</v>
      </c>
      <c r="L208" s="6">
        <f t="shared" si="15"/>
        <v>1596.6500000000005</v>
      </c>
      <c r="M208" s="6">
        <f t="shared" si="16"/>
        <v>-48237.790000000037</v>
      </c>
      <c r="N208" s="21">
        <f t="shared" si="17"/>
        <v>0.16203267805363089</v>
      </c>
      <c r="O208" s="21">
        <f t="shared" si="18"/>
        <v>1.2065310187820149</v>
      </c>
      <c r="P208" s="2" t="str">
        <f t="shared" si="19"/>
        <v>ALERTA RETRASO</v>
      </c>
    </row>
    <row r="209" spans="1:16" ht="19.95" customHeight="1" x14ac:dyDescent="0.3">
      <c r="A209" s="4">
        <v>52</v>
      </c>
      <c r="B209" s="4" t="s">
        <v>110</v>
      </c>
      <c r="C209" s="2" t="s">
        <v>56</v>
      </c>
      <c r="D209" s="3" t="s">
        <v>74</v>
      </c>
      <c r="E209" s="6">
        <f>SUM('01_PRESUPUESTO_CRONOGRAMA_BASE'!G12:G12)</f>
        <v>9348.06</v>
      </c>
      <c r="F209" s="6">
        <f>SUMIFS('02_CRONOGRAMA_PV_DIARIO'!E:E, '02_CRONOGRAMA_PV_DIARIO'!A:A, A209, '02_CRONOGRAMA_PV_DIARIO'!C:C, C209)</f>
        <v>719.08</v>
      </c>
      <c r="G209" s="6">
        <f>SUMIFS(F$2:F209, C$2:C209, C209)</f>
        <v>3595.4</v>
      </c>
      <c r="H209" s="6">
        <f>SUMIFS('04_LOG_FIELD_ENTRIES'!J:J, '04_LOG_FIELD_ENTRIES'!B:B, B209, '04_LOG_FIELD_ENTRIES'!D:D, C209, '04_LOG_FIELD_ENTRIES'!K:K, "EV_PRODUCCION")</f>
        <v>0</v>
      </c>
      <c r="I209" s="6">
        <f>SUMIFS(H$2:H209, C$2:C209, C209)</f>
        <v>2337.02</v>
      </c>
      <c r="J209" s="6">
        <f>SUMIFS('04_LOG_FIELD_ENTRIES'!J:J, '04_LOG_FIELD_ENTRIES'!B:B, B209, '04_LOG_FIELD_ENTRIES'!D:D, C209, '04_LOG_FIELD_ENTRIES'!K:K, "AC_*")</f>
        <v>0</v>
      </c>
      <c r="K209" s="6">
        <f>SUMIFS(J$2:J209, C$2:C209, C209)</f>
        <v>1299.2</v>
      </c>
      <c r="L209" s="6">
        <f t="shared" si="15"/>
        <v>1037.82</v>
      </c>
      <c r="M209" s="6">
        <f t="shared" si="16"/>
        <v>-1258.3800000000001</v>
      </c>
      <c r="N209" s="21">
        <f t="shared" si="17"/>
        <v>0.65000278133170164</v>
      </c>
      <c r="O209" s="21">
        <f t="shared" si="18"/>
        <v>1.7988146551724138</v>
      </c>
      <c r="P209" s="2" t="str">
        <f t="shared" si="19"/>
        <v>ALERTA RETRASO</v>
      </c>
    </row>
    <row r="210" spans="1:16" ht="19.95" customHeight="1" x14ac:dyDescent="0.3">
      <c r="A210" s="4">
        <v>53</v>
      </c>
      <c r="B210" s="4" t="s">
        <v>111</v>
      </c>
      <c r="C210" s="2" t="s">
        <v>14</v>
      </c>
      <c r="D210" s="3" t="s">
        <v>71</v>
      </c>
      <c r="E210" s="6">
        <f>SUM('01_PRESUPUESTO_CRONOGRAMA_BASE'!G2:G3)</f>
        <v>16336.4</v>
      </c>
      <c r="F210" s="6">
        <f>SUMIFS('02_CRONOGRAMA_PV_DIARIO'!E:E, '02_CRONOGRAMA_PV_DIARIO'!A:A, A210, '02_CRONOGRAMA_PV_DIARIO'!C:C, C210)</f>
        <v>0</v>
      </c>
      <c r="G210" s="6">
        <f>SUMIFS(F$2:F210, C$2:C210, C210)</f>
        <v>16336.459999999994</v>
      </c>
      <c r="H210" s="6">
        <f>SUMIFS('04_LOG_FIELD_ENTRIES'!J:J, '04_LOG_FIELD_ENTRIES'!B:B, B210, '04_LOG_FIELD_ENTRIES'!D:D, C210, '04_LOG_FIELD_ENTRIES'!K:K, "EV_PRODUCCION")</f>
        <v>0</v>
      </c>
      <c r="I210" s="6">
        <f>SUMIFS(H$2:H210, C$2:C210, C210)</f>
        <v>5823.2</v>
      </c>
      <c r="J210" s="6">
        <f>SUMIFS('04_LOG_FIELD_ENTRIES'!J:J, '04_LOG_FIELD_ENTRIES'!B:B, B210, '04_LOG_FIELD_ENTRIES'!D:D, C210, '04_LOG_FIELD_ENTRIES'!K:K, "AC_*")</f>
        <v>0</v>
      </c>
      <c r="K210" s="6">
        <f>SUMIFS(J$2:J210, C$2:C210, C210)</f>
        <v>6331</v>
      </c>
      <c r="L210" s="6">
        <f t="shared" si="15"/>
        <v>-507.80000000000018</v>
      </c>
      <c r="M210" s="6">
        <f t="shared" si="16"/>
        <v>-10513.259999999995</v>
      </c>
      <c r="N210" s="21">
        <f t="shared" si="17"/>
        <v>0.35645421345872985</v>
      </c>
      <c r="O210" s="21">
        <f t="shared" si="18"/>
        <v>0.91979150213236449</v>
      </c>
      <c r="P210" s="2" t="str">
        <f t="shared" si="19"/>
        <v>ALERTA RETRASO</v>
      </c>
    </row>
    <row r="211" spans="1:16" ht="19.95" customHeight="1" x14ac:dyDescent="0.3">
      <c r="A211" s="4">
        <v>53</v>
      </c>
      <c r="B211" s="4" t="s">
        <v>111</v>
      </c>
      <c r="C211" s="2" t="s">
        <v>23</v>
      </c>
      <c r="D211" s="3" t="s">
        <v>72</v>
      </c>
      <c r="E211" s="6">
        <f>SUM('01_PRESUPUESTO_CRONOGRAMA_BASE'!G4:G9)</f>
        <v>372046.56</v>
      </c>
      <c r="F211" s="6">
        <f>SUMIFS('02_CRONOGRAMA_PV_DIARIO'!E:E, '02_CRONOGRAMA_PV_DIARIO'!A:A, A211, '02_CRONOGRAMA_PV_DIARIO'!C:C, C211)</f>
        <v>0</v>
      </c>
      <c r="G211" s="6">
        <f>SUMIFS(F$2:F211, C$2:C211, C211)</f>
        <v>372046.57999999978</v>
      </c>
      <c r="H211" s="6">
        <f>SUMIFS('04_LOG_FIELD_ENTRIES'!J:J, '04_LOG_FIELD_ENTRIES'!B:B, B211, '04_LOG_FIELD_ENTRIES'!D:D, C211, '04_LOG_FIELD_ENTRIES'!K:K, "EV_PRODUCCION")</f>
        <v>0</v>
      </c>
      <c r="I211" s="6">
        <f>SUMIFS(H$2:H211, C$2:C211, C211)</f>
        <v>44254.52</v>
      </c>
      <c r="J211" s="6">
        <f>SUMIFS('04_LOG_FIELD_ENTRIES'!J:J, '04_LOG_FIELD_ENTRIES'!B:B, B211, '04_LOG_FIELD_ENTRIES'!D:D, C211, '04_LOG_FIELD_ENTRIES'!K:K, "AC_*")</f>
        <v>0</v>
      </c>
      <c r="K211" s="6">
        <f>SUMIFS(J$2:J211, C$2:C211, C211)</f>
        <v>34269.199999999997</v>
      </c>
      <c r="L211" s="6">
        <f t="shared" si="15"/>
        <v>9985.32</v>
      </c>
      <c r="M211" s="6">
        <f t="shared" si="16"/>
        <v>-327792.05999999976</v>
      </c>
      <c r="N211" s="21">
        <f t="shared" si="17"/>
        <v>0.11894886925180181</v>
      </c>
      <c r="O211" s="21">
        <f t="shared" si="18"/>
        <v>1.291378847478202</v>
      </c>
      <c r="P211" s="2" t="str">
        <f t="shared" si="19"/>
        <v>ALERTA RETRASO</v>
      </c>
    </row>
    <row r="212" spans="1:16" ht="19.95" customHeight="1" x14ac:dyDescent="0.3">
      <c r="A212" s="4">
        <v>53</v>
      </c>
      <c r="B212" s="4" t="s">
        <v>111</v>
      </c>
      <c r="C212" s="2" t="s">
        <v>49</v>
      </c>
      <c r="D212" s="3" t="s">
        <v>73</v>
      </c>
      <c r="E212" s="6">
        <f>SUM('01_PRESUPUESTO_CRONOGRAMA_BASE'!G10:G11)</f>
        <v>57565.2</v>
      </c>
      <c r="F212" s="6">
        <f>SUMIFS('02_CRONOGRAMA_PV_DIARIO'!E:E, '02_CRONOGRAMA_PV_DIARIO'!A:A, A212, '02_CRONOGRAMA_PV_DIARIO'!C:C, C212)</f>
        <v>0</v>
      </c>
      <c r="G212" s="6">
        <f>SUMIFS(F$2:F212, C$2:C212, C212)</f>
        <v>57565.240000000034</v>
      </c>
      <c r="H212" s="6">
        <f>SUMIFS('04_LOG_FIELD_ENTRIES'!J:J, '04_LOG_FIELD_ENTRIES'!B:B, B212, '04_LOG_FIELD_ENTRIES'!D:D, C212, '04_LOG_FIELD_ENTRIES'!K:K, "EV_PRODUCCION")</f>
        <v>0</v>
      </c>
      <c r="I212" s="6">
        <f>SUMIFS(H$2:H212, C$2:C212, C212)</f>
        <v>9327.4500000000007</v>
      </c>
      <c r="J212" s="6">
        <f>SUMIFS('04_LOG_FIELD_ENTRIES'!J:J, '04_LOG_FIELD_ENTRIES'!B:B, B212, '04_LOG_FIELD_ENTRIES'!D:D, C212, '04_LOG_FIELD_ENTRIES'!K:K, "AC_*")</f>
        <v>0</v>
      </c>
      <c r="K212" s="6">
        <f>SUMIFS(J$2:J212, C$2:C212, C212)</f>
        <v>7730.8</v>
      </c>
      <c r="L212" s="6">
        <f t="shared" si="15"/>
        <v>1596.6500000000005</v>
      </c>
      <c r="M212" s="6">
        <f t="shared" si="16"/>
        <v>-48237.790000000037</v>
      </c>
      <c r="N212" s="21">
        <f t="shared" si="17"/>
        <v>0.16203267805363089</v>
      </c>
      <c r="O212" s="21">
        <f t="shared" si="18"/>
        <v>1.2065310187820149</v>
      </c>
      <c r="P212" s="2" t="str">
        <f t="shared" si="19"/>
        <v>ALERTA RETRASO</v>
      </c>
    </row>
    <row r="213" spans="1:16" ht="19.95" customHeight="1" x14ac:dyDescent="0.3">
      <c r="A213" s="4">
        <v>53</v>
      </c>
      <c r="B213" s="4" t="s">
        <v>111</v>
      </c>
      <c r="C213" s="2" t="s">
        <v>56</v>
      </c>
      <c r="D213" s="3" t="s">
        <v>74</v>
      </c>
      <c r="E213" s="6">
        <f>SUM('01_PRESUPUESTO_CRONOGRAMA_BASE'!G12:G12)</f>
        <v>9348.06</v>
      </c>
      <c r="F213" s="6">
        <f>SUMIFS('02_CRONOGRAMA_PV_DIARIO'!E:E, '02_CRONOGRAMA_PV_DIARIO'!A:A, A213, '02_CRONOGRAMA_PV_DIARIO'!C:C, C213)</f>
        <v>719.08</v>
      </c>
      <c r="G213" s="6">
        <f>SUMIFS(F$2:F213, C$2:C213, C213)</f>
        <v>4314.4800000000005</v>
      </c>
      <c r="H213" s="6">
        <f>SUMIFS('04_LOG_FIELD_ENTRIES'!J:J, '04_LOG_FIELD_ENTRIES'!B:B, B213, '04_LOG_FIELD_ENTRIES'!D:D, C213, '04_LOG_FIELD_ENTRIES'!K:K, "EV_PRODUCCION")</f>
        <v>0</v>
      </c>
      <c r="I213" s="6">
        <f>SUMIFS(H$2:H213, C$2:C213, C213)</f>
        <v>2337.02</v>
      </c>
      <c r="J213" s="6">
        <f>SUMIFS('04_LOG_FIELD_ENTRIES'!J:J, '04_LOG_FIELD_ENTRIES'!B:B, B213, '04_LOG_FIELD_ENTRIES'!D:D, C213, '04_LOG_FIELD_ENTRIES'!K:K, "AC_*")</f>
        <v>0</v>
      </c>
      <c r="K213" s="6">
        <f>SUMIFS(J$2:J213, C$2:C213, C213)</f>
        <v>1299.2</v>
      </c>
      <c r="L213" s="6">
        <f t="shared" si="15"/>
        <v>1037.82</v>
      </c>
      <c r="M213" s="6">
        <f t="shared" si="16"/>
        <v>-1977.4600000000005</v>
      </c>
      <c r="N213" s="21">
        <f t="shared" si="17"/>
        <v>0.54166898444308464</v>
      </c>
      <c r="O213" s="21">
        <f t="shared" si="18"/>
        <v>1.7988146551724138</v>
      </c>
      <c r="P213" s="2" t="str">
        <f t="shared" si="19"/>
        <v>ALERTA RETRASO</v>
      </c>
    </row>
    <row r="214" spans="1:16" ht="19.95" customHeight="1" x14ac:dyDescent="0.3">
      <c r="A214" s="4">
        <v>54</v>
      </c>
      <c r="B214" s="4" t="s">
        <v>112</v>
      </c>
      <c r="C214" s="2" t="s">
        <v>14</v>
      </c>
      <c r="D214" s="3" t="s">
        <v>71</v>
      </c>
      <c r="E214" s="6">
        <f>SUM('01_PRESUPUESTO_CRONOGRAMA_BASE'!G2:G3)</f>
        <v>16336.4</v>
      </c>
      <c r="F214" s="6">
        <f>SUMIFS('02_CRONOGRAMA_PV_DIARIO'!E:E, '02_CRONOGRAMA_PV_DIARIO'!A:A, A214, '02_CRONOGRAMA_PV_DIARIO'!C:C, C214)</f>
        <v>0</v>
      </c>
      <c r="G214" s="6">
        <f>SUMIFS(F$2:F214, C$2:C214, C214)</f>
        <v>16336.459999999994</v>
      </c>
      <c r="H214" s="6">
        <f>SUMIFS('04_LOG_FIELD_ENTRIES'!J:J, '04_LOG_FIELD_ENTRIES'!B:B, B214, '04_LOG_FIELD_ENTRIES'!D:D, C214, '04_LOG_FIELD_ENTRIES'!K:K, "EV_PRODUCCION")</f>
        <v>0</v>
      </c>
      <c r="I214" s="6">
        <f>SUMIFS(H$2:H214, C$2:C214, C214)</f>
        <v>5823.2</v>
      </c>
      <c r="J214" s="6">
        <f>SUMIFS('04_LOG_FIELD_ENTRIES'!J:J, '04_LOG_FIELD_ENTRIES'!B:B, B214, '04_LOG_FIELD_ENTRIES'!D:D, C214, '04_LOG_FIELD_ENTRIES'!K:K, "AC_*")</f>
        <v>0</v>
      </c>
      <c r="K214" s="6">
        <f>SUMIFS(J$2:J214, C$2:C214, C214)</f>
        <v>6331</v>
      </c>
      <c r="L214" s="6">
        <f t="shared" si="15"/>
        <v>-507.80000000000018</v>
      </c>
      <c r="M214" s="6">
        <f t="shared" si="16"/>
        <v>-10513.259999999995</v>
      </c>
      <c r="N214" s="21">
        <f t="shared" si="17"/>
        <v>0.35645421345872985</v>
      </c>
      <c r="O214" s="21">
        <f t="shared" si="18"/>
        <v>0.91979150213236449</v>
      </c>
      <c r="P214" s="2" t="str">
        <f t="shared" si="19"/>
        <v>ALERTA RETRASO</v>
      </c>
    </row>
    <row r="215" spans="1:16" ht="19.95" customHeight="1" x14ac:dyDescent="0.3">
      <c r="A215" s="4">
        <v>54</v>
      </c>
      <c r="B215" s="4" t="s">
        <v>112</v>
      </c>
      <c r="C215" s="2" t="s">
        <v>23</v>
      </c>
      <c r="D215" s="3" t="s">
        <v>72</v>
      </c>
      <c r="E215" s="6">
        <f>SUM('01_PRESUPUESTO_CRONOGRAMA_BASE'!G4:G9)</f>
        <v>372046.56</v>
      </c>
      <c r="F215" s="6">
        <f>SUMIFS('02_CRONOGRAMA_PV_DIARIO'!E:E, '02_CRONOGRAMA_PV_DIARIO'!A:A, A215, '02_CRONOGRAMA_PV_DIARIO'!C:C, C215)</f>
        <v>0</v>
      </c>
      <c r="G215" s="6">
        <f>SUMIFS(F$2:F215, C$2:C215, C215)</f>
        <v>372046.57999999978</v>
      </c>
      <c r="H215" s="6">
        <f>SUMIFS('04_LOG_FIELD_ENTRIES'!J:J, '04_LOG_FIELD_ENTRIES'!B:B, B215, '04_LOG_FIELD_ENTRIES'!D:D, C215, '04_LOG_FIELD_ENTRIES'!K:K, "EV_PRODUCCION")</f>
        <v>0</v>
      </c>
      <c r="I215" s="6">
        <f>SUMIFS(H$2:H215, C$2:C215, C215)</f>
        <v>44254.52</v>
      </c>
      <c r="J215" s="6">
        <f>SUMIFS('04_LOG_FIELD_ENTRIES'!J:J, '04_LOG_FIELD_ENTRIES'!B:B, B215, '04_LOG_FIELD_ENTRIES'!D:D, C215, '04_LOG_FIELD_ENTRIES'!K:K, "AC_*")</f>
        <v>0</v>
      </c>
      <c r="K215" s="6">
        <f>SUMIFS(J$2:J215, C$2:C215, C215)</f>
        <v>34269.199999999997</v>
      </c>
      <c r="L215" s="6">
        <f t="shared" si="15"/>
        <v>9985.32</v>
      </c>
      <c r="M215" s="6">
        <f t="shared" si="16"/>
        <v>-327792.05999999976</v>
      </c>
      <c r="N215" s="21">
        <f t="shared" si="17"/>
        <v>0.11894886925180181</v>
      </c>
      <c r="O215" s="21">
        <f t="shared" si="18"/>
        <v>1.291378847478202</v>
      </c>
      <c r="P215" s="2" t="str">
        <f t="shared" si="19"/>
        <v>ALERTA RETRASO</v>
      </c>
    </row>
    <row r="216" spans="1:16" ht="19.95" customHeight="1" x14ac:dyDescent="0.3">
      <c r="A216" s="4">
        <v>54</v>
      </c>
      <c r="B216" s="4" t="s">
        <v>112</v>
      </c>
      <c r="C216" s="2" t="s">
        <v>49</v>
      </c>
      <c r="D216" s="3" t="s">
        <v>73</v>
      </c>
      <c r="E216" s="6">
        <f>SUM('01_PRESUPUESTO_CRONOGRAMA_BASE'!G10:G11)</f>
        <v>57565.2</v>
      </c>
      <c r="F216" s="6">
        <f>SUMIFS('02_CRONOGRAMA_PV_DIARIO'!E:E, '02_CRONOGRAMA_PV_DIARIO'!A:A, A216, '02_CRONOGRAMA_PV_DIARIO'!C:C, C216)</f>
        <v>0</v>
      </c>
      <c r="G216" s="6">
        <f>SUMIFS(F$2:F216, C$2:C216, C216)</f>
        <v>57565.240000000034</v>
      </c>
      <c r="H216" s="6">
        <f>SUMIFS('04_LOG_FIELD_ENTRIES'!J:J, '04_LOG_FIELD_ENTRIES'!B:B, B216, '04_LOG_FIELD_ENTRIES'!D:D, C216, '04_LOG_FIELD_ENTRIES'!K:K, "EV_PRODUCCION")</f>
        <v>0</v>
      </c>
      <c r="I216" s="6">
        <f>SUMIFS(H$2:H216, C$2:C216, C216)</f>
        <v>9327.4500000000007</v>
      </c>
      <c r="J216" s="6">
        <f>SUMIFS('04_LOG_FIELD_ENTRIES'!J:J, '04_LOG_FIELD_ENTRIES'!B:B, B216, '04_LOG_FIELD_ENTRIES'!D:D, C216, '04_LOG_FIELD_ENTRIES'!K:K, "AC_*")</f>
        <v>0</v>
      </c>
      <c r="K216" s="6">
        <f>SUMIFS(J$2:J216, C$2:C216, C216)</f>
        <v>7730.8</v>
      </c>
      <c r="L216" s="6">
        <f t="shared" si="15"/>
        <v>1596.6500000000005</v>
      </c>
      <c r="M216" s="6">
        <f t="shared" si="16"/>
        <v>-48237.790000000037</v>
      </c>
      <c r="N216" s="21">
        <f t="shared" si="17"/>
        <v>0.16203267805363089</v>
      </c>
      <c r="O216" s="21">
        <f t="shared" si="18"/>
        <v>1.2065310187820149</v>
      </c>
      <c r="P216" s="2" t="str">
        <f t="shared" si="19"/>
        <v>ALERTA RETRASO</v>
      </c>
    </row>
    <row r="217" spans="1:16" ht="19.95" customHeight="1" x14ac:dyDescent="0.3">
      <c r="A217" s="4">
        <v>54</v>
      </c>
      <c r="B217" s="4" t="s">
        <v>112</v>
      </c>
      <c r="C217" s="2" t="s">
        <v>56</v>
      </c>
      <c r="D217" s="3" t="s">
        <v>74</v>
      </c>
      <c r="E217" s="6">
        <f>SUM('01_PRESUPUESTO_CRONOGRAMA_BASE'!G12:G12)</f>
        <v>9348.06</v>
      </c>
      <c r="F217" s="6">
        <f>SUMIFS('02_CRONOGRAMA_PV_DIARIO'!E:E, '02_CRONOGRAMA_PV_DIARIO'!A:A, A217, '02_CRONOGRAMA_PV_DIARIO'!C:C, C217)</f>
        <v>719.08</v>
      </c>
      <c r="G217" s="6">
        <f>SUMIFS(F$2:F217, C$2:C217, C217)</f>
        <v>5033.5600000000004</v>
      </c>
      <c r="H217" s="6">
        <f>SUMIFS('04_LOG_FIELD_ENTRIES'!J:J, '04_LOG_FIELD_ENTRIES'!B:B, B217, '04_LOG_FIELD_ENTRIES'!D:D, C217, '04_LOG_FIELD_ENTRIES'!K:K, "EV_PRODUCCION")</f>
        <v>0</v>
      </c>
      <c r="I217" s="6">
        <f>SUMIFS(H$2:H217, C$2:C217, C217)</f>
        <v>2337.02</v>
      </c>
      <c r="J217" s="6">
        <f>SUMIFS('04_LOG_FIELD_ENTRIES'!J:J, '04_LOG_FIELD_ENTRIES'!B:B, B217, '04_LOG_FIELD_ENTRIES'!D:D, C217, '04_LOG_FIELD_ENTRIES'!K:K, "AC_*")</f>
        <v>0</v>
      </c>
      <c r="K217" s="6">
        <f>SUMIFS(J$2:J217, C$2:C217, C217)</f>
        <v>1299.2</v>
      </c>
      <c r="L217" s="6">
        <f t="shared" si="15"/>
        <v>1037.82</v>
      </c>
      <c r="M217" s="6">
        <f t="shared" si="16"/>
        <v>-2696.5400000000004</v>
      </c>
      <c r="N217" s="21">
        <f t="shared" si="17"/>
        <v>0.46428770095121541</v>
      </c>
      <c r="O217" s="21">
        <f t="shared" si="18"/>
        <v>1.7988146551724138</v>
      </c>
      <c r="P217" s="2" t="str">
        <f t="shared" si="19"/>
        <v>ALERTA RETRASO</v>
      </c>
    </row>
    <row r="218" spans="1:16" ht="19.95" customHeight="1" x14ac:dyDescent="0.3">
      <c r="A218" s="4">
        <v>55</v>
      </c>
      <c r="B218" s="4" t="s">
        <v>113</v>
      </c>
      <c r="C218" s="2" t="s">
        <v>14</v>
      </c>
      <c r="D218" s="3" t="s">
        <v>71</v>
      </c>
      <c r="E218" s="6">
        <f>SUM('01_PRESUPUESTO_CRONOGRAMA_BASE'!G2:G3)</f>
        <v>16336.4</v>
      </c>
      <c r="F218" s="6">
        <f>SUMIFS('02_CRONOGRAMA_PV_DIARIO'!E:E, '02_CRONOGRAMA_PV_DIARIO'!A:A, A218, '02_CRONOGRAMA_PV_DIARIO'!C:C, C218)</f>
        <v>0</v>
      </c>
      <c r="G218" s="6">
        <f>SUMIFS(F$2:F218, C$2:C218, C218)</f>
        <v>16336.459999999994</v>
      </c>
      <c r="H218" s="6">
        <f>SUMIFS('04_LOG_FIELD_ENTRIES'!J:J, '04_LOG_FIELD_ENTRIES'!B:B, B218, '04_LOG_FIELD_ENTRIES'!D:D, C218, '04_LOG_FIELD_ENTRIES'!K:K, "EV_PRODUCCION")</f>
        <v>0</v>
      </c>
      <c r="I218" s="6">
        <f>SUMIFS(H$2:H218, C$2:C218, C218)</f>
        <v>5823.2</v>
      </c>
      <c r="J218" s="6">
        <f>SUMIFS('04_LOG_FIELD_ENTRIES'!J:J, '04_LOG_FIELD_ENTRIES'!B:B, B218, '04_LOG_FIELD_ENTRIES'!D:D, C218, '04_LOG_FIELD_ENTRIES'!K:K, "AC_*")</f>
        <v>0</v>
      </c>
      <c r="K218" s="6">
        <f>SUMIFS(J$2:J218, C$2:C218, C218)</f>
        <v>6331</v>
      </c>
      <c r="L218" s="6">
        <f t="shared" si="15"/>
        <v>-507.80000000000018</v>
      </c>
      <c r="M218" s="6">
        <f t="shared" si="16"/>
        <v>-10513.259999999995</v>
      </c>
      <c r="N218" s="21">
        <f t="shared" si="17"/>
        <v>0.35645421345872985</v>
      </c>
      <c r="O218" s="21">
        <f t="shared" si="18"/>
        <v>0.91979150213236449</v>
      </c>
      <c r="P218" s="2" t="str">
        <f t="shared" si="19"/>
        <v>ALERTA RETRASO</v>
      </c>
    </row>
    <row r="219" spans="1:16" ht="19.95" customHeight="1" x14ac:dyDescent="0.3">
      <c r="A219" s="4">
        <v>55</v>
      </c>
      <c r="B219" s="4" t="s">
        <v>113</v>
      </c>
      <c r="C219" s="2" t="s">
        <v>23</v>
      </c>
      <c r="D219" s="3" t="s">
        <v>72</v>
      </c>
      <c r="E219" s="6">
        <f>SUM('01_PRESUPUESTO_CRONOGRAMA_BASE'!G4:G9)</f>
        <v>372046.56</v>
      </c>
      <c r="F219" s="6">
        <f>SUMIFS('02_CRONOGRAMA_PV_DIARIO'!E:E, '02_CRONOGRAMA_PV_DIARIO'!A:A, A219, '02_CRONOGRAMA_PV_DIARIO'!C:C, C219)</f>
        <v>0</v>
      </c>
      <c r="G219" s="6">
        <f>SUMIFS(F$2:F219, C$2:C219, C219)</f>
        <v>372046.57999999978</v>
      </c>
      <c r="H219" s="6">
        <f>SUMIFS('04_LOG_FIELD_ENTRIES'!J:J, '04_LOG_FIELD_ENTRIES'!B:B, B219, '04_LOG_FIELD_ENTRIES'!D:D, C219, '04_LOG_FIELD_ENTRIES'!K:K, "EV_PRODUCCION")</f>
        <v>0</v>
      </c>
      <c r="I219" s="6">
        <f>SUMIFS(H$2:H219, C$2:C219, C219)</f>
        <v>44254.52</v>
      </c>
      <c r="J219" s="6">
        <f>SUMIFS('04_LOG_FIELD_ENTRIES'!J:J, '04_LOG_FIELD_ENTRIES'!B:B, B219, '04_LOG_FIELD_ENTRIES'!D:D, C219, '04_LOG_FIELD_ENTRIES'!K:K, "AC_*")</f>
        <v>0</v>
      </c>
      <c r="K219" s="6">
        <f>SUMIFS(J$2:J219, C$2:C219, C219)</f>
        <v>34269.199999999997</v>
      </c>
      <c r="L219" s="6">
        <f t="shared" si="15"/>
        <v>9985.32</v>
      </c>
      <c r="M219" s="6">
        <f t="shared" si="16"/>
        <v>-327792.05999999976</v>
      </c>
      <c r="N219" s="21">
        <f t="shared" si="17"/>
        <v>0.11894886925180181</v>
      </c>
      <c r="O219" s="21">
        <f t="shared" si="18"/>
        <v>1.291378847478202</v>
      </c>
      <c r="P219" s="2" t="str">
        <f t="shared" si="19"/>
        <v>ALERTA RETRASO</v>
      </c>
    </row>
    <row r="220" spans="1:16" ht="19.95" customHeight="1" x14ac:dyDescent="0.3">
      <c r="A220" s="4">
        <v>55</v>
      </c>
      <c r="B220" s="4" t="s">
        <v>113</v>
      </c>
      <c r="C220" s="2" t="s">
        <v>49</v>
      </c>
      <c r="D220" s="3" t="s">
        <v>73</v>
      </c>
      <c r="E220" s="6">
        <f>SUM('01_PRESUPUESTO_CRONOGRAMA_BASE'!G10:G11)</f>
        <v>57565.2</v>
      </c>
      <c r="F220" s="6">
        <f>SUMIFS('02_CRONOGRAMA_PV_DIARIO'!E:E, '02_CRONOGRAMA_PV_DIARIO'!A:A, A220, '02_CRONOGRAMA_PV_DIARIO'!C:C, C220)</f>
        <v>0</v>
      </c>
      <c r="G220" s="6">
        <f>SUMIFS(F$2:F220, C$2:C220, C220)</f>
        <v>57565.240000000034</v>
      </c>
      <c r="H220" s="6">
        <f>SUMIFS('04_LOG_FIELD_ENTRIES'!J:J, '04_LOG_FIELD_ENTRIES'!B:B, B220, '04_LOG_FIELD_ENTRIES'!D:D, C220, '04_LOG_FIELD_ENTRIES'!K:K, "EV_PRODUCCION")</f>
        <v>0</v>
      </c>
      <c r="I220" s="6">
        <f>SUMIFS(H$2:H220, C$2:C220, C220)</f>
        <v>9327.4500000000007</v>
      </c>
      <c r="J220" s="6">
        <f>SUMIFS('04_LOG_FIELD_ENTRIES'!J:J, '04_LOG_FIELD_ENTRIES'!B:B, B220, '04_LOG_FIELD_ENTRIES'!D:D, C220, '04_LOG_FIELD_ENTRIES'!K:K, "AC_*")</f>
        <v>0</v>
      </c>
      <c r="K220" s="6">
        <f>SUMIFS(J$2:J220, C$2:C220, C220)</f>
        <v>7730.8</v>
      </c>
      <c r="L220" s="6">
        <f t="shared" si="15"/>
        <v>1596.6500000000005</v>
      </c>
      <c r="M220" s="6">
        <f t="shared" si="16"/>
        <v>-48237.790000000037</v>
      </c>
      <c r="N220" s="21">
        <f t="shared" si="17"/>
        <v>0.16203267805363089</v>
      </c>
      <c r="O220" s="21">
        <f t="shared" si="18"/>
        <v>1.2065310187820149</v>
      </c>
      <c r="P220" s="2" t="str">
        <f t="shared" si="19"/>
        <v>ALERTA RETRASO</v>
      </c>
    </row>
    <row r="221" spans="1:16" ht="19.95" customHeight="1" x14ac:dyDescent="0.3">
      <c r="A221" s="4">
        <v>55</v>
      </c>
      <c r="B221" s="4" t="s">
        <v>113</v>
      </c>
      <c r="C221" s="2" t="s">
        <v>56</v>
      </c>
      <c r="D221" s="3" t="s">
        <v>74</v>
      </c>
      <c r="E221" s="6">
        <f>SUM('01_PRESUPUESTO_CRONOGRAMA_BASE'!G12:G12)</f>
        <v>9348.06</v>
      </c>
      <c r="F221" s="6">
        <f>SUMIFS('02_CRONOGRAMA_PV_DIARIO'!E:E, '02_CRONOGRAMA_PV_DIARIO'!A:A, A221, '02_CRONOGRAMA_PV_DIARIO'!C:C, C221)</f>
        <v>719.08</v>
      </c>
      <c r="G221" s="6">
        <f>SUMIFS(F$2:F221, C$2:C221, C221)</f>
        <v>5752.64</v>
      </c>
      <c r="H221" s="6">
        <f>SUMIFS('04_LOG_FIELD_ENTRIES'!J:J, '04_LOG_FIELD_ENTRIES'!B:B, B221, '04_LOG_FIELD_ENTRIES'!D:D, C221, '04_LOG_FIELD_ENTRIES'!K:K, "EV_PRODUCCION")</f>
        <v>0</v>
      </c>
      <c r="I221" s="6">
        <f>SUMIFS(H$2:H221, C$2:C221, C221)</f>
        <v>2337.02</v>
      </c>
      <c r="J221" s="6">
        <f>SUMIFS('04_LOG_FIELD_ENTRIES'!J:J, '04_LOG_FIELD_ENTRIES'!B:B, B221, '04_LOG_FIELD_ENTRIES'!D:D, C221, '04_LOG_FIELD_ENTRIES'!K:K, "AC_*")</f>
        <v>0</v>
      </c>
      <c r="K221" s="6">
        <f>SUMIFS(J$2:J221, C$2:C221, C221)</f>
        <v>1299.2</v>
      </c>
      <c r="L221" s="6">
        <f t="shared" si="15"/>
        <v>1037.82</v>
      </c>
      <c r="M221" s="6">
        <f t="shared" si="16"/>
        <v>-3415.6200000000003</v>
      </c>
      <c r="N221" s="21">
        <f t="shared" si="17"/>
        <v>0.40625173833231348</v>
      </c>
      <c r="O221" s="21">
        <f t="shared" si="18"/>
        <v>1.7988146551724138</v>
      </c>
      <c r="P221" s="2" t="str">
        <f t="shared" si="19"/>
        <v>ALERTA RETRASO</v>
      </c>
    </row>
    <row r="222" spans="1:16" ht="19.95" customHeight="1" x14ac:dyDescent="0.3">
      <c r="A222" s="4">
        <v>56</v>
      </c>
      <c r="B222" s="4" t="s">
        <v>114</v>
      </c>
      <c r="C222" s="2" t="s">
        <v>14</v>
      </c>
      <c r="D222" s="3" t="s">
        <v>71</v>
      </c>
      <c r="E222" s="6">
        <f>SUM('01_PRESUPUESTO_CRONOGRAMA_BASE'!G2:G3)</f>
        <v>16336.4</v>
      </c>
      <c r="F222" s="6">
        <f>SUMIFS('02_CRONOGRAMA_PV_DIARIO'!E:E, '02_CRONOGRAMA_PV_DIARIO'!A:A, A222, '02_CRONOGRAMA_PV_DIARIO'!C:C, C222)</f>
        <v>0</v>
      </c>
      <c r="G222" s="6">
        <f>SUMIFS(F$2:F222, C$2:C222, C222)</f>
        <v>16336.459999999994</v>
      </c>
      <c r="H222" s="6">
        <f>SUMIFS('04_LOG_FIELD_ENTRIES'!J:J, '04_LOG_FIELD_ENTRIES'!B:B, B222, '04_LOG_FIELD_ENTRIES'!D:D, C222, '04_LOG_FIELD_ENTRIES'!K:K, "EV_PRODUCCION")</f>
        <v>0</v>
      </c>
      <c r="I222" s="6">
        <f>SUMIFS(H$2:H222, C$2:C222, C222)</f>
        <v>5823.2</v>
      </c>
      <c r="J222" s="6">
        <f>SUMIFS('04_LOG_FIELD_ENTRIES'!J:J, '04_LOG_FIELD_ENTRIES'!B:B, B222, '04_LOG_FIELD_ENTRIES'!D:D, C222, '04_LOG_FIELD_ENTRIES'!K:K, "AC_*")</f>
        <v>0</v>
      </c>
      <c r="K222" s="6">
        <f>SUMIFS(J$2:J222, C$2:C222, C222)</f>
        <v>6331</v>
      </c>
      <c r="L222" s="6">
        <f t="shared" si="15"/>
        <v>-507.80000000000018</v>
      </c>
      <c r="M222" s="6">
        <f t="shared" si="16"/>
        <v>-10513.259999999995</v>
      </c>
      <c r="N222" s="21">
        <f t="shared" si="17"/>
        <v>0.35645421345872985</v>
      </c>
      <c r="O222" s="21">
        <f t="shared" si="18"/>
        <v>0.91979150213236449</v>
      </c>
      <c r="P222" s="2" t="str">
        <f t="shared" si="19"/>
        <v>ALERTA RETRASO</v>
      </c>
    </row>
    <row r="223" spans="1:16" ht="19.95" customHeight="1" x14ac:dyDescent="0.3">
      <c r="A223" s="4">
        <v>56</v>
      </c>
      <c r="B223" s="4" t="s">
        <v>114</v>
      </c>
      <c r="C223" s="2" t="s">
        <v>23</v>
      </c>
      <c r="D223" s="3" t="s">
        <v>72</v>
      </c>
      <c r="E223" s="6">
        <f>SUM('01_PRESUPUESTO_CRONOGRAMA_BASE'!G4:G9)</f>
        <v>372046.56</v>
      </c>
      <c r="F223" s="6">
        <f>SUMIFS('02_CRONOGRAMA_PV_DIARIO'!E:E, '02_CRONOGRAMA_PV_DIARIO'!A:A, A223, '02_CRONOGRAMA_PV_DIARIO'!C:C, C223)</f>
        <v>0</v>
      </c>
      <c r="G223" s="6">
        <f>SUMIFS(F$2:F223, C$2:C223, C223)</f>
        <v>372046.57999999978</v>
      </c>
      <c r="H223" s="6">
        <f>SUMIFS('04_LOG_FIELD_ENTRIES'!J:J, '04_LOG_FIELD_ENTRIES'!B:B, B223, '04_LOG_FIELD_ENTRIES'!D:D, C223, '04_LOG_FIELD_ENTRIES'!K:K, "EV_PRODUCCION")</f>
        <v>0</v>
      </c>
      <c r="I223" s="6">
        <f>SUMIFS(H$2:H223, C$2:C223, C223)</f>
        <v>44254.52</v>
      </c>
      <c r="J223" s="6">
        <f>SUMIFS('04_LOG_FIELD_ENTRIES'!J:J, '04_LOG_FIELD_ENTRIES'!B:B, B223, '04_LOG_FIELD_ENTRIES'!D:D, C223, '04_LOG_FIELD_ENTRIES'!K:K, "AC_*")</f>
        <v>0</v>
      </c>
      <c r="K223" s="6">
        <f>SUMIFS(J$2:J223, C$2:C223, C223)</f>
        <v>34269.199999999997</v>
      </c>
      <c r="L223" s="6">
        <f t="shared" si="15"/>
        <v>9985.32</v>
      </c>
      <c r="M223" s="6">
        <f t="shared" si="16"/>
        <v>-327792.05999999976</v>
      </c>
      <c r="N223" s="21">
        <f t="shared" si="17"/>
        <v>0.11894886925180181</v>
      </c>
      <c r="O223" s="21">
        <f t="shared" si="18"/>
        <v>1.291378847478202</v>
      </c>
      <c r="P223" s="2" t="str">
        <f t="shared" si="19"/>
        <v>ALERTA RETRASO</v>
      </c>
    </row>
    <row r="224" spans="1:16" ht="19.95" customHeight="1" x14ac:dyDescent="0.3">
      <c r="A224" s="4">
        <v>56</v>
      </c>
      <c r="B224" s="4" t="s">
        <v>114</v>
      </c>
      <c r="C224" s="2" t="s">
        <v>49</v>
      </c>
      <c r="D224" s="3" t="s">
        <v>73</v>
      </c>
      <c r="E224" s="6">
        <f>SUM('01_PRESUPUESTO_CRONOGRAMA_BASE'!G10:G11)</f>
        <v>57565.2</v>
      </c>
      <c r="F224" s="6">
        <f>SUMIFS('02_CRONOGRAMA_PV_DIARIO'!E:E, '02_CRONOGRAMA_PV_DIARIO'!A:A, A224, '02_CRONOGRAMA_PV_DIARIO'!C:C, C224)</f>
        <v>0</v>
      </c>
      <c r="G224" s="6">
        <f>SUMIFS(F$2:F224, C$2:C224, C224)</f>
        <v>57565.240000000034</v>
      </c>
      <c r="H224" s="6">
        <f>SUMIFS('04_LOG_FIELD_ENTRIES'!J:J, '04_LOG_FIELD_ENTRIES'!B:B, B224, '04_LOG_FIELD_ENTRIES'!D:D, C224, '04_LOG_FIELD_ENTRIES'!K:K, "EV_PRODUCCION")</f>
        <v>0</v>
      </c>
      <c r="I224" s="6">
        <f>SUMIFS(H$2:H224, C$2:C224, C224)</f>
        <v>9327.4500000000007</v>
      </c>
      <c r="J224" s="6">
        <f>SUMIFS('04_LOG_FIELD_ENTRIES'!J:J, '04_LOG_FIELD_ENTRIES'!B:B, B224, '04_LOG_FIELD_ENTRIES'!D:D, C224, '04_LOG_FIELD_ENTRIES'!K:K, "AC_*")</f>
        <v>0</v>
      </c>
      <c r="K224" s="6">
        <f>SUMIFS(J$2:J224, C$2:C224, C224)</f>
        <v>7730.8</v>
      </c>
      <c r="L224" s="6">
        <f t="shared" si="15"/>
        <v>1596.6500000000005</v>
      </c>
      <c r="M224" s="6">
        <f t="shared" si="16"/>
        <v>-48237.790000000037</v>
      </c>
      <c r="N224" s="21">
        <f t="shared" si="17"/>
        <v>0.16203267805363089</v>
      </c>
      <c r="O224" s="21">
        <f t="shared" si="18"/>
        <v>1.2065310187820149</v>
      </c>
      <c r="P224" s="2" t="str">
        <f t="shared" si="19"/>
        <v>ALERTA RETRASO</v>
      </c>
    </row>
    <row r="225" spans="1:16" ht="19.95" customHeight="1" x14ac:dyDescent="0.3">
      <c r="A225" s="4">
        <v>56</v>
      </c>
      <c r="B225" s="4" t="s">
        <v>114</v>
      </c>
      <c r="C225" s="2" t="s">
        <v>56</v>
      </c>
      <c r="D225" s="3" t="s">
        <v>74</v>
      </c>
      <c r="E225" s="6">
        <f>SUM('01_PRESUPUESTO_CRONOGRAMA_BASE'!G12:G12)</f>
        <v>9348.06</v>
      </c>
      <c r="F225" s="6">
        <f>SUMIFS('02_CRONOGRAMA_PV_DIARIO'!E:E, '02_CRONOGRAMA_PV_DIARIO'!A:A, A225, '02_CRONOGRAMA_PV_DIARIO'!C:C, C225)</f>
        <v>719.08</v>
      </c>
      <c r="G225" s="6">
        <f>SUMIFS(F$2:F225, C$2:C225, C225)</f>
        <v>6471.72</v>
      </c>
      <c r="H225" s="6">
        <f>SUMIFS('04_LOG_FIELD_ENTRIES'!J:J, '04_LOG_FIELD_ENTRIES'!B:B, B225, '04_LOG_FIELD_ENTRIES'!D:D, C225, '04_LOG_FIELD_ENTRIES'!K:K, "EV_PRODUCCION")</f>
        <v>0</v>
      </c>
      <c r="I225" s="6">
        <f>SUMIFS(H$2:H225, C$2:C225, C225)</f>
        <v>2337.02</v>
      </c>
      <c r="J225" s="6">
        <f>SUMIFS('04_LOG_FIELD_ENTRIES'!J:J, '04_LOG_FIELD_ENTRIES'!B:B, B225, '04_LOG_FIELD_ENTRIES'!D:D, C225, '04_LOG_FIELD_ENTRIES'!K:K, "AC_*")</f>
        <v>0</v>
      </c>
      <c r="K225" s="6">
        <f>SUMIFS(J$2:J225, C$2:C225, C225)</f>
        <v>1299.2</v>
      </c>
      <c r="L225" s="6">
        <f t="shared" si="15"/>
        <v>1037.82</v>
      </c>
      <c r="M225" s="6">
        <f t="shared" si="16"/>
        <v>-4134.7000000000007</v>
      </c>
      <c r="N225" s="21">
        <f t="shared" si="17"/>
        <v>0.36111265629538974</v>
      </c>
      <c r="O225" s="21">
        <f t="shared" si="18"/>
        <v>1.7988146551724138</v>
      </c>
      <c r="P225" s="2" t="str">
        <f t="shared" si="19"/>
        <v>ALERTA RETRASO</v>
      </c>
    </row>
    <row r="226" spans="1:16" ht="19.95" customHeight="1" x14ac:dyDescent="0.3">
      <c r="A226" s="4">
        <v>57</v>
      </c>
      <c r="B226" s="4" t="s">
        <v>115</v>
      </c>
      <c r="C226" s="2" t="s">
        <v>14</v>
      </c>
      <c r="D226" s="3" t="s">
        <v>71</v>
      </c>
      <c r="E226" s="6">
        <f>SUM('01_PRESUPUESTO_CRONOGRAMA_BASE'!G2:G3)</f>
        <v>16336.4</v>
      </c>
      <c r="F226" s="6">
        <f>SUMIFS('02_CRONOGRAMA_PV_DIARIO'!E:E, '02_CRONOGRAMA_PV_DIARIO'!A:A, A226, '02_CRONOGRAMA_PV_DIARIO'!C:C, C226)</f>
        <v>0</v>
      </c>
      <c r="G226" s="6">
        <f>SUMIFS(F$2:F226, C$2:C226, C226)</f>
        <v>16336.459999999994</v>
      </c>
      <c r="H226" s="6">
        <f>SUMIFS('04_LOG_FIELD_ENTRIES'!J:J, '04_LOG_FIELD_ENTRIES'!B:B, B226, '04_LOG_FIELD_ENTRIES'!D:D, C226, '04_LOG_FIELD_ENTRIES'!K:K, "EV_PRODUCCION")</f>
        <v>0</v>
      </c>
      <c r="I226" s="6">
        <f>SUMIFS(H$2:H226, C$2:C226, C226)</f>
        <v>5823.2</v>
      </c>
      <c r="J226" s="6">
        <f>SUMIFS('04_LOG_FIELD_ENTRIES'!J:J, '04_LOG_FIELD_ENTRIES'!B:B, B226, '04_LOG_FIELD_ENTRIES'!D:D, C226, '04_LOG_FIELD_ENTRIES'!K:K, "AC_*")</f>
        <v>0</v>
      </c>
      <c r="K226" s="6">
        <f>SUMIFS(J$2:J226, C$2:C226, C226)</f>
        <v>6331</v>
      </c>
      <c r="L226" s="6">
        <f t="shared" si="15"/>
        <v>-507.80000000000018</v>
      </c>
      <c r="M226" s="6">
        <f t="shared" si="16"/>
        <v>-10513.259999999995</v>
      </c>
      <c r="N226" s="21">
        <f t="shared" si="17"/>
        <v>0.35645421345872985</v>
      </c>
      <c r="O226" s="21">
        <f t="shared" si="18"/>
        <v>0.91979150213236449</v>
      </c>
      <c r="P226" s="2" t="str">
        <f t="shared" si="19"/>
        <v>ALERTA RETRASO</v>
      </c>
    </row>
    <row r="227" spans="1:16" ht="19.95" customHeight="1" x14ac:dyDescent="0.3">
      <c r="A227" s="4">
        <v>57</v>
      </c>
      <c r="B227" s="4" t="s">
        <v>115</v>
      </c>
      <c r="C227" s="2" t="s">
        <v>23</v>
      </c>
      <c r="D227" s="3" t="s">
        <v>72</v>
      </c>
      <c r="E227" s="6">
        <f>SUM('01_PRESUPUESTO_CRONOGRAMA_BASE'!G4:G9)</f>
        <v>372046.56</v>
      </c>
      <c r="F227" s="6">
        <f>SUMIFS('02_CRONOGRAMA_PV_DIARIO'!E:E, '02_CRONOGRAMA_PV_DIARIO'!A:A, A227, '02_CRONOGRAMA_PV_DIARIO'!C:C, C227)</f>
        <v>0</v>
      </c>
      <c r="G227" s="6">
        <f>SUMIFS(F$2:F227, C$2:C227, C227)</f>
        <v>372046.57999999978</v>
      </c>
      <c r="H227" s="6">
        <f>SUMIFS('04_LOG_FIELD_ENTRIES'!J:J, '04_LOG_FIELD_ENTRIES'!B:B, B227, '04_LOG_FIELD_ENTRIES'!D:D, C227, '04_LOG_FIELD_ENTRIES'!K:K, "EV_PRODUCCION")</f>
        <v>0</v>
      </c>
      <c r="I227" s="6">
        <f>SUMIFS(H$2:H227, C$2:C227, C227)</f>
        <v>44254.52</v>
      </c>
      <c r="J227" s="6">
        <f>SUMIFS('04_LOG_FIELD_ENTRIES'!J:J, '04_LOG_FIELD_ENTRIES'!B:B, B227, '04_LOG_FIELD_ENTRIES'!D:D, C227, '04_LOG_FIELD_ENTRIES'!K:K, "AC_*")</f>
        <v>0</v>
      </c>
      <c r="K227" s="6">
        <f>SUMIFS(J$2:J227, C$2:C227, C227)</f>
        <v>34269.199999999997</v>
      </c>
      <c r="L227" s="6">
        <f t="shared" si="15"/>
        <v>9985.32</v>
      </c>
      <c r="M227" s="6">
        <f t="shared" si="16"/>
        <v>-327792.05999999976</v>
      </c>
      <c r="N227" s="21">
        <f t="shared" si="17"/>
        <v>0.11894886925180181</v>
      </c>
      <c r="O227" s="21">
        <f t="shared" si="18"/>
        <v>1.291378847478202</v>
      </c>
      <c r="P227" s="2" t="str">
        <f t="shared" si="19"/>
        <v>ALERTA RETRASO</v>
      </c>
    </row>
    <row r="228" spans="1:16" ht="19.95" customHeight="1" x14ac:dyDescent="0.3">
      <c r="A228" s="4">
        <v>57</v>
      </c>
      <c r="B228" s="4" t="s">
        <v>115</v>
      </c>
      <c r="C228" s="2" t="s">
        <v>49</v>
      </c>
      <c r="D228" s="3" t="s">
        <v>73</v>
      </c>
      <c r="E228" s="6">
        <f>SUM('01_PRESUPUESTO_CRONOGRAMA_BASE'!G10:G11)</f>
        <v>57565.2</v>
      </c>
      <c r="F228" s="6">
        <f>SUMIFS('02_CRONOGRAMA_PV_DIARIO'!E:E, '02_CRONOGRAMA_PV_DIARIO'!A:A, A228, '02_CRONOGRAMA_PV_DIARIO'!C:C, C228)</f>
        <v>0</v>
      </c>
      <c r="G228" s="6">
        <f>SUMIFS(F$2:F228, C$2:C228, C228)</f>
        <v>57565.240000000034</v>
      </c>
      <c r="H228" s="6">
        <f>SUMIFS('04_LOG_FIELD_ENTRIES'!J:J, '04_LOG_FIELD_ENTRIES'!B:B, B228, '04_LOG_FIELD_ENTRIES'!D:D, C228, '04_LOG_FIELD_ENTRIES'!K:K, "EV_PRODUCCION")</f>
        <v>0</v>
      </c>
      <c r="I228" s="6">
        <f>SUMIFS(H$2:H228, C$2:C228, C228)</f>
        <v>9327.4500000000007</v>
      </c>
      <c r="J228" s="6">
        <f>SUMIFS('04_LOG_FIELD_ENTRIES'!J:J, '04_LOG_FIELD_ENTRIES'!B:B, B228, '04_LOG_FIELD_ENTRIES'!D:D, C228, '04_LOG_FIELD_ENTRIES'!K:K, "AC_*")</f>
        <v>0</v>
      </c>
      <c r="K228" s="6">
        <f>SUMIFS(J$2:J228, C$2:C228, C228)</f>
        <v>7730.8</v>
      </c>
      <c r="L228" s="6">
        <f t="shared" si="15"/>
        <v>1596.6500000000005</v>
      </c>
      <c r="M228" s="6">
        <f t="shared" si="16"/>
        <v>-48237.790000000037</v>
      </c>
      <c r="N228" s="21">
        <f t="shared" si="17"/>
        <v>0.16203267805363089</v>
      </c>
      <c r="O228" s="21">
        <f t="shared" si="18"/>
        <v>1.2065310187820149</v>
      </c>
      <c r="P228" s="2" t="str">
        <f t="shared" si="19"/>
        <v>ALERTA RETRASO</v>
      </c>
    </row>
    <row r="229" spans="1:16" ht="19.95" customHeight="1" x14ac:dyDescent="0.3">
      <c r="A229" s="4">
        <v>57</v>
      </c>
      <c r="B229" s="4" t="s">
        <v>115</v>
      </c>
      <c r="C229" s="2" t="s">
        <v>56</v>
      </c>
      <c r="D229" s="3" t="s">
        <v>74</v>
      </c>
      <c r="E229" s="6">
        <f>SUM('01_PRESUPUESTO_CRONOGRAMA_BASE'!G12:G12)</f>
        <v>9348.06</v>
      </c>
      <c r="F229" s="6">
        <f>SUMIFS('02_CRONOGRAMA_PV_DIARIO'!E:E, '02_CRONOGRAMA_PV_DIARIO'!A:A, A229, '02_CRONOGRAMA_PV_DIARIO'!C:C, C229)</f>
        <v>719.08</v>
      </c>
      <c r="G229" s="6">
        <f>SUMIFS(F$2:F229, C$2:C229, C229)</f>
        <v>7190.8</v>
      </c>
      <c r="H229" s="6">
        <f>SUMIFS('04_LOG_FIELD_ENTRIES'!J:J, '04_LOG_FIELD_ENTRIES'!B:B, B229, '04_LOG_FIELD_ENTRIES'!D:D, C229, '04_LOG_FIELD_ENTRIES'!K:K, "EV_PRODUCCION")</f>
        <v>0</v>
      </c>
      <c r="I229" s="6">
        <f>SUMIFS(H$2:H229, C$2:C229, C229)</f>
        <v>2337.02</v>
      </c>
      <c r="J229" s="6">
        <f>SUMIFS('04_LOG_FIELD_ENTRIES'!J:J, '04_LOG_FIELD_ENTRIES'!B:B, B229, '04_LOG_FIELD_ENTRIES'!D:D, C229, '04_LOG_FIELD_ENTRIES'!K:K, "AC_*")</f>
        <v>0</v>
      </c>
      <c r="K229" s="6">
        <f>SUMIFS(J$2:J229, C$2:C229, C229)</f>
        <v>1299.2</v>
      </c>
      <c r="L229" s="6">
        <f t="shared" si="15"/>
        <v>1037.82</v>
      </c>
      <c r="M229" s="6">
        <f t="shared" si="16"/>
        <v>-4853.7800000000007</v>
      </c>
      <c r="N229" s="21">
        <f t="shared" si="17"/>
        <v>0.32500139066585082</v>
      </c>
      <c r="O229" s="21">
        <f t="shared" si="18"/>
        <v>1.7988146551724138</v>
      </c>
      <c r="P229" s="2" t="str">
        <f t="shared" si="19"/>
        <v>ALERTA RETRASO</v>
      </c>
    </row>
    <row r="230" spans="1:16" ht="19.95" customHeight="1" x14ac:dyDescent="0.3">
      <c r="A230" s="4">
        <v>58</v>
      </c>
      <c r="B230" s="4" t="s">
        <v>116</v>
      </c>
      <c r="C230" s="2" t="s">
        <v>14</v>
      </c>
      <c r="D230" s="3" t="s">
        <v>71</v>
      </c>
      <c r="E230" s="6">
        <f>SUM('01_PRESUPUESTO_CRONOGRAMA_BASE'!G2:G3)</f>
        <v>16336.4</v>
      </c>
      <c r="F230" s="6">
        <f>SUMIFS('02_CRONOGRAMA_PV_DIARIO'!E:E, '02_CRONOGRAMA_PV_DIARIO'!A:A, A230, '02_CRONOGRAMA_PV_DIARIO'!C:C, C230)</f>
        <v>0</v>
      </c>
      <c r="G230" s="6">
        <f>SUMIFS(F$2:F230, C$2:C230, C230)</f>
        <v>16336.459999999994</v>
      </c>
      <c r="H230" s="6">
        <f>SUMIFS('04_LOG_FIELD_ENTRIES'!J:J, '04_LOG_FIELD_ENTRIES'!B:B, B230, '04_LOG_FIELD_ENTRIES'!D:D, C230, '04_LOG_FIELD_ENTRIES'!K:K, "EV_PRODUCCION")</f>
        <v>0</v>
      </c>
      <c r="I230" s="6">
        <f>SUMIFS(H$2:H230, C$2:C230, C230)</f>
        <v>5823.2</v>
      </c>
      <c r="J230" s="6">
        <f>SUMIFS('04_LOG_FIELD_ENTRIES'!J:J, '04_LOG_FIELD_ENTRIES'!B:B, B230, '04_LOG_FIELD_ENTRIES'!D:D, C230, '04_LOG_FIELD_ENTRIES'!K:K, "AC_*")</f>
        <v>0</v>
      </c>
      <c r="K230" s="6">
        <f>SUMIFS(J$2:J230, C$2:C230, C230)</f>
        <v>6331</v>
      </c>
      <c r="L230" s="6">
        <f t="shared" si="15"/>
        <v>-507.80000000000018</v>
      </c>
      <c r="M230" s="6">
        <f t="shared" si="16"/>
        <v>-10513.259999999995</v>
      </c>
      <c r="N230" s="21">
        <f t="shared" si="17"/>
        <v>0.35645421345872985</v>
      </c>
      <c r="O230" s="21">
        <f t="shared" si="18"/>
        <v>0.91979150213236449</v>
      </c>
      <c r="P230" s="2" t="str">
        <f t="shared" si="19"/>
        <v>ALERTA RETRASO</v>
      </c>
    </row>
    <row r="231" spans="1:16" ht="19.95" customHeight="1" x14ac:dyDescent="0.3">
      <c r="A231" s="4">
        <v>58</v>
      </c>
      <c r="B231" s="4" t="s">
        <v>116</v>
      </c>
      <c r="C231" s="2" t="s">
        <v>23</v>
      </c>
      <c r="D231" s="3" t="s">
        <v>72</v>
      </c>
      <c r="E231" s="6">
        <f>SUM('01_PRESUPUESTO_CRONOGRAMA_BASE'!G4:G9)</f>
        <v>372046.56</v>
      </c>
      <c r="F231" s="6">
        <f>SUMIFS('02_CRONOGRAMA_PV_DIARIO'!E:E, '02_CRONOGRAMA_PV_DIARIO'!A:A, A231, '02_CRONOGRAMA_PV_DIARIO'!C:C, C231)</f>
        <v>0</v>
      </c>
      <c r="G231" s="6">
        <f>SUMIFS(F$2:F231, C$2:C231, C231)</f>
        <v>372046.57999999978</v>
      </c>
      <c r="H231" s="6">
        <f>SUMIFS('04_LOG_FIELD_ENTRIES'!J:J, '04_LOG_FIELD_ENTRIES'!B:B, B231, '04_LOG_FIELD_ENTRIES'!D:D, C231, '04_LOG_FIELD_ENTRIES'!K:K, "EV_PRODUCCION")</f>
        <v>0</v>
      </c>
      <c r="I231" s="6">
        <f>SUMIFS(H$2:H231, C$2:C231, C231)</f>
        <v>44254.52</v>
      </c>
      <c r="J231" s="6">
        <f>SUMIFS('04_LOG_FIELD_ENTRIES'!J:J, '04_LOG_FIELD_ENTRIES'!B:B, B231, '04_LOG_FIELD_ENTRIES'!D:D, C231, '04_LOG_FIELD_ENTRIES'!K:K, "AC_*")</f>
        <v>0</v>
      </c>
      <c r="K231" s="6">
        <f>SUMIFS(J$2:J231, C$2:C231, C231)</f>
        <v>34269.199999999997</v>
      </c>
      <c r="L231" s="6">
        <f t="shared" si="15"/>
        <v>9985.32</v>
      </c>
      <c r="M231" s="6">
        <f t="shared" si="16"/>
        <v>-327792.05999999976</v>
      </c>
      <c r="N231" s="21">
        <f t="shared" si="17"/>
        <v>0.11894886925180181</v>
      </c>
      <c r="O231" s="21">
        <f t="shared" si="18"/>
        <v>1.291378847478202</v>
      </c>
      <c r="P231" s="2" t="str">
        <f t="shared" si="19"/>
        <v>ALERTA RETRASO</v>
      </c>
    </row>
    <row r="232" spans="1:16" ht="19.95" customHeight="1" x14ac:dyDescent="0.3">
      <c r="A232" s="4">
        <v>58</v>
      </c>
      <c r="B232" s="4" t="s">
        <v>116</v>
      </c>
      <c r="C232" s="2" t="s">
        <v>49</v>
      </c>
      <c r="D232" s="3" t="s">
        <v>73</v>
      </c>
      <c r="E232" s="6">
        <f>SUM('01_PRESUPUESTO_CRONOGRAMA_BASE'!G10:G11)</f>
        <v>57565.2</v>
      </c>
      <c r="F232" s="6">
        <f>SUMIFS('02_CRONOGRAMA_PV_DIARIO'!E:E, '02_CRONOGRAMA_PV_DIARIO'!A:A, A232, '02_CRONOGRAMA_PV_DIARIO'!C:C, C232)</f>
        <v>0</v>
      </c>
      <c r="G232" s="6">
        <f>SUMIFS(F$2:F232, C$2:C232, C232)</f>
        <v>57565.240000000034</v>
      </c>
      <c r="H232" s="6">
        <f>SUMIFS('04_LOG_FIELD_ENTRIES'!J:J, '04_LOG_FIELD_ENTRIES'!B:B, B232, '04_LOG_FIELD_ENTRIES'!D:D, C232, '04_LOG_FIELD_ENTRIES'!K:K, "EV_PRODUCCION")</f>
        <v>0</v>
      </c>
      <c r="I232" s="6">
        <f>SUMIFS(H$2:H232, C$2:C232, C232)</f>
        <v>9327.4500000000007</v>
      </c>
      <c r="J232" s="6">
        <f>SUMIFS('04_LOG_FIELD_ENTRIES'!J:J, '04_LOG_FIELD_ENTRIES'!B:B, B232, '04_LOG_FIELD_ENTRIES'!D:D, C232, '04_LOG_FIELD_ENTRIES'!K:K, "AC_*")</f>
        <v>0</v>
      </c>
      <c r="K232" s="6">
        <f>SUMIFS(J$2:J232, C$2:C232, C232)</f>
        <v>7730.8</v>
      </c>
      <c r="L232" s="6">
        <f t="shared" si="15"/>
        <v>1596.6500000000005</v>
      </c>
      <c r="M232" s="6">
        <f t="shared" si="16"/>
        <v>-48237.790000000037</v>
      </c>
      <c r="N232" s="21">
        <f t="shared" si="17"/>
        <v>0.16203267805363089</v>
      </c>
      <c r="O232" s="21">
        <f t="shared" si="18"/>
        <v>1.2065310187820149</v>
      </c>
      <c r="P232" s="2" t="str">
        <f t="shared" si="19"/>
        <v>ALERTA RETRASO</v>
      </c>
    </row>
    <row r="233" spans="1:16" ht="19.95" customHeight="1" x14ac:dyDescent="0.3">
      <c r="A233" s="4">
        <v>58</v>
      </c>
      <c r="B233" s="4" t="s">
        <v>116</v>
      </c>
      <c r="C233" s="2" t="s">
        <v>56</v>
      </c>
      <c r="D233" s="3" t="s">
        <v>74</v>
      </c>
      <c r="E233" s="6">
        <f>SUM('01_PRESUPUESTO_CRONOGRAMA_BASE'!G12:G12)</f>
        <v>9348.06</v>
      </c>
      <c r="F233" s="6">
        <f>SUMIFS('02_CRONOGRAMA_PV_DIARIO'!E:E, '02_CRONOGRAMA_PV_DIARIO'!A:A, A233, '02_CRONOGRAMA_PV_DIARIO'!C:C, C233)</f>
        <v>719.08</v>
      </c>
      <c r="G233" s="6">
        <f>SUMIFS(F$2:F233, C$2:C233, C233)</f>
        <v>7909.88</v>
      </c>
      <c r="H233" s="6">
        <f>SUMIFS('04_LOG_FIELD_ENTRIES'!J:J, '04_LOG_FIELD_ENTRIES'!B:B, B233, '04_LOG_FIELD_ENTRIES'!D:D, C233, '04_LOG_FIELD_ENTRIES'!K:K, "EV_PRODUCCION")</f>
        <v>0</v>
      </c>
      <c r="I233" s="6">
        <f>SUMIFS(H$2:H233, C$2:C233, C233)</f>
        <v>2337.02</v>
      </c>
      <c r="J233" s="6">
        <f>SUMIFS('04_LOG_FIELD_ENTRIES'!J:J, '04_LOG_FIELD_ENTRIES'!B:B, B233, '04_LOG_FIELD_ENTRIES'!D:D, C233, '04_LOG_FIELD_ENTRIES'!K:K, "AC_*")</f>
        <v>0</v>
      </c>
      <c r="K233" s="6">
        <f>SUMIFS(J$2:J233, C$2:C233, C233)</f>
        <v>1299.2</v>
      </c>
      <c r="L233" s="6">
        <f t="shared" si="15"/>
        <v>1037.82</v>
      </c>
      <c r="M233" s="6">
        <f t="shared" si="16"/>
        <v>-5572.8600000000006</v>
      </c>
      <c r="N233" s="21">
        <f t="shared" si="17"/>
        <v>0.29545580969622798</v>
      </c>
      <c r="O233" s="21">
        <f t="shared" si="18"/>
        <v>1.7988146551724138</v>
      </c>
      <c r="P233" s="2" t="str">
        <f t="shared" si="19"/>
        <v>ALERTA RETRASO</v>
      </c>
    </row>
    <row r="234" spans="1:16" ht="19.95" customHeight="1" x14ac:dyDescent="0.3">
      <c r="A234" s="4">
        <v>59</v>
      </c>
      <c r="B234" s="4" t="s">
        <v>117</v>
      </c>
      <c r="C234" s="2" t="s">
        <v>14</v>
      </c>
      <c r="D234" s="3" t="s">
        <v>71</v>
      </c>
      <c r="E234" s="6">
        <f>SUM('01_PRESUPUESTO_CRONOGRAMA_BASE'!G2:G3)</f>
        <v>16336.4</v>
      </c>
      <c r="F234" s="6">
        <f>SUMIFS('02_CRONOGRAMA_PV_DIARIO'!E:E, '02_CRONOGRAMA_PV_DIARIO'!A:A, A234, '02_CRONOGRAMA_PV_DIARIO'!C:C, C234)</f>
        <v>0</v>
      </c>
      <c r="G234" s="6">
        <f>SUMIFS(F$2:F234, C$2:C234, C234)</f>
        <v>16336.459999999994</v>
      </c>
      <c r="H234" s="6">
        <f>SUMIFS('04_LOG_FIELD_ENTRIES'!J:J, '04_LOG_FIELD_ENTRIES'!B:B, B234, '04_LOG_FIELD_ENTRIES'!D:D, C234, '04_LOG_FIELD_ENTRIES'!K:K, "EV_PRODUCCION")</f>
        <v>0</v>
      </c>
      <c r="I234" s="6">
        <f>SUMIFS(H$2:H234, C$2:C234, C234)</f>
        <v>5823.2</v>
      </c>
      <c r="J234" s="6">
        <f>SUMIFS('04_LOG_FIELD_ENTRIES'!J:J, '04_LOG_FIELD_ENTRIES'!B:B, B234, '04_LOG_FIELD_ENTRIES'!D:D, C234, '04_LOG_FIELD_ENTRIES'!K:K, "AC_*")</f>
        <v>0</v>
      </c>
      <c r="K234" s="6">
        <f>SUMIFS(J$2:J234, C$2:C234, C234)</f>
        <v>6331</v>
      </c>
      <c r="L234" s="6">
        <f t="shared" si="15"/>
        <v>-507.80000000000018</v>
      </c>
      <c r="M234" s="6">
        <f t="shared" si="16"/>
        <v>-10513.259999999995</v>
      </c>
      <c r="N234" s="21">
        <f t="shared" si="17"/>
        <v>0.35645421345872985</v>
      </c>
      <c r="O234" s="21">
        <f t="shared" si="18"/>
        <v>0.91979150213236449</v>
      </c>
      <c r="P234" s="2" t="str">
        <f t="shared" si="19"/>
        <v>ALERTA RETRASO</v>
      </c>
    </row>
    <row r="235" spans="1:16" ht="19.95" customHeight="1" x14ac:dyDescent="0.3">
      <c r="A235" s="4">
        <v>59</v>
      </c>
      <c r="B235" s="4" t="s">
        <v>117</v>
      </c>
      <c r="C235" s="2" t="s">
        <v>23</v>
      </c>
      <c r="D235" s="3" t="s">
        <v>72</v>
      </c>
      <c r="E235" s="6">
        <f>SUM('01_PRESUPUESTO_CRONOGRAMA_BASE'!G4:G9)</f>
        <v>372046.56</v>
      </c>
      <c r="F235" s="6">
        <f>SUMIFS('02_CRONOGRAMA_PV_DIARIO'!E:E, '02_CRONOGRAMA_PV_DIARIO'!A:A, A235, '02_CRONOGRAMA_PV_DIARIO'!C:C, C235)</f>
        <v>0</v>
      </c>
      <c r="G235" s="6">
        <f>SUMIFS(F$2:F235, C$2:C235, C235)</f>
        <v>372046.57999999978</v>
      </c>
      <c r="H235" s="6">
        <f>SUMIFS('04_LOG_FIELD_ENTRIES'!J:J, '04_LOG_FIELD_ENTRIES'!B:B, B235, '04_LOG_FIELD_ENTRIES'!D:D, C235, '04_LOG_FIELD_ENTRIES'!K:K, "EV_PRODUCCION")</f>
        <v>0</v>
      </c>
      <c r="I235" s="6">
        <f>SUMIFS(H$2:H235, C$2:C235, C235)</f>
        <v>44254.52</v>
      </c>
      <c r="J235" s="6">
        <f>SUMIFS('04_LOG_FIELD_ENTRIES'!J:J, '04_LOG_FIELD_ENTRIES'!B:B, B235, '04_LOG_FIELD_ENTRIES'!D:D, C235, '04_LOG_FIELD_ENTRIES'!K:K, "AC_*")</f>
        <v>0</v>
      </c>
      <c r="K235" s="6">
        <f>SUMIFS(J$2:J235, C$2:C235, C235)</f>
        <v>34269.199999999997</v>
      </c>
      <c r="L235" s="6">
        <f t="shared" si="15"/>
        <v>9985.32</v>
      </c>
      <c r="M235" s="6">
        <f t="shared" si="16"/>
        <v>-327792.05999999976</v>
      </c>
      <c r="N235" s="21">
        <f t="shared" si="17"/>
        <v>0.11894886925180181</v>
      </c>
      <c r="O235" s="21">
        <f t="shared" si="18"/>
        <v>1.291378847478202</v>
      </c>
      <c r="P235" s="2" t="str">
        <f t="shared" si="19"/>
        <v>ALERTA RETRASO</v>
      </c>
    </row>
    <row r="236" spans="1:16" ht="19.95" customHeight="1" x14ac:dyDescent="0.3">
      <c r="A236" s="4">
        <v>59</v>
      </c>
      <c r="B236" s="4" t="s">
        <v>117</v>
      </c>
      <c r="C236" s="2" t="s">
        <v>49</v>
      </c>
      <c r="D236" s="3" t="s">
        <v>73</v>
      </c>
      <c r="E236" s="6">
        <f>SUM('01_PRESUPUESTO_CRONOGRAMA_BASE'!G10:G11)</f>
        <v>57565.2</v>
      </c>
      <c r="F236" s="6">
        <f>SUMIFS('02_CRONOGRAMA_PV_DIARIO'!E:E, '02_CRONOGRAMA_PV_DIARIO'!A:A, A236, '02_CRONOGRAMA_PV_DIARIO'!C:C, C236)</f>
        <v>0</v>
      </c>
      <c r="G236" s="6">
        <f>SUMIFS(F$2:F236, C$2:C236, C236)</f>
        <v>57565.240000000034</v>
      </c>
      <c r="H236" s="6">
        <f>SUMIFS('04_LOG_FIELD_ENTRIES'!J:J, '04_LOG_FIELD_ENTRIES'!B:B, B236, '04_LOG_FIELD_ENTRIES'!D:D, C236, '04_LOG_FIELD_ENTRIES'!K:K, "EV_PRODUCCION")</f>
        <v>0</v>
      </c>
      <c r="I236" s="6">
        <f>SUMIFS(H$2:H236, C$2:C236, C236)</f>
        <v>9327.4500000000007</v>
      </c>
      <c r="J236" s="6">
        <f>SUMIFS('04_LOG_FIELD_ENTRIES'!J:J, '04_LOG_FIELD_ENTRIES'!B:B, B236, '04_LOG_FIELD_ENTRIES'!D:D, C236, '04_LOG_FIELD_ENTRIES'!K:K, "AC_*")</f>
        <v>0</v>
      </c>
      <c r="K236" s="6">
        <f>SUMIFS(J$2:J236, C$2:C236, C236)</f>
        <v>7730.8</v>
      </c>
      <c r="L236" s="6">
        <f t="shared" si="15"/>
        <v>1596.6500000000005</v>
      </c>
      <c r="M236" s="6">
        <f t="shared" si="16"/>
        <v>-48237.790000000037</v>
      </c>
      <c r="N236" s="21">
        <f t="shared" si="17"/>
        <v>0.16203267805363089</v>
      </c>
      <c r="O236" s="21">
        <f t="shared" si="18"/>
        <v>1.2065310187820149</v>
      </c>
      <c r="P236" s="2" t="str">
        <f t="shared" si="19"/>
        <v>ALERTA RETRASO</v>
      </c>
    </row>
    <row r="237" spans="1:16" ht="19.95" customHeight="1" x14ac:dyDescent="0.3">
      <c r="A237" s="4">
        <v>59</v>
      </c>
      <c r="B237" s="4" t="s">
        <v>117</v>
      </c>
      <c r="C237" s="2" t="s">
        <v>56</v>
      </c>
      <c r="D237" s="3" t="s">
        <v>74</v>
      </c>
      <c r="E237" s="6">
        <f>SUM('01_PRESUPUESTO_CRONOGRAMA_BASE'!G12:G12)</f>
        <v>9348.06</v>
      </c>
      <c r="F237" s="6">
        <f>SUMIFS('02_CRONOGRAMA_PV_DIARIO'!E:E, '02_CRONOGRAMA_PV_DIARIO'!A:A, A237, '02_CRONOGRAMA_PV_DIARIO'!C:C, C237)</f>
        <v>719.08</v>
      </c>
      <c r="G237" s="6">
        <f>SUMIFS(F$2:F237, C$2:C237, C237)</f>
        <v>8628.9600000000009</v>
      </c>
      <c r="H237" s="6">
        <f>SUMIFS('04_LOG_FIELD_ENTRIES'!J:J, '04_LOG_FIELD_ENTRIES'!B:B, B237, '04_LOG_FIELD_ENTRIES'!D:D, C237, '04_LOG_FIELD_ENTRIES'!K:K, "EV_PRODUCCION")</f>
        <v>0</v>
      </c>
      <c r="I237" s="6">
        <f>SUMIFS(H$2:H237, C$2:C237, C237)</f>
        <v>2337.02</v>
      </c>
      <c r="J237" s="6">
        <f>SUMIFS('04_LOG_FIELD_ENTRIES'!J:J, '04_LOG_FIELD_ENTRIES'!B:B, B237, '04_LOG_FIELD_ENTRIES'!D:D, C237, '04_LOG_FIELD_ENTRIES'!K:K, "AC_*")</f>
        <v>0</v>
      </c>
      <c r="K237" s="6">
        <f>SUMIFS(J$2:J237, C$2:C237, C237)</f>
        <v>1299.2</v>
      </c>
      <c r="L237" s="6">
        <f t="shared" si="15"/>
        <v>1037.82</v>
      </c>
      <c r="M237" s="6">
        <f t="shared" si="16"/>
        <v>-6291.9400000000005</v>
      </c>
      <c r="N237" s="21">
        <f t="shared" si="17"/>
        <v>0.27083449222154232</v>
      </c>
      <c r="O237" s="21">
        <f t="shared" si="18"/>
        <v>1.7988146551724138</v>
      </c>
      <c r="P237" s="2" t="str">
        <f t="shared" si="19"/>
        <v>ALERTA RETRASO</v>
      </c>
    </row>
    <row r="238" spans="1:16" ht="19.95" customHeight="1" x14ac:dyDescent="0.3">
      <c r="A238" s="4">
        <v>60</v>
      </c>
      <c r="B238" s="4" t="s">
        <v>59</v>
      </c>
      <c r="C238" s="2" t="s">
        <v>14</v>
      </c>
      <c r="D238" s="3" t="s">
        <v>71</v>
      </c>
      <c r="E238" s="6">
        <f>SUM('01_PRESUPUESTO_CRONOGRAMA_BASE'!G2:G3)</f>
        <v>16336.4</v>
      </c>
      <c r="F238" s="6">
        <f>SUMIFS('02_CRONOGRAMA_PV_DIARIO'!E:E, '02_CRONOGRAMA_PV_DIARIO'!A:A, A238, '02_CRONOGRAMA_PV_DIARIO'!C:C, C238)</f>
        <v>0</v>
      </c>
      <c r="G238" s="6">
        <f>SUMIFS(F$2:F238, C$2:C238, C238)</f>
        <v>16336.459999999994</v>
      </c>
      <c r="H238" s="6">
        <f>SUMIFS('04_LOG_FIELD_ENTRIES'!J:J, '04_LOG_FIELD_ENTRIES'!B:B, B238, '04_LOG_FIELD_ENTRIES'!D:D, C238, '04_LOG_FIELD_ENTRIES'!K:K, "EV_PRODUCCION")</f>
        <v>0</v>
      </c>
      <c r="I238" s="6">
        <f>SUMIFS(H$2:H238, C$2:C238, C238)</f>
        <v>5823.2</v>
      </c>
      <c r="J238" s="6">
        <f>SUMIFS('04_LOG_FIELD_ENTRIES'!J:J, '04_LOG_FIELD_ENTRIES'!B:B, B238, '04_LOG_FIELD_ENTRIES'!D:D, C238, '04_LOG_FIELD_ENTRIES'!K:K, "AC_*")</f>
        <v>0</v>
      </c>
      <c r="K238" s="6">
        <f>SUMIFS(J$2:J238, C$2:C238, C238)</f>
        <v>6331</v>
      </c>
      <c r="L238" s="6">
        <f t="shared" si="15"/>
        <v>-507.80000000000018</v>
      </c>
      <c r="M238" s="6">
        <f t="shared" si="16"/>
        <v>-10513.259999999995</v>
      </c>
      <c r="N238" s="21">
        <f t="shared" si="17"/>
        <v>0.35645421345872985</v>
      </c>
      <c r="O238" s="21">
        <f t="shared" si="18"/>
        <v>0.91979150213236449</v>
      </c>
      <c r="P238" s="2" t="str">
        <f t="shared" si="19"/>
        <v>ALERTA RETRASO</v>
      </c>
    </row>
    <row r="239" spans="1:16" ht="19.95" customHeight="1" x14ac:dyDescent="0.3">
      <c r="A239" s="4">
        <v>60</v>
      </c>
      <c r="B239" s="4" t="s">
        <v>59</v>
      </c>
      <c r="C239" s="2" t="s">
        <v>23</v>
      </c>
      <c r="D239" s="3" t="s">
        <v>72</v>
      </c>
      <c r="E239" s="6">
        <f>SUM('01_PRESUPUESTO_CRONOGRAMA_BASE'!G4:G9)</f>
        <v>372046.56</v>
      </c>
      <c r="F239" s="6">
        <f>SUMIFS('02_CRONOGRAMA_PV_DIARIO'!E:E, '02_CRONOGRAMA_PV_DIARIO'!A:A, A239, '02_CRONOGRAMA_PV_DIARIO'!C:C, C239)</f>
        <v>0</v>
      </c>
      <c r="G239" s="6">
        <f>SUMIFS(F$2:F239, C$2:C239, C239)</f>
        <v>372046.57999999978</v>
      </c>
      <c r="H239" s="6">
        <f>SUMIFS('04_LOG_FIELD_ENTRIES'!J:J, '04_LOG_FIELD_ENTRIES'!B:B, B239, '04_LOG_FIELD_ENTRIES'!D:D, C239, '04_LOG_FIELD_ENTRIES'!K:K, "EV_PRODUCCION")</f>
        <v>0</v>
      </c>
      <c r="I239" s="6">
        <f>SUMIFS(H$2:H239, C$2:C239, C239)</f>
        <v>44254.52</v>
      </c>
      <c r="J239" s="6">
        <f>SUMIFS('04_LOG_FIELD_ENTRIES'!J:J, '04_LOG_FIELD_ENTRIES'!B:B, B239, '04_LOG_FIELD_ENTRIES'!D:D, C239, '04_LOG_FIELD_ENTRIES'!K:K, "AC_*")</f>
        <v>0</v>
      </c>
      <c r="K239" s="6">
        <f>SUMIFS(J$2:J239, C$2:C239, C239)</f>
        <v>34269.199999999997</v>
      </c>
      <c r="L239" s="6">
        <f t="shared" si="15"/>
        <v>9985.32</v>
      </c>
      <c r="M239" s="6">
        <f t="shared" si="16"/>
        <v>-327792.05999999976</v>
      </c>
      <c r="N239" s="21">
        <f t="shared" si="17"/>
        <v>0.11894886925180181</v>
      </c>
      <c r="O239" s="21">
        <f t="shared" si="18"/>
        <v>1.291378847478202</v>
      </c>
      <c r="P239" s="2" t="str">
        <f t="shared" si="19"/>
        <v>ALERTA RETRASO</v>
      </c>
    </row>
    <row r="240" spans="1:16" ht="19.95" customHeight="1" x14ac:dyDescent="0.3">
      <c r="A240" s="4">
        <v>60</v>
      </c>
      <c r="B240" s="4" t="s">
        <v>59</v>
      </c>
      <c r="C240" s="2" t="s">
        <v>49</v>
      </c>
      <c r="D240" s="3" t="s">
        <v>73</v>
      </c>
      <c r="E240" s="6">
        <f>SUM('01_PRESUPUESTO_CRONOGRAMA_BASE'!G10:G11)</f>
        <v>57565.2</v>
      </c>
      <c r="F240" s="6">
        <f>SUMIFS('02_CRONOGRAMA_PV_DIARIO'!E:E, '02_CRONOGRAMA_PV_DIARIO'!A:A, A240, '02_CRONOGRAMA_PV_DIARIO'!C:C, C240)</f>
        <v>0</v>
      </c>
      <c r="G240" s="6">
        <f>SUMIFS(F$2:F240, C$2:C240, C240)</f>
        <v>57565.240000000034</v>
      </c>
      <c r="H240" s="6">
        <f>SUMIFS('04_LOG_FIELD_ENTRIES'!J:J, '04_LOG_FIELD_ENTRIES'!B:B, B240, '04_LOG_FIELD_ENTRIES'!D:D, C240, '04_LOG_FIELD_ENTRIES'!K:K, "EV_PRODUCCION")</f>
        <v>0</v>
      </c>
      <c r="I240" s="6">
        <f>SUMIFS(H$2:H240, C$2:C240, C240)</f>
        <v>9327.4500000000007</v>
      </c>
      <c r="J240" s="6">
        <f>SUMIFS('04_LOG_FIELD_ENTRIES'!J:J, '04_LOG_FIELD_ENTRIES'!B:B, B240, '04_LOG_FIELD_ENTRIES'!D:D, C240, '04_LOG_FIELD_ENTRIES'!K:K, "AC_*")</f>
        <v>0</v>
      </c>
      <c r="K240" s="6">
        <f>SUMIFS(J$2:J240, C$2:C240, C240)</f>
        <v>7730.8</v>
      </c>
      <c r="L240" s="6">
        <f t="shared" si="15"/>
        <v>1596.6500000000005</v>
      </c>
      <c r="M240" s="6">
        <f t="shared" si="16"/>
        <v>-48237.790000000037</v>
      </c>
      <c r="N240" s="21">
        <f t="shared" si="17"/>
        <v>0.16203267805363089</v>
      </c>
      <c r="O240" s="21">
        <f t="shared" si="18"/>
        <v>1.2065310187820149</v>
      </c>
      <c r="P240" s="2" t="str">
        <f t="shared" si="19"/>
        <v>ALERTA RETRASO</v>
      </c>
    </row>
    <row r="241" spans="1:16" ht="19.95" customHeight="1" x14ac:dyDescent="0.3">
      <c r="A241" s="4">
        <v>60</v>
      </c>
      <c r="B241" s="4" t="s">
        <v>59</v>
      </c>
      <c r="C241" s="2" t="s">
        <v>56</v>
      </c>
      <c r="D241" s="3" t="s">
        <v>74</v>
      </c>
      <c r="E241" s="6">
        <f>SUM('01_PRESUPUESTO_CRONOGRAMA_BASE'!G12:G12)</f>
        <v>9348.06</v>
      </c>
      <c r="F241" s="6">
        <f>SUMIFS('02_CRONOGRAMA_PV_DIARIO'!E:E, '02_CRONOGRAMA_PV_DIARIO'!A:A, A241, '02_CRONOGRAMA_PV_DIARIO'!C:C, C241)</f>
        <v>719.08</v>
      </c>
      <c r="G241" s="6">
        <f>SUMIFS(F$2:F241, C$2:C241, C241)</f>
        <v>9348.0400000000009</v>
      </c>
      <c r="H241" s="6">
        <f>SUMIFS('04_LOG_FIELD_ENTRIES'!J:J, '04_LOG_FIELD_ENTRIES'!B:B, B241, '04_LOG_FIELD_ENTRIES'!D:D, C241, '04_LOG_FIELD_ENTRIES'!K:K, "EV_PRODUCCION")</f>
        <v>0</v>
      </c>
      <c r="I241" s="6">
        <f>SUMIFS(H$2:H241, C$2:C241, C241)</f>
        <v>2337.02</v>
      </c>
      <c r="J241" s="6">
        <f>SUMIFS('04_LOG_FIELD_ENTRIES'!J:J, '04_LOG_FIELD_ENTRIES'!B:B, B241, '04_LOG_FIELD_ENTRIES'!D:D, C241, '04_LOG_FIELD_ENTRIES'!K:K, "AC_*")</f>
        <v>0</v>
      </c>
      <c r="K241" s="6">
        <f>SUMIFS(J$2:J241, C$2:C241, C241)</f>
        <v>1299.2</v>
      </c>
      <c r="L241" s="6">
        <f t="shared" si="15"/>
        <v>1037.82</v>
      </c>
      <c r="M241" s="6">
        <f t="shared" si="16"/>
        <v>-7011.02</v>
      </c>
      <c r="N241" s="21">
        <f t="shared" si="17"/>
        <v>0.25000106974296216</v>
      </c>
      <c r="O241" s="21">
        <f t="shared" si="18"/>
        <v>1.7988146551724138</v>
      </c>
      <c r="P241" s="2" t="str">
        <f t="shared" si="19"/>
        <v>ALERTA RETRASO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7"/>
  <sheetViews>
    <sheetView tabSelected="1" workbookViewId="0">
      <selection activeCell="F9" sqref="F9"/>
    </sheetView>
  </sheetViews>
  <sheetFormatPr baseColWidth="10" defaultColWidth="8.88671875" defaultRowHeight="14.4" x14ac:dyDescent="0.3"/>
  <cols>
    <col min="1" max="1" width="14" customWidth="1"/>
    <col min="2" max="2" width="12" customWidth="1"/>
    <col min="3" max="3" width="18" customWidth="1"/>
    <col min="4" max="5" width="14" customWidth="1"/>
    <col min="6" max="6" width="36" customWidth="1"/>
    <col min="7" max="7" width="12" customWidth="1"/>
    <col min="8" max="8" width="8" customWidth="1"/>
    <col min="9" max="9" width="14" customWidth="1"/>
    <col min="10" max="10" width="15" customWidth="1"/>
    <col min="11" max="12" width="14" customWidth="1"/>
  </cols>
  <sheetData>
    <row r="1" spans="1:12" ht="36" customHeight="1" x14ac:dyDescent="0.3">
      <c r="A1" s="1" t="s">
        <v>130</v>
      </c>
      <c r="B1" s="1" t="s">
        <v>131</v>
      </c>
      <c r="C1" s="1" t="s">
        <v>132</v>
      </c>
      <c r="D1" s="1" t="s">
        <v>1</v>
      </c>
      <c r="E1" s="1" t="s">
        <v>133</v>
      </c>
      <c r="F1" s="1" t="s">
        <v>134</v>
      </c>
      <c r="G1" s="1" t="s">
        <v>135</v>
      </c>
      <c r="H1" s="1" t="s">
        <v>3</v>
      </c>
      <c r="I1" s="1" t="s">
        <v>136</v>
      </c>
      <c r="J1" s="1" t="s">
        <v>137</v>
      </c>
      <c r="K1" s="1" t="s">
        <v>138</v>
      </c>
      <c r="L1" s="1" t="s">
        <v>139</v>
      </c>
    </row>
    <row r="2" spans="1:12" ht="19.95" customHeight="1" x14ac:dyDescent="0.3">
      <c r="A2" s="4" t="s">
        <v>140</v>
      </c>
      <c r="B2" s="4" t="s">
        <v>17</v>
      </c>
      <c r="C2" s="3" t="s">
        <v>141</v>
      </c>
      <c r="D2" s="2" t="s">
        <v>14</v>
      </c>
      <c r="E2" s="2" t="s">
        <v>142</v>
      </c>
      <c r="F2" s="3" t="s">
        <v>143</v>
      </c>
      <c r="G2" s="22">
        <v>8</v>
      </c>
      <c r="H2" s="4" t="s">
        <v>144</v>
      </c>
      <c r="I2" s="6">
        <f>IFERROR(VLOOKUP(E2, '05_MAESTRO_RECURSOS'!A:D, 4, FALSE), IFERROR(VLOOKUP(E2, '06_MAESTRO_PARTIDAS_EV'!B:F, 5, FALSE), 0))</f>
        <v>32.5</v>
      </c>
      <c r="J2" s="7">
        <f t="shared" ref="J2:J47" si="0">ROUND(G2 * I2, 2)</f>
        <v>260</v>
      </c>
      <c r="K2" s="2" t="s">
        <v>145</v>
      </c>
      <c r="L2" s="3" t="s">
        <v>146</v>
      </c>
    </row>
    <row r="3" spans="1:12" ht="19.95" customHeight="1" x14ac:dyDescent="0.3">
      <c r="A3" s="4" t="s">
        <v>147</v>
      </c>
      <c r="B3" s="4" t="s">
        <v>17</v>
      </c>
      <c r="C3" s="3" t="s">
        <v>141</v>
      </c>
      <c r="D3" s="2" t="s">
        <v>14</v>
      </c>
      <c r="E3" s="2" t="s">
        <v>148</v>
      </c>
      <c r="F3" s="3" t="s">
        <v>149</v>
      </c>
      <c r="G3" s="22">
        <v>16</v>
      </c>
      <c r="H3" s="4" t="s">
        <v>144</v>
      </c>
      <c r="I3" s="6">
        <f>IFERROR(VLOOKUP(E3, '05_MAESTRO_RECURSOS'!A:D, 4, FALSE), IFERROR(VLOOKUP(E3, '06_MAESTRO_PARTIDAS_EV'!B:F, 5, FALSE), 0))</f>
        <v>26.8</v>
      </c>
      <c r="J3" s="7">
        <f t="shared" si="0"/>
        <v>428.8</v>
      </c>
      <c r="K3" s="2" t="s">
        <v>145</v>
      </c>
      <c r="L3" s="3" t="s">
        <v>146</v>
      </c>
    </row>
    <row r="4" spans="1:12" ht="19.95" customHeight="1" x14ac:dyDescent="0.3">
      <c r="A4" s="4" t="s">
        <v>150</v>
      </c>
      <c r="B4" s="4" t="s">
        <v>17</v>
      </c>
      <c r="C4" s="3" t="s">
        <v>141</v>
      </c>
      <c r="D4" s="2" t="s">
        <v>14</v>
      </c>
      <c r="E4" s="2" t="s">
        <v>151</v>
      </c>
      <c r="F4" s="3" t="s">
        <v>152</v>
      </c>
      <c r="G4" s="22">
        <v>32</v>
      </c>
      <c r="H4" s="4" t="s">
        <v>144</v>
      </c>
      <c r="I4" s="6">
        <f>IFERROR(VLOOKUP(E4, '05_MAESTRO_RECURSOS'!A:D, 4, FALSE), IFERROR(VLOOKUP(E4, '06_MAESTRO_PARTIDAS_EV'!B:F, 5, FALSE), 0))</f>
        <v>20.100000000000001</v>
      </c>
      <c r="J4" s="7">
        <f t="shared" si="0"/>
        <v>643.20000000000005</v>
      </c>
      <c r="K4" s="2" t="s">
        <v>145</v>
      </c>
      <c r="L4" s="3" t="s">
        <v>146</v>
      </c>
    </row>
    <row r="5" spans="1:12" ht="19.95" customHeight="1" x14ac:dyDescent="0.3">
      <c r="A5" s="4" t="s">
        <v>153</v>
      </c>
      <c r="B5" s="4" t="s">
        <v>17</v>
      </c>
      <c r="C5" s="3" t="s">
        <v>154</v>
      </c>
      <c r="D5" s="2" t="s">
        <v>14</v>
      </c>
      <c r="E5" s="2" t="s">
        <v>155</v>
      </c>
      <c r="F5" s="3" t="s">
        <v>156</v>
      </c>
      <c r="G5" s="22">
        <v>150</v>
      </c>
      <c r="H5" s="4" t="s">
        <v>157</v>
      </c>
      <c r="I5" s="6">
        <f>IFERROR(VLOOKUP(E5, '05_MAESTRO_RECURSOS'!A:D, 4, FALSE), IFERROR(VLOOKUP(E5, '06_MAESTRO_PARTIDAS_EV'!B:F, 5, FALSE), 0))</f>
        <v>4.5</v>
      </c>
      <c r="J5" s="7">
        <f t="shared" si="0"/>
        <v>675</v>
      </c>
      <c r="K5" s="2" t="s">
        <v>158</v>
      </c>
      <c r="L5" s="3" t="s">
        <v>159</v>
      </c>
    </row>
    <row r="6" spans="1:12" ht="19.95" customHeight="1" x14ac:dyDescent="0.3">
      <c r="A6" s="4" t="s">
        <v>160</v>
      </c>
      <c r="B6" s="4" t="s">
        <v>17</v>
      </c>
      <c r="C6" s="3" t="s">
        <v>154</v>
      </c>
      <c r="D6" s="2" t="s">
        <v>14</v>
      </c>
      <c r="E6" s="2" t="s">
        <v>161</v>
      </c>
      <c r="F6" s="3" t="s">
        <v>162</v>
      </c>
      <c r="G6" s="22">
        <v>10</v>
      </c>
      <c r="H6" s="4" t="s">
        <v>163</v>
      </c>
      <c r="I6" s="6">
        <f>IFERROR(VLOOKUP(E6, '05_MAESTRO_RECURSOS'!A:D, 4, FALSE), IFERROR(VLOOKUP(E6, '06_MAESTRO_PARTIDAS_EV'!B:F, 5, FALSE), 0))</f>
        <v>18</v>
      </c>
      <c r="J6" s="7">
        <f t="shared" si="0"/>
        <v>180</v>
      </c>
      <c r="K6" s="2" t="s">
        <v>158</v>
      </c>
      <c r="L6" s="3" t="s">
        <v>159</v>
      </c>
    </row>
    <row r="7" spans="1:12" ht="19.95" customHeight="1" x14ac:dyDescent="0.3">
      <c r="A7" s="4" t="s">
        <v>164</v>
      </c>
      <c r="B7" s="4" t="s">
        <v>17</v>
      </c>
      <c r="C7" s="3" t="s">
        <v>165</v>
      </c>
      <c r="D7" s="2" t="s">
        <v>14</v>
      </c>
      <c r="E7" s="2" t="s">
        <v>166</v>
      </c>
      <c r="F7" s="3" t="s">
        <v>167</v>
      </c>
      <c r="G7" s="22">
        <v>1</v>
      </c>
      <c r="H7" s="4" t="s">
        <v>168</v>
      </c>
      <c r="I7" s="6">
        <f>IFERROR(VLOOKUP(E7, '05_MAESTRO_RECURSOS'!A:D, 4, FALSE), IFERROR(VLOOKUP(E7, '06_MAESTRO_PARTIDAS_EV'!B:F, 5, FALSE), 0))</f>
        <v>4000</v>
      </c>
      <c r="J7" s="7">
        <f t="shared" si="0"/>
        <v>4000</v>
      </c>
      <c r="K7" s="2" t="s">
        <v>169</v>
      </c>
      <c r="L7" s="3" t="s">
        <v>170</v>
      </c>
    </row>
    <row r="8" spans="1:12" ht="19.95" customHeight="1" x14ac:dyDescent="0.3">
      <c r="A8" s="4" t="s">
        <v>171</v>
      </c>
      <c r="B8" s="4" t="s">
        <v>17</v>
      </c>
      <c r="C8" s="3" t="s">
        <v>165</v>
      </c>
      <c r="D8" s="2" t="s">
        <v>14</v>
      </c>
      <c r="E8" s="2" t="s">
        <v>172</v>
      </c>
      <c r="F8" s="3" t="s">
        <v>173</v>
      </c>
      <c r="G8" s="22">
        <v>8</v>
      </c>
      <c r="H8" s="4" t="s">
        <v>174</v>
      </c>
      <c r="I8" s="6">
        <f>IFERROR(VLOOKUP(E8, '05_MAESTRO_RECURSOS'!A:D, 4, FALSE), IFERROR(VLOOKUP(E8, '06_MAESTRO_PARTIDAS_EV'!B:F, 5, FALSE), 0))</f>
        <v>18</v>
      </c>
      <c r="J8" s="7">
        <f t="shared" si="0"/>
        <v>144</v>
      </c>
      <c r="K8" s="2" t="s">
        <v>175</v>
      </c>
      <c r="L8" s="3" t="s">
        <v>170</v>
      </c>
    </row>
    <row r="9" spans="1:12" ht="19.95" customHeight="1" x14ac:dyDescent="0.3">
      <c r="A9" s="4" t="s">
        <v>176</v>
      </c>
      <c r="B9" s="4" t="s">
        <v>17</v>
      </c>
      <c r="C9" s="3" t="s">
        <v>177</v>
      </c>
      <c r="D9" s="2" t="s">
        <v>14</v>
      </c>
      <c r="E9" s="2" t="s">
        <v>13</v>
      </c>
      <c r="F9" s="3" t="s">
        <v>178</v>
      </c>
      <c r="G9" s="22">
        <v>0.5</v>
      </c>
      <c r="H9" s="4" t="s">
        <v>16</v>
      </c>
      <c r="I9" s="6">
        <f>IFERROR(VLOOKUP(E9, '05_MAESTRO_RECURSOS'!A:D, 4, FALSE), IFERROR(VLOOKUP(E9, '06_MAESTRO_PARTIDAS_EV'!B:F, 5, FALSE), 0))</f>
        <v>8296.4</v>
      </c>
      <c r="J9" s="7">
        <f t="shared" si="0"/>
        <v>4148.2</v>
      </c>
      <c r="K9" s="2" t="s">
        <v>179</v>
      </c>
      <c r="L9" s="3" t="s">
        <v>180</v>
      </c>
    </row>
    <row r="10" spans="1:12" ht="19.95" customHeight="1" x14ac:dyDescent="0.3">
      <c r="A10" s="4" t="s">
        <v>181</v>
      </c>
      <c r="B10" s="4" t="s">
        <v>17</v>
      </c>
      <c r="C10" s="3" t="s">
        <v>177</v>
      </c>
      <c r="D10" s="2" t="s">
        <v>14</v>
      </c>
      <c r="E10" s="2" t="s">
        <v>19</v>
      </c>
      <c r="F10" s="3" t="s">
        <v>182</v>
      </c>
      <c r="G10" s="22">
        <v>500</v>
      </c>
      <c r="H10" s="4" t="s">
        <v>21</v>
      </c>
      <c r="I10" s="6">
        <f>IFERROR(VLOOKUP(E10, '05_MAESTRO_RECURSOS'!A:D, 4, FALSE), IFERROR(VLOOKUP(E10, '06_MAESTRO_PARTIDAS_EV'!B:F, 5, FALSE), 0))</f>
        <v>3.35</v>
      </c>
      <c r="J10" s="7">
        <f t="shared" si="0"/>
        <v>1675</v>
      </c>
      <c r="K10" s="2" t="s">
        <v>179</v>
      </c>
      <c r="L10" s="3" t="s">
        <v>180</v>
      </c>
    </row>
    <row r="11" spans="1:12" ht="19.95" customHeight="1" x14ac:dyDescent="0.3">
      <c r="A11" s="4" t="s">
        <v>183</v>
      </c>
      <c r="B11" s="4" t="s">
        <v>75</v>
      </c>
      <c r="C11" s="3" t="s">
        <v>141</v>
      </c>
      <c r="D11" s="2" t="s">
        <v>23</v>
      </c>
      <c r="E11" s="2" t="s">
        <v>142</v>
      </c>
      <c r="F11" s="3" t="s">
        <v>184</v>
      </c>
      <c r="G11" s="22">
        <v>8</v>
      </c>
      <c r="H11" s="4" t="s">
        <v>144</v>
      </c>
      <c r="I11" s="6">
        <f>IFERROR(VLOOKUP(E11, '05_MAESTRO_RECURSOS'!A:D, 4, FALSE), IFERROR(VLOOKUP(E11, '06_MAESTRO_PARTIDAS_EV'!B:F, 5, FALSE), 0))</f>
        <v>32.5</v>
      </c>
      <c r="J11" s="7">
        <f t="shared" si="0"/>
        <v>260</v>
      </c>
      <c r="K11" s="2" t="s">
        <v>145</v>
      </c>
      <c r="L11" s="3" t="s">
        <v>146</v>
      </c>
    </row>
    <row r="12" spans="1:12" ht="19.95" customHeight="1" x14ac:dyDescent="0.3">
      <c r="A12" s="4" t="s">
        <v>185</v>
      </c>
      <c r="B12" s="4" t="s">
        <v>75</v>
      </c>
      <c r="C12" s="3" t="s">
        <v>141</v>
      </c>
      <c r="D12" s="2" t="s">
        <v>23</v>
      </c>
      <c r="E12" s="2" t="s">
        <v>148</v>
      </c>
      <c r="F12" s="3" t="s">
        <v>186</v>
      </c>
      <c r="G12" s="22">
        <v>24</v>
      </c>
      <c r="H12" s="4" t="s">
        <v>144</v>
      </c>
      <c r="I12" s="6">
        <f>IFERROR(VLOOKUP(E12, '05_MAESTRO_RECURSOS'!A:D, 4, FALSE), IFERROR(VLOOKUP(E12, '06_MAESTRO_PARTIDAS_EV'!B:F, 5, FALSE), 0))</f>
        <v>26.8</v>
      </c>
      <c r="J12" s="7">
        <f t="shared" si="0"/>
        <v>643.20000000000005</v>
      </c>
      <c r="K12" s="2" t="s">
        <v>145</v>
      </c>
      <c r="L12" s="3" t="s">
        <v>146</v>
      </c>
    </row>
    <row r="13" spans="1:12" ht="19.95" customHeight="1" x14ac:dyDescent="0.3">
      <c r="A13" s="4" t="s">
        <v>187</v>
      </c>
      <c r="B13" s="4" t="s">
        <v>75</v>
      </c>
      <c r="C13" s="3" t="s">
        <v>141</v>
      </c>
      <c r="D13" s="2" t="s">
        <v>23</v>
      </c>
      <c r="E13" s="2" t="s">
        <v>151</v>
      </c>
      <c r="F13" s="3" t="s">
        <v>188</v>
      </c>
      <c r="G13" s="22">
        <v>48</v>
      </c>
      <c r="H13" s="4" t="s">
        <v>144</v>
      </c>
      <c r="I13" s="6">
        <f>IFERROR(VLOOKUP(E13, '05_MAESTRO_RECURSOS'!A:D, 4, FALSE), IFERROR(VLOOKUP(E13, '06_MAESTRO_PARTIDAS_EV'!B:F, 5, FALSE), 0))</f>
        <v>20.100000000000001</v>
      </c>
      <c r="J13" s="7">
        <f t="shared" si="0"/>
        <v>964.8</v>
      </c>
      <c r="K13" s="2" t="s">
        <v>145</v>
      </c>
      <c r="L13" s="3" t="s">
        <v>146</v>
      </c>
    </row>
    <row r="14" spans="1:12" ht="19.95" customHeight="1" x14ac:dyDescent="0.3">
      <c r="A14" s="4" t="s">
        <v>189</v>
      </c>
      <c r="B14" s="4" t="s">
        <v>75</v>
      </c>
      <c r="C14" s="3" t="s">
        <v>154</v>
      </c>
      <c r="D14" s="2" t="s">
        <v>23</v>
      </c>
      <c r="E14" s="2" t="s">
        <v>190</v>
      </c>
      <c r="F14" s="3" t="s">
        <v>191</v>
      </c>
      <c r="G14" s="22">
        <v>35</v>
      </c>
      <c r="H14" s="4" t="s">
        <v>192</v>
      </c>
      <c r="I14" s="6">
        <f>IFERROR(VLOOKUP(E14, '05_MAESTRO_RECURSOS'!A:D, 4, FALSE), IFERROR(VLOOKUP(E14, '06_MAESTRO_PARTIDAS_EV'!B:F, 5, FALSE), 0))</f>
        <v>45</v>
      </c>
      <c r="J14" s="7">
        <f t="shared" si="0"/>
        <v>1575</v>
      </c>
      <c r="K14" s="2" t="s">
        <v>158</v>
      </c>
      <c r="L14" s="3" t="s">
        <v>159</v>
      </c>
    </row>
    <row r="15" spans="1:12" ht="19.95" customHeight="1" x14ac:dyDescent="0.3">
      <c r="A15" s="4" t="s">
        <v>193</v>
      </c>
      <c r="B15" s="4" t="s">
        <v>75</v>
      </c>
      <c r="C15" s="3" t="s">
        <v>165</v>
      </c>
      <c r="D15" s="2" t="s">
        <v>23</v>
      </c>
      <c r="E15" s="2" t="s">
        <v>194</v>
      </c>
      <c r="F15" s="3" t="s">
        <v>195</v>
      </c>
      <c r="G15" s="22">
        <v>8</v>
      </c>
      <c r="H15" s="4" t="s">
        <v>174</v>
      </c>
      <c r="I15" s="6">
        <f>IFERROR(VLOOKUP(E15, '05_MAESTRO_RECURSOS'!A:D, 4, FALSE), IFERROR(VLOOKUP(E15, '06_MAESTRO_PARTIDAS_EV'!B:F, 5, FALSE), 0))</f>
        <v>185</v>
      </c>
      <c r="J15" s="7">
        <f t="shared" si="0"/>
        <v>1480</v>
      </c>
      <c r="K15" s="2" t="s">
        <v>175</v>
      </c>
      <c r="L15" s="3" t="s">
        <v>170</v>
      </c>
    </row>
    <row r="16" spans="1:12" ht="19.95" customHeight="1" x14ac:dyDescent="0.3">
      <c r="A16" s="4" t="s">
        <v>196</v>
      </c>
      <c r="B16" s="4" t="s">
        <v>75</v>
      </c>
      <c r="C16" s="3" t="s">
        <v>177</v>
      </c>
      <c r="D16" s="2" t="s">
        <v>23</v>
      </c>
      <c r="E16" s="2" t="s">
        <v>22</v>
      </c>
      <c r="F16" s="3" t="s">
        <v>197</v>
      </c>
      <c r="G16" s="22">
        <v>450</v>
      </c>
      <c r="H16" s="4" t="s">
        <v>25</v>
      </c>
      <c r="I16" s="6">
        <f>IFERROR(VLOOKUP(E16, '05_MAESTRO_RECURSOS'!A:D, 4, FALSE), IFERROR(VLOOKUP(E16, '06_MAESTRO_PARTIDAS_EV'!B:F, 5, FALSE), 0))</f>
        <v>11.66</v>
      </c>
      <c r="J16" s="7">
        <f t="shared" si="0"/>
        <v>5247</v>
      </c>
      <c r="K16" s="2" t="s">
        <v>179</v>
      </c>
      <c r="L16" s="3" t="s">
        <v>180</v>
      </c>
    </row>
    <row r="17" spans="1:12" ht="19.95" customHeight="1" x14ac:dyDescent="0.3">
      <c r="A17" s="4" t="s">
        <v>198</v>
      </c>
      <c r="B17" s="4" t="s">
        <v>75</v>
      </c>
      <c r="C17" s="3" t="s">
        <v>177</v>
      </c>
      <c r="D17" s="2" t="s">
        <v>23</v>
      </c>
      <c r="E17" s="2" t="s">
        <v>28</v>
      </c>
      <c r="F17" s="3" t="s">
        <v>199</v>
      </c>
      <c r="G17" s="22">
        <v>300</v>
      </c>
      <c r="H17" s="4" t="s">
        <v>21</v>
      </c>
      <c r="I17" s="6">
        <f>IFERROR(VLOOKUP(E17, '05_MAESTRO_RECURSOS'!A:D, 4, FALSE), IFERROR(VLOOKUP(E17, '06_MAESTRO_PARTIDAS_EV'!B:F, 5, FALSE), 0))</f>
        <v>11.12</v>
      </c>
      <c r="J17" s="7">
        <f t="shared" si="0"/>
        <v>3336</v>
      </c>
      <c r="K17" s="2" t="s">
        <v>179</v>
      </c>
      <c r="L17" s="3" t="s">
        <v>180</v>
      </c>
    </row>
    <row r="18" spans="1:12" ht="19.95" customHeight="1" x14ac:dyDescent="0.3">
      <c r="A18" s="4" t="s">
        <v>200</v>
      </c>
      <c r="B18" s="4" t="s">
        <v>76</v>
      </c>
      <c r="C18" s="3" t="s">
        <v>141</v>
      </c>
      <c r="D18" s="2" t="s">
        <v>23</v>
      </c>
      <c r="E18" s="2" t="s">
        <v>148</v>
      </c>
      <c r="F18" s="3" t="s">
        <v>201</v>
      </c>
      <c r="G18" s="22">
        <v>24</v>
      </c>
      <c r="H18" s="4" t="s">
        <v>144</v>
      </c>
      <c r="I18" s="6">
        <f>IFERROR(VLOOKUP(E18, '05_MAESTRO_RECURSOS'!A:D, 4, FALSE), IFERROR(VLOOKUP(E18, '06_MAESTRO_PARTIDAS_EV'!B:F, 5, FALSE), 0))</f>
        <v>26.8</v>
      </c>
      <c r="J18" s="7">
        <f t="shared" si="0"/>
        <v>643.20000000000005</v>
      </c>
      <c r="K18" s="2" t="s">
        <v>145</v>
      </c>
      <c r="L18" s="3" t="s">
        <v>146</v>
      </c>
    </row>
    <row r="19" spans="1:12" ht="19.95" customHeight="1" x14ac:dyDescent="0.3">
      <c r="A19" s="4" t="s">
        <v>202</v>
      </c>
      <c r="B19" s="4" t="s">
        <v>76</v>
      </c>
      <c r="C19" s="3" t="s">
        <v>141</v>
      </c>
      <c r="D19" s="2" t="s">
        <v>23</v>
      </c>
      <c r="E19" s="2" t="s">
        <v>203</v>
      </c>
      <c r="F19" s="3" t="s">
        <v>204</v>
      </c>
      <c r="G19" s="22">
        <v>16</v>
      </c>
      <c r="H19" s="4" t="s">
        <v>144</v>
      </c>
      <c r="I19" s="6">
        <f>IFERROR(VLOOKUP(E19, '05_MAESTRO_RECURSOS'!A:D, 4, FALSE), IFERROR(VLOOKUP(E19, '06_MAESTRO_PARTIDAS_EV'!B:F, 5, FALSE), 0))</f>
        <v>22.4</v>
      </c>
      <c r="J19" s="7">
        <f t="shared" si="0"/>
        <v>358.4</v>
      </c>
      <c r="K19" s="2" t="s">
        <v>145</v>
      </c>
      <c r="L19" s="3" t="s">
        <v>146</v>
      </c>
    </row>
    <row r="20" spans="1:12" ht="19.95" customHeight="1" x14ac:dyDescent="0.3">
      <c r="A20" s="4" t="s">
        <v>205</v>
      </c>
      <c r="B20" s="4" t="s">
        <v>76</v>
      </c>
      <c r="C20" s="3" t="s">
        <v>141</v>
      </c>
      <c r="D20" s="2" t="s">
        <v>23</v>
      </c>
      <c r="E20" s="2" t="s">
        <v>151</v>
      </c>
      <c r="F20" s="3" t="s">
        <v>206</v>
      </c>
      <c r="G20" s="22">
        <v>40</v>
      </c>
      <c r="H20" s="4" t="s">
        <v>144</v>
      </c>
      <c r="I20" s="6">
        <f>IFERROR(VLOOKUP(E20, '05_MAESTRO_RECURSOS'!A:D, 4, FALSE), IFERROR(VLOOKUP(E20, '06_MAESTRO_PARTIDAS_EV'!B:F, 5, FALSE), 0))</f>
        <v>20.100000000000001</v>
      </c>
      <c r="J20" s="7">
        <f t="shared" si="0"/>
        <v>804</v>
      </c>
      <c r="K20" s="2" t="s">
        <v>145</v>
      </c>
      <c r="L20" s="3" t="s">
        <v>146</v>
      </c>
    </row>
    <row r="21" spans="1:12" ht="19.95" customHeight="1" x14ac:dyDescent="0.3">
      <c r="A21" s="4" t="s">
        <v>207</v>
      </c>
      <c r="B21" s="4" t="s">
        <v>76</v>
      </c>
      <c r="C21" s="3" t="s">
        <v>154</v>
      </c>
      <c r="D21" s="2" t="s">
        <v>23</v>
      </c>
      <c r="E21" s="2" t="s">
        <v>208</v>
      </c>
      <c r="F21" s="3" t="s">
        <v>209</v>
      </c>
      <c r="G21" s="22">
        <v>280</v>
      </c>
      <c r="H21" s="4" t="s">
        <v>210</v>
      </c>
      <c r="I21" s="6">
        <f>IFERROR(VLOOKUP(E21, '05_MAESTRO_RECURSOS'!A:D, 4, FALSE), IFERROR(VLOOKUP(E21, '06_MAESTRO_PARTIDAS_EV'!B:F, 5, FALSE), 0))</f>
        <v>42</v>
      </c>
      <c r="J21" s="7">
        <f t="shared" si="0"/>
        <v>11760</v>
      </c>
      <c r="K21" s="2" t="s">
        <v>158</v>
      </c>
      <c r="L21" s="3" t="s">
        <v>159</v>
      </c>
    </row>
    <row r="22" spans="1:12" ht="19.95" customHeight="1" x14ac:dyDescent="0.3">
      <c r="A22" s="4" t="s">
        <v>211</v>
      </c>
      <c r="B22" s="4" t="s">
        <v>76</v>
      </c>
      <c r="C22" s="3" t="s">
        <v>154</v>
      </c>
      <c r="D22" s="2" t="s">
        <v>23</v>
      </c>
      <c r="E22" s="2" t="s">
        <v>212</v>
      </c>
      <c r="F22" s="3" t="s">
        <v>213</v>
      </c>
      <c r="G22" s="22">
        <v>12</v>
      </c>
      <c r="H22" s="4" t="s">
        <v>214</v>
      </c>
      <c r="I22" s="6">
        <f>IFERROR(VLOOKUP(E22, '05_MAESTRO_RECURSOS'!A:D, 4, FALSE), IFERROR(VLOOKUP(E22, '06_MAESTRO_PARTIDAS_EV'!B:F, 5, FALSE), 0))</f>
        <v>24</v>
      </c>
      <c r="J22" s="7">
        <f t="shared" si="0"/>
        <v>288</v>
      </c>
      <c r="K22" s="2" t="s">
        <v>158</v>
      </c>
      <c r="L22" s="3" t="s">
        <v>159</v>
      </c>
    </row>
    <row r="23" spans="1:12" ht="19.95" customHeight="1" x14ac:dyDescent="0.3">
      <c r="A23" s="4" t="s">
        <v>215</v>
      </c>
      <c r="B23" s="4" t="s">
        <v>76</v>
      </c>
      <c r="C23" s="3" t="s">
        <v>154</v>
      </c>
      <c r="D23" s="2" t="s">
        <v>23</v>
      </c>
      <c r="E23" s="2" t="s">
        <v>216</v>
      </c>
      <c r="F23" s="3" t="s">
        <v>217</v>
      </c>
      <c r="G23" s="22">
        <v>60</v>
      </c>
      <c r="H23" s="4" t="s">
        <v>192</v>
      </c>
      <c r="I23" s="6">
        <f>IFERROR(VLOOKUP(E23, '05_MAESTRO_RECURSOS'!A:D, 4, FALSE), IFERROR(VLOOKUP(E23, '06_MAESTRO_PARTIDAS_EV'!B:F, 5, FALSE), 0))</f>
        <v>38</v>
      </c>
      <c r="J23" s="7">
        <f t="shared" si="0"/>
        <v>2280</v>
      </c>
      <c r="K23" s="2" t="s">
        <v>158</v>
      </c>
      <c r="L23" s="3" t="s">
        <v>159</v>
      </c>
    </row>
    <row r="24" spans="1:12" ht="19.95" customHeight="1" x14ac:dyDescent="0.3">
      <c r="A24" s="4" t="s">
        <v>218</v>
      </c>
      <c r="B24" s="4" t="s">
        <v>76</v>
      </c>
      <c r="C24" s="3" t="s">
        <v>165</v>
      </c>
      <c r="D24" s="2" t="s">
        <v>23</v>
      </c>
      <c r="E24" s="2" t="s">
        <v>219</v>
      </c>
      <c r="F24" s="3" t="s">
        <v>220</v>
      </c>
      <c r="G24" s="22">
        <v>8</v>
      </c>
      <c r="H24" s="4" t="s">
        <v>174</v>
      </c>
      <c r="I24" s="6">
        <f>IFERROR(VLOOKUP(E24, '05_MAESTRO_RECURSOS'!A:D, 4, FALSE), IFERROR(VLOOKUP(E24, '06_MAESTRO_PARTIDAS_EV'!B:F, 5, FALSE), 0))</f>
        <v>130</v>
      </c>
      <c r="J24" s="7">
        <f t="shared" si="0"/>
        <v>1040</v>
      </c>
      <c r="K24" s="2" t="s">
        <v>175</v>
      </c>
      <c r="L24" s="3" t="s">
        <v>170</v>
      </c>
    </row>
    <row r="25" spans="1:12" ht="19.95" customHeight="1" x14ac:dyDescent="0.3">
      <c r="A25" s="4" t="s">
        <v>221</v>
      </c>
      <c r="B25" s="4" t="s">
        <v>76</v>
      </c>
      <c r="C25" s="3" t="s">
        <v>165</v>
      </c>
      <c r="D25" s="2" t="s">
        <v>23</v>
      </c>
      <c r="E25" s="2" t="s">
        <v>222</v>
      </c>
      <c r="F25" s="3" t="s">
        <v>223</v>
      </c>
      <c r="G25" s="22">
        <v>8</v>
      </c>
      <c r="H25" s="4" t="s">
        <v>174</v>
      </c>
      <c r="I25" s="6">
        <f>IFERROR(VLOOKUP(E25, '05_MAESTRO_RECURSOS'!A:D, 4, FALSE), IFERROR(VLOOKUP(E25, '06_MAESTRO_PARTIDAS_EV'!B:F, 5, FALSE), 0))</f>
        <v>25</v>
      </c>
      <c r="J25" s="7">
        <f t="shared" si="0"/>
        <v>200</v>
      </c>
      <c r="K25" s="2" t="s">
        <v>175</v>
      </c>
      <c r="L25" s="3" t="s">
        <v>170</v>
      </c>
    </row>
    <row r="26" spans="1:12" ht="19.95" customHeight="1" x14ac:dyDescent="0.3">
      <c r="A26" s="4" t="s">
        <v>224</v>
      </c>
      <c r="B26" s="4" t="s">
        <v>76</v>
      </c>
      <c r="C26" s="3" t="s">
        <v>177</v>
      </c>
      <c r="D26" s="2" t="s">
        <v>23</v>
      </c>
      <c r="E26" s="2" t="s">
        <v>32</v>
      </c>
      <c r="F26" s="3" t="s">
        <v>225</v>
      </c>
      <c r="G26" s="22">
        <v>250</v>
      </c>
      <c r="H26" s="4" t="s">
        <v>21</v>
      </c>
      <c r="I26" s="6">
        <f>IFERROR(VLOOKUP(E26, '05_MAESTRO_RECURSOS'!A:D, 4, FALSE), IFERROR(VLOOKUP(E26, '06_MAESTRO_PARTIDAS_EV'!B:F, 5, FALSE), 0))</f>
        <v>55.51</v>
      </c>
      <c r="J26" s="7">
        <f t="shared" si="0"/>
        <v>13877.5</v>
      </c>
      <c r="K26" s="2" t="s">
        <v>179</v>
      </c>
      <c r="L26" s="3" t="s">
        <v>180</v>
      </c>
    </row>
    <row r="27" spans="1:12" ht="19.95" customHeight="1" x14ac:dyDescent="0.3">
      <c r="A27" s="4" t="s">
        <v>226</v>
      </c>
      <c r="B27" s="4" t="s">
        <v>76</v>
      </c>
      <c r="C27" s="3" t="s">
        <v>177</v>
      </c>
      <c r="D27" s="2" t="s">
        <v>23</v>
      </c>
      <c r="E27" s="2" t="s">
        <v>36</v>
      </c>
      <c r="F27" s="3" t="s">
        <v>227</v>
      </c>
      <c r="G27" s="22">
        <v>200</v>
      </c>
      <c r="H27" s="4" t="s">
        <v>25</v>
      </c>
      <c r="I27" s="6">
        <f>IFERROR(VLOOKUP(E27, '05_MAESTRO_RECURSOS'!A:D, 4, FALSE), IFERROR(VLOOKUP(E27, '06_MAESTRO_PARTIDAS_EV'!B:F, 5, FALSE), 0))</f>
        <v>28.54</v>
      </c>
      <c r="J27" s="7">
        <f t="shared" si="0"/>
        <v>5708</v>
      </c>
      <c r="K27" s="2" t="s">
        <v>179</v>
      </c>
      <c r="L27" s="3" t="s">
        <v>180</v>
      </c>
    </row>
    <row r="28" spans="1:12" ht="19.95" customHeight="1" x14ac:dyDescent="0.3">
      <c r="A28" s="4" t="s">
        <v>228</v>
      </c>
      <c r="B28" s="4" t="s">
        <v>77</v>
      </c>
      <c r="C28" s="3" t="s">
        <v>141</v>
      </c>
      <c r="D28" s="2" t="s">
        <v>23</v>
      </c>
      <c r="E28" s="2" t="s">
        <v>148</v>
      </c>
      <c r="F28" s="3" t="s">
        <v>229</v>
      </c>
      <c r="G28" s="22">
        <v>16</v>
      </c>
      <c r="H28" s="4" t="s">
        <v>144</v>
      </c>
      <c r="I28" s="6">
        <f>IFERROR(VLOOKUP(E28, '05_MAESTRO_RECURSOS'!A:D, 4, FALSE), IFERROR(VLOOKUP(E28, '06_MAESTRO_PARTIDAS_EV'!B:F, 5, FALSE), 0))</f>
        <v>26.8</v>
      </c>
      <c r="J28" s="7">
        <f t="shared" si="0"/>
        <v>428.8</v>
      </c>
      <c r="K28" s="2" t="s">
        <v>145</v>
      </c>
      <c r="L28" s="3" t="s">
        <v>146</v>
      </c>
    </row>
    <row r="29" spans="1:12" ht="19.95" customHeight="1" x14ac:dyDescent="0.3">
      <c r="A29" s="4" t="s">
        <v>230</v>
      </c>
      <c r="B29" s="4" t="s">
        <v>77</v>
      </c>
      <c r="C29" s="3" t="s">
        <v>141</v>
      </c>
      <c r="D29" s="2" t="s">
        <v>49</v>
      </c>
      <c r="E29" s="2" t="s">
        <v>148</v>
      </c>
      <c r="F29" s="3" t="s">
        <v>231</v>
      </c>
      <c r="G29" s="22">
        <v>16</v>
      </c>
      <c r="H29" s="4" t="s">
        <v>144</v>
      </c>
      <c r="I29" s="6">
        <f>IFERROR(VLOOKUP(E29, '05_MAESTRO_RECURSOS'!A:D, 4, FALSE), IFERROR(VLOOKUP(E29, '06_MAESTRO_PARTIDAS_EV'!B:F, 5, FALSE), 0))</f>
        <v>26.8</v>
      </c>
      <c r="J29" s="7">
        <f t="shared" si="0"/>
        <v>428.8</v>
      </c>
      <c r="K29" s="2" t="s">
        <v>145</v>
      </c>
      <c r="L29" s="3" t="s">
        <v>146</v>
      </c>
    </row>
    <row r="30" spans="1:12" ht="19.95" customHeight="1" x14ac:dyDescent="0.3">
      <c r="A30" s="4" t="s">
        <v>232</v>
      </c>
      <c r="B30" s="4" t="s">
        <v>77</v>
      </c>
      <c r="C30" s="3" t="s">
        <v>141</v>
      </c>
      <c r="D30" s="2" t="s">
        <v>49</v>
      </c>
      <c r="E30" s="2" t="s">
        <v>151</v>
      </c>
      <c r="F30" s="3" t="s">
        <v>233</v>
      </c>
      <c r="G30" s="22">
        <v>32</v>
      </c>
      <c r="H30" s="4" t="s">
        <v>144</v>
      </c>
      <c r="I30" s="6">
        <f>IFERROR(VLOOKUP(E30, '05_MAESTRO_RECURSOS'!A:D, 4, FALSE), IFERROR(VLOOKUP(E30, '06_MAESTRO_PARTIDAS_EV'!B:F, 5, FALSE), 0))</f>
        <v>20.100000000000001</v>
      </c>
      <c r="J30" s="7">
        <f t="shared" si="0"/>
        <v>643.20000000000005</v>
      </c>
      <c r="K30" s="2" t="s">
        <v>145</v>
      </c>
      <c r="L30" s="3" t="s">
        <v>146</v>
      </c>
    </row>
    <row r="31" spans="1:12" ht="19.95" customHeight="1" x14ac:dyDescent="0.3">
      <c r="A31" s="4" t="s">
        <v>234</v>
      </c>
      <c r="B31" s="4" t="s">
        <v>77</v>
      </c>
      <c r="C31" s="3" t="s">
        <v>154</v>
      </c>
      <c r="D31" s="2" t="s">
        <v>23</v>
      </c>
      <c r="E31" s="2" t="s">
        <v>235</v>
      </c>
      <c r="F31" s="3" t="s">
        <v>236</v>
      </c>
      <c r="G31" s="22">
        <v>4</v>
      </c>
      <c r="H31" s="4" t="s">
        <v>237</v>
      </c>
      <c r="I31" s="6">
        <f>IFERROR(VLOOKUP(E31, '05_MAESTRO_RECURSOS'!A:D, 4, FALSE), IFERROR(VLOOKUP(E31, '06_MAESTRO_PARTIDAS_EV'!B:F, 5, FALSE), 0))</f>
        <v>1050</v>
      </c>
      <c r="J31" s="7">
        <f t="shared" si="0"/>
        <v>4200</v>
      </c>
      <c r="K31" s="2" t="s">
        <v>158</v>
      </c>
      <c r="L31" s="3" t="s">
        <v>159</v>
      </c>
    </row>
    <row r="32" spans="1:12" ht="19.95" customHeight="1" x14ac:dyDescent="0.3">
      <c r="A32" s="4" t="s">
        <v>238</v>
      </c>
      <c r="B32" s="4" t="s">
        <v>77</v>
      </c>
      <c r="C32" s="3" t="s">
        <v>154</v>
      </c>
      <c r="D32" s="2" t="s">
        <v>49</v>
      </c>
      <c r="E32" s="2" t="s">
        <v>239</v>
      </c>
      <c r="F32" s="3" t="s">
        <v>240</v>
      </c>
      <c r="G32" s="22">
        <v>200</v>
      </c>
      <c r="H32" s="4" t="s">
        <v>210</v>
      </c>
      <c r="I32" s="6">
        <f>IFERROR(VLOOKUP(E32, '05_MAESTRO_RECURSOS'!A:D, 4, FALSE), IFERROR(VLOOKUP(E32, '06_MAESTRO_PARTIDAS_EV'!B:F, 5, FALSE), 0))</f>
        <v>26.5</v>
      </c>
      <c r="J32" s="7">
        <f t="shared" si="0"/>
        <v>5300</v>
      </c>
      <c r="K32" s="2" t="s">
        <v>158</v>
      </c>
      <c r="L32" s="3" t="s">
        <v>159</v>
      </c>
    </row>
    <row r="33" spans="1:12" ht="19.95" customHeight="1" x14ac:dyDescent="0.3">
      <c r="A33" s="4" t="s">
        <v>241</v>
      </c>
      <c r="B33" s="4" t="s">
        <v>77</v>
      </c>
      <c r="C33" s="3" t="s">
        <v>165</v>
      </c>
      <c r="D33" s="2" t="s">
        <v>23</v>
      </c>
      <c r="E33" s="2" t="s">
        <v>242</v>
      </c>
      <c r="F33" s="3" t="s">
        <v>243</v>
      </c>
      <c r="G33" s="22">
        <v>6</v>
      </c>
      <c r="H33" s="4" t="s">
        <v>174</v>
      </c>
      <c r="I33" s="6">
        <f>IFERROR(VLOOKUP(E33, '05_MAESTRO_RECURSOS'!A:D, 4, FALSE), IFERROR(VLOOKUP(E33, '06_MAESTRO_PARTIDAS_EV'!B:F, 5, FALSE), 0))</f>
        <v>160</v>
      </c>
      <c r="J33" s="7">
        <f t="shared" si="0"/>
        <v>960</v>
      </c>
      <c r="K33" s="2" t="s">
        <v>175</v>
      </c>
      <c r="L33" s="3" t="s">
        <v>170</v>
      </c>
    </row>
    <row r="34" spans="1:12" ht="19.95" customHeight="1" x14ac:dyDescent="0.3">
      <c r="A34" s="4" t="s">
        <v>244</v>
      </c>
      <c r="B34" s="4" t="s">
        <v>77</v>
      </c>
      <c r="C34" s="3" t="s">
        <v>165</v>
      </c>
      <c r="D34" s="2" t="s">
        <v>23</v>
      </c>
      <c r="E34" s="2" t="s">
        <v>245</v>
      </c>
      <c r="F34" s="3" t="s">
        <v>246</v>
      </c>
      <c r="G34" s="22">
        <v>4</v>
      </c>
      <c r="H34" s="4" t="s">
        <v>237</v>
      </c>
      <c r="I34" s="6">
        <f>IFERROR(VLOOKUP(E34, '05_MAESTRO_RECURSOS'!A:D, 4, FALSE), IFERROR(VLOOKUP(E34, '06_MAESTRO_PARTIDAS_EV'!B:F, 5, FALSE), 0))</f>
        <v>250</v>
      </c>
      <c r="J34" s="7">
        <f t="shared" si="0"/>
        <v>1000</v>
      </c>
      <c r="K34" s="2" t="s">
        <v>169</v>
      </c>
      <c r="L34" s="3" t="s">
        <v>170</v>
      </c>
    </row>
    <row r="35" spans="1:12" ht="19.95" customHeight="1" x14ac:dyDescent="0.3">
      <c r="A35" s="4" t="s">
        <v>247</v>
      </c>
      <c r="B35" s="4" t="s">
        <v>77</v>
      </c>
      <c r="C35" s="3" t="s">
        <v>177</v>
      </c>
      <c r="D35" s="2" t="s">
        <v>23</v>
      </c>
      <c r="E35" s="2" t="s">
        <v>40</v>
      </c>
      <c r="F35" s="3" t="s">
        <v>248</v>
      </c>
      <c r="G35" s="22">
        <v>4</v>
      </c>
      <c r="H35" s="4" t="s">
        <v>42</v>
      </c>
      <c r="I35" s="6">
        <f>IFERROR(VLOOKUP(E35, '05_MAESTRO_RECURSOS'!A:D, 4, FALSE), IFERROR(VLOOKUP(E35, '06_MAESTRO_PARTIDAS_EV'!B:F, 5, FALSE), 0))</f>
        <v>2500.73</v>
      </c>
      <c r="J35" s="7">
        <f t="shared" si="0"/>
        <v>10002.92</v>
      </c>
      <c r="K35" s="2" t="s">
        <v>179</v>
      </c>
      <c r="L35" s="3" t="s">
        <v>180</v>
      </c>
    </row>
    <row r="36" spans="1:12" ht="19.95" customHeight="1" x14ac:dyDescent="0.3">
      <c r="A36" s="4" t="s">
        <v>249</v>
      </c>
      <c r="B36" s="4" t="s">
        <v>77</v>
      </c>
      <c r="C36" s="3" t="s">
        <v>177</v>
      </c>
      <c r="D36" s="2" t="s">
        <v>49</v>
      </c>
      <c r="E36" s="2" t="s">
        <v>48</v>
      </c>
      <c r="F36" s="3" t="s">
        <v>250</v>
      </c>
      <c r="G36" s="22">
        <v>180</v>
      </c>
      <c r="H36" s="4" t="s">
        <v>21</v>
      </c>
      <c r="I36" s="6">
        <f>IFERROR(VLOOKUP(E36, '05_MAESTRO_RECURSOS'!A:D, 4, FALSE), IFERROR(VLOOKUP(E36, '06_MAESTRO_PARTIDAS_EV'!B:F, 5, FALSE), 0))</f>
        <v>38.76</v>
      </c>
      <c r="J36" s="7">
        <f t="shared" si="0"/>
        <v>6976.8</v>
      </c>
      <c r="K36" s="2" t="s">
        <v>179</v>
      </c>
      <c r="L36" s="3" t="s">
        <v>180</v>
      </c>
    </row>
    <row r="37" spans="1:12" ht="19.95" customHeight="1" x14ac:dyDescent="0.3">
      <c r="A37" s="4" t="s">
        <v>251</v>
      </c>
      <c r="B37" s="4" t="s">
        <v>78</v>
      </c>
      <c r="C37" s="3" t="s">
        <v>141</v>
      </c>
      <c r="D37" s="2" t="s">
        <v>23</v>
      </c>
      <c r="E37" s="2" t="s">
        <v>148</v>
      </c>
      <c r="F37" s="3" t="s">
        <v>252</v>
      </c>
      <c r="G37" s="22">
        <v>16</v>
      </c>
      <c r="H37" s="4" t="s">
        <v>144</v>
      </c>
      <c r="I37" s="6">
        <f>IFERROR(VLOOKUP(E37, '05_MAESTRO_RECURSOS'!A:D, 4, FALSE), IFERROR(VLOOKUP(E37, '06_MAESTRO_PARTIDAS_EV'!B:F, 5, FALSE), 0))</f>
        <v>26.8</v>
      </c>
      <c r="J37" s="7">
        <f t="shared" si="0"/>
        <v>428.8</v>
      </c>
      <c r="K37" s="2" t="s">
        <v>145</v>
      </c>
      <c r="L37" s="3" t="s">
        <v>146</v>
      </c>
    </row>
    <row r="38" spans="1:12" ht="19.95" customHeight="1" x14ac:dyDescent="0.3">
      <c r="A38" s="4" t="s">
        <v>253</v>
      </c>
      <c r="B38" s="4" t="s">
        <v>78</v>
      </c>
      <c r="C38" s="3" t="s">
        <v>141</v>
      </c>
      <c r="D38" s="2" t="s">
        <v>49</v>
      </c>
      <c r="E38" s="2" t="s">
        <v>148</v>
      </c>
      <c r="F38" s="3" t="s">
        <v>254</v>
      </c>
      <c r="G38" s="22">
        <v>16</v>
      </c>
      <c r="H38" s="4" t="s">
        <v>144</v>
      </c>
      <c r="I38" s="6">
        <f>IFERROR(VLOOKUP(E38, '05_MAESTRO_RECURSOS'!A:D, 4, FALSE), IFERROR(VLOOKUP(E38, '06_MAESTRO_PARTIDAS_EV'!B:F, 5, FALSE), 0))</f>
        <v>26.8</v>
      </c>
      <c r="J38" s="7">
        <f t="shared" si="0"/>
        <v>428.8</v>
      </c>
      <c r="K38" s="2" t="s">
        <v>145</v>
      </c>
      <c r="L38" s="3" t="s">
        <v>146</v>
      </c>
    </row>
    <row r="39" spans="1:12" ht="19.95" customHeight="1" x14ac:dyDescent="0.3">
      <c r="A39" s="4" t="s">
        <v>255</v>
      </c>
      <c r="B39" s="4" t="s">
        <v>78</v>
      </c>
      <c r="C39" s="3" t="s">
        <v>141</v>
      </c>
      <c r="D39" s="2" t="s">
        <v>56</v>
      </c>
      <c r="E39" s="2" t="s">
        <v>203</v>
      </c>
      <c r="F39" s="3" t="s">
        <v>256</v>
      </c>
      <c r="G39" s="22">
        <v>8</v>
      </c>
      <c r="H39" s="4" t="s">
        <v>144</v>
      </c>
      <c r="I39" s="6">
        <f>IFERROR(VLOOKUP(E39, '05_MAESTRO_RECURSOS'!A:D, 4, FALSE), IFERROR(VLOOKUP(E39, '06_MAESTRO_PARTIDAS_EV'!B:F, 5, FALSE), 0))</f>
        <v>22.4</v>
      </c>
      <c r="J39" s="7">
        <f t="shared" si="0"/>
        <v>179.2</v>
      </c>
      <c r="K39" s="2" t="s">
        <v>145</v>
      </c>
      <c r="L39" s="3" t="s">
        <v>146</v>
      </c>
    </row>
    <row r="40" spans="1:12" ht="19.95" customHeight="1" x14ac:dyDescent="0.3">
      <c r="A40" s="4" t="s">
        <v>257</v>
      </c>
      <c r="B40" s="4" t="s">
        <v>78</v>
      </c>
      <c r="C40" s="3" t="s">
        <v>154</v>
      </c>
      <c r="D40" s="2" t="s">
        <v>23</v>
      </c>
      <c r="E40" s="2" t="s">
        <v>258</v>
      </c>
      <c r="F40" s="3" t="s">
        <v>259</v>
      </c>
      <c r="G40" s="22">
        <v>15</v>
      </c>
      <c r="H40" s="4" t="s">
        <v>237</v>
      </c>
      <c r="I40" s="6">
        <f>IFERROR(VLOOKUP(E40, '05_MAESTRO_RECURSOS'!A:D, 4, FALSE), IFERROR(VLOOKUP(E40, '06_MAESTRO_PARTIDAS_EV'!B:F, 5, FALSE), 0))</f>
        <v>145</v>
      </c>
      <c r="J40" s="7">
        <f t="shared" si="0"/>
        <v>2175</v>
      </c>
      <c r="K40" s="2" t="s">
        <v>158</v>
      </c>
      <c r="L40" s="3" t="s">
        <v>159</v>
      </c>
    </row>
    <row r="41" spans="1:12" ht="19.95" customHeight="1" x14ac:dyDescent="0.3">
      <c r="A41" s="4" t="s">
        <v>260</v>
      </c>
      <c r="B41" s="4" t="s">
        <v>78</v>
      </c>
      <c r="C41" s="3" t="s">
        <v>154</v>
      </c>
      <c r="D41" s="2" t="s">
        <v>23</v>
      </c>
      <c r="E41" s="2" t="s">
        <v>261</v>
      </c>
      <c r="F41" s="3" t="s">
        <v>262</v>
      </c>
      <c r="G41" s="22">
        <v>90</v>
      </c>
      <c r="H41" s="4" t="s">
        <v>210</v>
      </c>
      <c r="I41" s="6">
        <f>IFERROR(VLOOKUP(E41, '05_MAESTRO_RECURSOS'!A:D, 4, FALSE), IFERROR(VLOOKUP(E41, '06_MAESTRO_PARTIDAS_EV'!B:F, 5, FALSE), 0))</f>
        <v>22</v>
      </c>
      <c r="J41" s="7">
        <f t="shared" si="0"/>
        <v>1980</v>
      </c>
      <c r="K41" s="2" t="s">
        <v>158</v>
      </c>
      <c r="L41" s="3" t="s">
        <v>159</v>
      </c>
    </row>
    <row r="42" spans="1:12" ht="19.95" customHeight="1" x14ac:dyDescent="0.3">
      <c r="A42" s="4" t="s">
        <v>263</v>
      </c>
      <c r="B42" s="4" t="s">
        <v>78</v>
      </c>
      <c r="C42" s="3" t="s">
        <v>154</v>
      </c>
      <c r="D42" s="2" t="s">
        <v>49</v>
      </c>
      <c r="E42" s="2" t="s">
        <v>264</v>
      </c>
      <c r="F42" s="3" t="s">
        <v>265</v>
      </c>
      <c r="G42" s="22">
        <v>15</v>
      </c>
      <c r="H42" s="4" t="s">
        <v>237</v>
      </c>
      <c r="I42" s="6">
        <f>IFERROR(VLOOKUP(E42, '05_MAESTRO_RECURSOS'!A:D, 4, FALSE), IFERROR(VLOOKUP(E42, '06_MAESTRO_PARTIDAS_EV'!B:F, 5, FALSE), 0))</f>
        <v>62</v>
      </c>
      <c r="J42" s="7">
        <f t="shared" si="0"/>
        <v>930</v>
      </c>
      <c r="K42" s="2" t="s">
        <v>158</v>
      </c>
      <c r="L42" s="3" t="s">
        <v>159</v>
      </c>
    </row>
    <row r="43" spans="1:12" ht="19.95" customHeight="1" x14ac:dyDescent="0.3">
      <c r="A43" s="4" t="s">
        <v>266</v>
      </c>
      <c r="B43" s="4" t="s">
        <v>78</v>
      </c>
      <c r="C43" s="3" t="s">
        <v>165</v>
      </c>
      <c r="D43" s="2" t="s">
        <v>23</v>
      </c>
      <c r="E43" s="2" t="s">
        <v>267</v>
      </c>
      <c r="F43" s="3" t="s">
        <v>268</v>
      </c>
      <c r="G43" s="22">
        <v>10</v>
      </c>
      <c r="H43" s="4" t="s">
        <v>237</v>
      </c>
      <c r="I43" s="6">
        <f>IFERROR(VLOOKUP(E43, '05_MAESTRO_RECURSOS'!A:D, 4, FALSE), IFERROR(VLOOKUP(E43, '06_MAESTRO_PARTIDAS_EV'!B:F, 5, FALSE), 0))</f>
        <v>80</v>
      </c>
      <c r="J43" s="7">
        <f t="shared" si="0"/>
        <v>800</v>
      </c>
      <c r="K43" s="2" t="s">
        <v>169</v>
      </c>
      <c r="L43" s="3" t="s">
        <v>170</v>
      </c>
    </row>
    <row r="44" spans="1:12" ht="19.95" customHeight="1" x14ac:dyDescent="0.3">
      <c r="A44" s="4" t="s">
        <v>269</v>
      </c>
      <c r="B44" s="4" t="s">
        <v>78</v>
      </c>
      <c r="C44" s="3" t="s">
        <v>165</v>
      </c>
      <c r="D44" s="2" t="s">
        <v>56</v>
      </c>
      <c r="E44" s="2" t="s">
        <v>270</v>
      </c>
      <c r="F44" s="3" t="s">
        <v>271</v>
      </c>
      <c r="G44" s="22">
        <v>8</v>
      </c>
      <c r="H44" s="4" t="s">
        <v>174</v>
      </c>
      <c r="I44" s="6">
        <f>IFERROR(VLOOKUP(E44, '05_MAESTRO_RECURSOS'!A:D, 4, FALSE), IFERROR(VLOOKUP(E44, '06_MAESTRO_PARTIDAS_EV'!B:F, 5, FALSE), 0))</f>
        <v>140</v>
      </c>
      <c r="J44" s="7">
        <f t="shared" si="0"/>
        <v>1120</v>
      </c>
      <c r="K44" s="2" t="s">
        <v>175</v>
      </c>
      <c r="L44" s="3" t="s">
        <v>170</v>
      </c>
    </row>
    <row r="45" spans="1:12" ht="19.95" customHeight="1" x14ac:dyDescent="0.3">
      <c r="A45" s="4" t="s">
        <v>272</v>
      </c>
      <c r="B45" s="4" t="s">
        <v>78</v>
      </c>
      <c r="C45" s="3" t="s">
        <v>177</v>
      </c>
      <c r="D45" s="2" t="s">
        <v>23</v>
      </c>
      <c r="E45" s="2" t="s">
        <v>45</v>
      </c>
      <c r="F45" s="3" t="s">
        <v>273</v>
      </c>
      <c r="G45" s="22">
        <v>15</v>
      </c>
      <c r="H45" s="4" t="s">
        <v>42</v>
      </c>
      <c r="I45" s="6">
        <f>IFERROR(VLOOKUP(E45, '05_MAESTRO_RECURSOS'!A:D, 4, FALSE), IFERROR(VLOOKUP(E45, '06_MAESTRO_PARTIDAS_EV'!B:F, 5, FALSE), 0))</f>
        <v>405.54</v>
      </c>
      <c r="J45" s="7">
        <f t="shared" si="0"/>
        <v>6083.1</v>
      </c>
      <c r="K45" s="2" t="s">
        <v>179</v>
      </c>
      <c r="L45" s="3" t="s">
        <v>180</v>
      </c>
    </row>
    <row r="46" spans="1:12" ht="19.95" customHeight="1" x14ac:dyDescent="0.3">
      <c r="A46" s="4" t="s">
        <v>274</v>
      </c>
      <c r="B46" s="4" t="s">
        <v>78</v>
      </c>
      <c r="C46" s="3" t="s">
        <v>177</v>
      </c>
      <c r="D46" s="2" t="s">
        <v>49</v>
      </c>
      <c r="E46" s="2" t="s">
        <v>51</v>
      </c>
      <c r="F46" s="3" t="s">
        <v>275</v>
      </c>
      <c r="G46" s="22">
        <v>15</v>
      </c>
      <c r="H46" s="4" t="s">
        <v>42</v>
      </c>
      <c r="I46" s="6">
        <f>IFERROR(VLOOKUP(E46, '05_MAESTRO_RECURSOS'!A:D, 4, FALSE), IFERROR(VLOOKUP(E46, '06_MAESTRO_PARTIDAS_EV'!B:F, 5, FALSE), 0))</f>
        <v>156.71</v>
      </c>
      <c r="J46" s="7">
        <f t="shared" si="0"/>
        <v>2350.65</v>
      </c>
      <c r="K46" s="2" t="s">
        <v>179</v>
      </c>
      <c r="L46" s="3" t="s">
        <v>180</v>
      </c>
    </row>
    <row r="47" spans="1:12" ht="19.95" customHeight="1" x14ac:dyDescent="0.3">
      <c r="A47" s="4" t="s">
        <v>276</v>
      </c>
      <c r="B47" s="4" t="s">
        <v>78</v>
      </c>
      <c r="C47" s="3" t="s">
        <v>177</v>
      </c>
      <c r="D47" s="2" t="s">
        <v>56</v>
      </c>
      <c r="E47" s="2" t="s">
        <v>55</v>
      </c>
      <c r="F47" s="3" t="s">
        <v>277</v>
      </c>
      <c r="G47" s="22">
        <v>0.25</v>
      </c>
      <c r="H47" s="4" t="s">
        <v>16</v>
      </c>
      <c r="I47" s="6">
        <f>IFERROR(VLOOKUP(E47, '05_MAESTRO_RECURSOS'!A:D, 4, FALSE), IFERROR(VLOOKUP(E47, '06_MAESTRO_PARTIDAS_EV'!B:F, 5, FALSE), 0))</f>
        <v>9348.06</v>
      </c>
      <c r="J47" s="7">
        <f t="shared" si="0"/>
        <v>2337.02</v>
      </c>
      <c r="K47" s="2" t="s">
        <v>179</v>
      </c>
      <c r="L47" s="3" t="s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baseColWidth="10" defaultColWidth="8.88671875" defaultRowHeight="14.4" x14ac:dyDescent="0.3"/>
  <cols>
    <col min="1" max="1" width="14" customWidth="1"/>
    <col min="2" max="2" width="36" customWidth="1"/>
    <col min="3" max="3" width="8" customWidth="1"/>
    <col min="4" max="5" width="14" customWidth="1"/>
  </cols>
  <sheetData>
    <row r="1" spans="1:5" ht="36" customHeight="1" x14ac:dyDescent="0.3">
      <c r="A1" s="18" t="s">
        <v>278</v>
      </c>
      <c r="B1" s="18" t="s">
        <v>279</v>
      </c>
      <c r="C1" s="18" t="s">
        <v>3</v>
      </c>
      <c r="D1" s="18" t="s">
        <v>280</v>
      </c>
      <c r="E1" s="18" t="s">
        <v>138</v>
      </c>
    </row>
    <row r="2" spans="1:5" ht="19.95" customHeight="1" x14ac:dyDescent="0.3">
      <c r="A2" s="2" t="s">
        <v>142</v>
      </c>
      <c r="B2" s="3" t="s">
        <v>281</v>
      </c>
      <c r="C2" s="4" t="s">
        <v>144</v>
      </c>
      <c r="D2" s="6">
        <v>32.5</v>
      </c>
      <c r="E2" s="4" t="s">
        <v>145</v>
      </c>
    </row>
    <row r="3" spans="1:5" ht="19.95" customHeight="1" x14ac:dyDescent="0.3">
      <c r="A3" s="2" t="s">
        <v>148</v>
      </c>
      <c r="B3" s="3" t="s">
        <v>282</v>
      </c>
      <c r="C3" s="4" t="s">
        <v>144</v>
      </c>
      <c r="D3" s="6">
        <v>26.8</v>
      </c>
      <c r="E3" s="4" t="s">
        <v>145</v>
      </c>
    </row>
    <row r="4" spans="1:5" ht="19.95" customHeight="1" x14ac:dyDescent="0.3">
      <c r="A4" s="2" t="s">
        <v>203</v>
      </c>
      <c r="B4" s="3" t="s">
        <v>283</v>
      </c>
      <c r="C4" s="4" t="s">
        <v>144</v>
      </c>
      <c r="D4" s="6">
        <v>22.4</v>
      </c>
      <c r="E4" s="4" t="s">
        <v>145</v>
      </c>
    </row>
    <row r="5" spans="1:5" ht="19.95" customHeight="1" x14ac:dyDescent="0.3">
      <c r="A5" s="2" t="s">
        <v>151</v>
      </c>
      <c r="B5" s="3" t="s">
        <v>284</v>
      </c>
      <c r="C5" s="4" t="s">
        <v>144</v>
      </c>
      <c r="D5" s="6">
        <v>20.100000000000001</v>
      </c>
      <c r="E5" s="4" t="s">
        <v>145</v>
      </c>
    </row>
    <row r="6" spans="1:5" ht="19.95" customHeight="1" x14ac:dyDescent="0.3">
      <c r="A6" s="2" t="s">
        <v>155</v>
      </c>
      <c r="B6" s="3" t="s">
        <v>156</v>
      </c>
      <c r="C6" s="4" t="s">
        <v>157</v>
      </c>
      <c r="D6" s="6">
        <v>4.5</v>
      </c>
      <c r="E6" s="4" t="s">
        <v>158</v>
      </c>
    </row>
    <row r="7" spans="1:5" ht="19.95" customHeight="1" x14ac:dyDescent="0.3">
      <c r="A7" s="2" t="s">
        <v>161</v>
      </c>
      <c r="B7" s="3" t="s">
        <v>285</v>
      </c>
      <c r="C7" s="4" t="s">
        <v>163</v>
      </c>
      <c r="D7" s="6">
        <v>18</v>
      </c>
      <c r="E7" s="4" t="s">
        <v>158</v>
      </c>
    </row>
    <row r="8" spans="1:5" ht="19.95" customHeight="1" x14ac:dyDescent="0.3">
      <c r="A8" s="2" t="s">
        <v>286</v>
      </c>
      <c r="B8" s="3" t="s">
        <v>287</v>
      </c>
      <c r="C8" s="4" t="s">
        <v>210</v>
      </c>
      <c r="D8" s="6">
        <v>0.8</v>
      </c>
      <c r="E8" s="4" t="s">
        <v>158</v>
      </c>
    </row>
    <row r="9" spans="1:5" ht="19.95" customHeight="1" x14ac:dyDescent="0.3">
      <c r="A9" s="2" t="s">
        <v>190</v>
      </c>
      <c r="B9" s="3" t="s">
        <v>288</v>
      </c>
      <c r="C9" s="4" t="s">
        <v>192</v>
      </c>
      <c r="D9" s="6">
        <v>45</v>
      </c>
      <c r="E9" s="4" t="s">
        <v>158</v>
      </c>
    </row>
    <row r="10" spans="1:5" ht="19.95" customHeight="1" x14ac:dyDescent="0.3">
      <c r="A10" s="2" t="s">
        <v>208</v>
      </c>
      <c r="B10" s="3" t="s">
        <v>289</v>
      </c>
      <c r="C10" s="4" t="s">
        <v>210</v>
      </c>
      <c r="D10" s="6">
        <v>42</v>
      </c>
      <c r="E10" s="4" t="s">
        <v>158</v>
      </c>
    </row>
    <row r="11" spans="1:5" ht="19.95" customHeight="1" x14ac:dyDescent="0.3">
      <c r="A11" s="2" t="s">
        <v>212</v>
      </c>
      <c r="B11" s="3" t="s">
        <v>290</v>
      </c>
      <c r="C11" s="4" t="s">
        <v>214</v>
      </c>
      <c r="D11" s="6">
        <v>24</v>
      </c>
      <c r="E11" s="4" t="s">
        <v>158</v>
      </c>
    </row>
    <row r="12" spans="1:5" ht="19.95" customHeight="1" x14ac:dyDescent="0.3">
      <c r="A12" s="2" t="s">
        <v>216</v>
      </c>
      <c r="B12" s="3" t="s">
        <v>291</v>
      </c>
      <c r="C12" s="4" t="s">
        <v>192</v>
      </c>
      <c r="D12" s="6">
        <v>38</v>
      </c>
      <c r="E12" s="4" t="s">
        <v>158</v>
      </c>
    </row>
    <row r="13" spans="1:5" ht="19.95" customHeight="1" x14ac:dyDescent="0.3">
      <c r="A13" s="2" t="s">
        <v>292</v>
      </c>
      <c r="B13" s="3" t="s">
        <v>293</v>
      </c>
      <c r="C13" s="4" t="s">
        <v>192</v>
      </c>
      <c r="D13" s="6">
        <v>12</v>
      </c>
      <c r="E13" s="4" t="s">
        <v>158</v>
      </c>
    </row>
    <row r="14" spans="1:5" ht="19.95" customHeight="1" x14ac:dyDescent="0.3">
      <c r="A14" s="2" t="s">
        <v>235</v>
      </c>
      <c r="B14" s="3" t="s">
        <v>294</v>
      </c>
      <c r="C14" s="4" t="s">
        <v>237</v>
      </c>
      <c r="D14" s="6">
        <v>1050</v>
      </c>
      <c r="E14" s="4" t="s">
        <v>158</v>
      </c>
    </row>
    <row r="15" spans="1:5" ht="19.95" customHeight="1" x14ac:dyDescent="0.3">
      <c r="A15" s="2" t="s">
        <v>258</v>
      </c>
      <c r="B15" s="3" t="s">
        <v>295</v>
      </c>
      <c r="C15" s="4" t="s">
        <v>237</v>
      </c>
      <c r="D15" s="6">
        <v>145</v>
      </c>
      <c r="E15" s="4" t="s">
        <v>158</v>
      </c>
    </row>
    <row r="16" spans="1:5" ht="19.95" customHeight="1" x14ac:dyDescent="0.3">
      <c r="A16" s="2" t="s">
        <v>261</v>
      </c>
      <c r="B16" s="3" t="s">
        <v>296</v>
      </c>
      <c r="C16" s="4" t="s">
        <v>210</v>
      </c>
      <c r="D16" s="6">
        <v>22</v>
      </c>
      <c r="E16" s="4" t="s">
        <v>158</v>
      </c>
    </row>
    <row r="17" spans="1:5" ht="19.95" customHeight="1" x14ac:dyDescent="0.3">
      <c r="A17" s="2" t="s">
        <v>239</v>
      </c>
      <c r="B17" s="3" t="s">
        <v>297</v>
      </c>
      <c r="C17" s="4" t="s">
        <v>210</v>
      </c>
      <c r="D17" s="6">
        <v>26.5</v>
      </c>
      <c r="E17" s="4" t="s">
        <v>158</v>
      </c>
    </row>
    <row r="18" spans="1:5" ht="19.95" customHeight="1" x14ac:dyDescent="0.3">
      <c r="A18" s="2" t="s">
        <v>298</v>
      </c>
      <c r="B18" s="3" t="s">
        <v>299</v>
      </c>
      <c r="C18" s="4" t="s">
        <v>168</v>
      </c>
      <c r="D18" s="6">
        <v>5</v>
      </c>
      <c r="E18" s="4" t="s">
        <v>158</v>
      </c>
    </row>
    <row r="19" spans="1:5" ht="19.95" customHeight="1" x14ac:dyDescent="0.3">
      <c r="A19" s="2" t="s">
        <v>264</v>
      </c>
      <c r="B19" s="3" t="s">
        <v>300</v>
      </c>
      <c r="C19" s="4" t="s">
        <v>237</v>
      </c>
      <c r="D19" s="6">
        <v>62</v>
      </c>
      <c r="E19" s="4" t="s">
        <v>158</v>
      </c>
    </row>
    <row r="20" spans="1:5" ht="19.95" customHeight="1" x14ac:dyDescent="0.3">
      <c r="A20" s="2" t="s">
        <v>301</v>
      </c>
      <c r="B20" s="3" t="s">
        <v>302</v>
      </c>
      <c r="C20" s="4" t="s">
        <v>210</v>
      </c>
      <c r="D20" s="6">
        <v>3.8</v>
      </c>
      <c r="E20" s="4" t="s">
        <v>158</v>
      </c>
    </row>
    <row r="21" spans="1:5" ht="19.95" customHeight="1" x14ac:dyDescent="0.3">
      <c r="A21" s="2" t="s">
        <v>303</v>
      </c>
      <c r="B21" s="3" t="s">
        <v>304</v>
      </c>
      <c r="C21" s="4" t="s">
        <v>214</v>
      </c>
      <c r="D21" s="6">
        <v>35</v>
      </c>
      <c r="E21" s="4" t="s">
        <v>158</v>
      </c>
    </row>
    <row r="22" spans="1:5" ht="19.95" customHeight="1" x14ac:dyDescent="0.3">
      <c r="A22" s="2" t="s">
        <v>305</v>
      </c>
      <c r="B22" s="3" t="s">
        <v>306</v>
      </c>
      <c r="C22" s="4" t="s">
        <v>237</v>
      </c>
      <c r="D22" s="6">
        <v>1200</v>
      </c>
      <c r="E22" s="4" t="s">
        <v>158</v>
      </c>
    </row>
    <row r="23" spans="1:5" ht="19.95" customHeight="1" x14ac:dyDescent="0.3">
      <c r="A23" s="2" t="s">
        <v>307</v>
      </c>
      <c r="B23" s="3" t="s">
        <v>308</v>
      </c>
      <c r="C23" s="4" t="s">
        <v>168</v>
      </c>
      <c r="D23" s="6">
        <v>2300</v>
      </c>
      <c r="E23" s="4" t="s">
        <v>158</v>
      </c>
    </row>
    <row r="24" spans="1:5" ht="19.95" customHeight="1" x14ac:dyDescent="0.3">
      <c r="A24" s="2" t="s">
        <v>194</v>
      </c>
      <c r="B24" s="3" t="s">
        <v>195</v>
      </c>
      <c r="C24" s="4" t="s">
        <v>174</v>
      </c>
      <c r="D24" s="6">
        <v>185</v>
      </c>
      <c r="E24" s="4" t="s">
        <v>175</v>
      </c>
    </row>
    <row r="25" spans="1:5" ht="19.95" customHeight="1" x14ac:dyDescent="0.3">
      <c r="A25" s="2" t="s">
        <v>219</v>
      </c>
      <c r="B25" s="3" t="s">
        <v>309</v>
      </c>
      <c r="C25" s="4" t="s">
        <v>174</v>
      </c>
      <c r="D25" s="6">
        <v>130</v>
      </c>
      <c r="E25" s="4" t="s">
        <v>175</v>
      </c>
    </row>
    <row r="26" spans="1:5" ht="19.95" customHeight="1" x14ac:dyDescent="0.3">
      <c r="A26" s="2" t="s">
        <v>222</v>
      </c>
      <c r="B26" s="3" t="s">
        <v>223</v>
      </c>
      <c r="C26" s="4" t="s">
        <v>174</v>
      </c>
      <c r="D26" s="6">
        <v>25</v>
      </c>
      <c r="E26" s="4" t="s">
        <v>175</v>
      </c>
    </row>
    <row r="27" spans="1:5" ht="19.95" customHeight="1" x14ac:dyDescent="0.3">
      <c r="A27" s="2" t="s">
        <v>310</v>
      </c>
      <c r="B27" s="3" t="s">
        <v>311</v>
      </c>
      <c r="C27" s="4" t="s">
        <v>174</v>
      </c>
      <c r="D27" s="6">
        <v>45</v>
      </c>
      <c r="E27" s="4" t="s">
        <v>175</v>
      </c>
    </row>
    <row r="28" spans="1:5" ht="19.95" customHeight="1" x14ac:dyDescent="0.3">
      <c r="A28" s="2" t="s">
        <v>270</v>
      </c>
      <c r="B28" s="3" t="s">
        <v>312</v>
      </c>
      <c r="C28" s="4" t="s">
        <v>174</v>
      </c>
      <c r="D28" s="6">
        <v>140</v>
      </c>
      <c r="E28" s="4" t="s">
        <v>175</v>
      </c>
    </row>
    <row r="29" spans="1:5" ht="19.95" customHeight="1" x14ac:dyDescent="0.3">
      <c r="A29" s="2" t="s">
        <v>242</v>
      </c>
      <c r="B29" s="3" t="s">
        <v>313</v>
      </c>
      <c r="C29" s="4" t="s">
        <v>174</v>
      </c>
      <c r="D29" s="6">
        <v>160</v>
      </c>
      <c r="E29" s="4" t="s">
        <v>175</v>
      </c>
    </row>
    <row r="30" spans="1:5" ht="19.95" customHeight="1" x14ac:dyDescent="0.3">
      <c r="A30" s="2" t="s">
        <v>172</v>
      </c>
      <c r="B30" s="3" t="s">
        <v>314</v>
      </c>
      <c r="C30" s="4" t="s">
        <v>174</v>
      </c>
      <c r="D30" s="6">
        <v>18</v>
      </c>
      <c r="E30" s="4" t="s">
        <v>175</v>
      </c>
    </row>
    <row r="31" spans="1:5" ht="19.95" customHeight="1" x14ac:dyDescent="0.3">
      <c r="A31" s="2" t="s">
        <v>166</v>
      </c>
      <c r="B31" s="3" t="s">
        <v>315</v>
      </c>
      <c r="C31" s="4" t="s">
        <v>168</v>
      </c>
      <c r="D31" s="6">
        <v>4000</v>
      </c>
      <c r="E31" s="4" t="s">
        <v>169</v>
      </c>
    </row>
    <row r="32" spans="1:5" ht="19.95" customHeight="1" x14ac:dyDescent="0.3">
      <c r="A32" s="2" t="s">
        <v>267</v>
      </c>
      <c r="B32" s="3" t="s">
        <v>316</v>
      </c>
      <c r="C32" s="4" t="s">
        <v>237</v>
      </c>
      <c r="D32" s="6">
        <v>80</v>
      </c>
      <c r="E32" s="4" t="s">
        <v>169</v>
      </c>
    </row>
    <row r="33" spans="1:5" ht="19.95" customHeight="1" x14ac:dyDescent="0.3">
      <c r="A33" s="2" t="s">
        <v>245</v>
      </c>
      <c r="B33" s="3" t="s">
        <v>317</v>
      </c>
      <c r="C33" s="4" t="s">
        <v>237</v>
      </c>
      <c r="D33" s="6">
        <v>250</v>
      </c>
      <c r="E33" s="4" t="s">
        <v>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workbookViewId="0">
      <selection activeCell="L4" sqref="L4"/>
    </sheetView>
  </sheetViews>
  <sheetFormatPr baseColWidth="10" defaultColWidth="8.88671875" defaultRowHeight="14.4" x14ac:dyDescent="0.3"/>
  <cols>
    <col min="1" max="1" width="10" customWidth="1"/>
    <col min="2" max="2" width="14" customWidth="1"/>
    <col min="3" max="3" width="36" customWidth="1"/>
    <col min="4" max="4" width="8" customWidth="1"/>
    <col min="5" max="5" width="12" customWidth="1"/>
    <col min="6" max="6" width="14" customWidth="1"/>
    <col min="7" max="7" width="15" customWidth="1"/>
    <col min="8" max="8" width="12" customWidth="1"/>
    <col min="9" max="9" width="10" customWidth="1"/>
    <col min="10" max="10" width="15" customWidth="1"/>
    <col min="11" max="11" width="12" customWidth="1"/>
    <col min="12" max="12" width="15" customWidth="1"/>
  </cols>
  <sheetData>
    <row r="1" spans="1:12" ht="36" customHeight="1" x14ac:dyDescent="0.3">
      <c r="A1" s="23" t="s">
        <v>318</v>
      </c>
      <c r="B1" s="23" t="s">
        <v>319</v>
      </c>
      <c r="C1" s="23" t="s">
        <v>2</v>
      </c>
      <c r="D1" s="23" t="s">
        <v>3</v>
      </c>
      <c r="E1" s="23" t="s">
        <v>320</v>
      </c>
      <c r="F1" s="23" t="s">
        <v>321</v>
      </c>
      <c r="G1" s="23" t="s">
        <v>322</v>
      </c>
      <c r="H1" s="23" t="s">
        <v>323</v>
      </c>
      <c r="I1" s="23" t="s">
        <v>324</v>
      </c>
      <c r="J1" s="23" t="s">
        <v>325</v>
      </c>
      <c r="K1" s="23" t="s">
        <v>326</v>
      </c>
      <c r="L1" s="23" t="s">
        <v>327</v>
      </c>
    </row>
    <row r="2" spans="1:12" ht="19.95" customHeight="1" x14ac:dyDescent="0.3">
      <c r="A2" s="2" t="s">
        <v>13</v>
      </c>
      <c r="B2" s="2" t="s">
        <v>13</v>
      </c>
      <c r="C2" s="3" t="s">
        <v>15</v>
      </c>
      <c r="D2" s="4" t="s">
        <v>16</v>
      </c>
      <c r="E2" s="5">
        <v>1</v>
      </c>
      <c r="F2" s="6">
        <v>8296.4</v>
      </c>
      <c r="G2" s="6">
        <f t="shared" ref="G2:G12" si="0">ROUND(E2*F2, 2)</f>
        <v>8296.4</v>
      </c>
      <c r="H2" s="24">
        <f>SUMIFS('04_LOG_FIELD_ENTRIES'!G:G, '04_LOG_FIELD_ENTRIES'!E:E, B2, '04_LOG_FIELD_ENTRIES'!K:K, "EV_PRODUCCION")</f>
        <v>0.5</v>
      </c>
      <c r="I2" s="25">
        <f t="shared" ref="I2:I12" si="1">IF(E2&gt;0, H2/E2, 0)</f>
        <v>0.5</v>
      </c>
      <c r="J2" s="7">
        <f t="shared" ref="J2:J12" si="2">ROUND(H2*F2, 2)</f>
        <v>4148.2</v>
      </c>
      <c r="K2" s="5">
        <f t="shared" ref="K2:K12" si="3">E2-H2</f>
        <v>0.5</v>
      </c>
      <c r="L2" s="6">
        <f t="shared" ref="L2:L12" si="4">G2-J2</f>
        <v>4148.2</v>
      </c>
    </row>
    <row r="3" spans="1:12" ht="19.95" customHeight="1" x14ac:dyDescent="0.3">
      <c r="A3" s="2" t="s">
        <v>19</v>
      </c>
      <c r="B3" s="2" t="s">
        <v>19</v>
      </c>
      <c r="C3" s="3" t="s">
        <v>20</v>
      </c>
      <c r="D3" s="4" t="s">
        <v>21</v>
      </c>
      <c r="E3" s="5">
        <v>2400</v>
      </c>
      <c r="F3" s="6">
        <v>3.35</v>
      </c>
      <c r="G3" s="6">
        <f t="shared" si="0"/>
        <v>8040</v>
      </c>
      <c r="H3" s="24">
        <f>SUMIFS('04_LOG_FIELD_ENTRIES'!G:G, '04_LOG_FIELD_ENTRIES'!E:E, B3, '04_LOG_FIELD_ENTRIES'!K:K, "EV_PRODUCCION")</f>
        <v>500</v>
      </c>
      <c r="I3" s="25">
        <f t="shared" si="1"/>
        <v>0.20833333333333334</v>
      </c>
      <c r="J3" s="7">
        <f t="shared" si="2"/>
        <v>1675</v>
      </c>
      <c r="K3" s="5">
        <f t="shared" si="3"/>
        <v>1900</v>
      </c>
      <c r="L3" s="6">
        <f t="shared" si="4"/>
        <v>6365</v>
      </c>
    </row>
    <row r="4" spans="1:12" ht="19.95" customHeight="1" x14ac:dyDescent="0.3">
      <c r="A4" s="2" t="s">
        <v>22</v>
      </c>
      <c r="B4" s="2" t="s">
        <v>22</v>
      </c>
      <c r="C4" s="3" t="s">
        <v>24</v>
      </c>
      <c r="D4" s="4" t="s">
        <v>25</v>
      </c>
      <c r="E4" s="5">
        <v>3840</v>
      </c>
      <c r="F4" s="6">
        <v>11.66</v>
      </c>
      <c r="G4" s="6">
        <f t="shared" si="0"/>
        <v>44774.400000000001</v>
      </c>
      <c r="H4" s="24">
        <f>SUMIFS('04_LOG_FIELD_ENTRIES'!G:G, '04_LOG_FIELD_ENTRIES'!E:E, B4, '04_LOG_FIELD_ENTRIES'!K:K, "EV_PRODUCCION")</f>
        <v>450</v>
      </c>
      <c r="I4" s="25">
        <f t="shared" si="1"/>
        <v>0.1171875</v>
      </c>
      <c r="J4" s="7">
        <f t="shared" si="2"/>
        <v>5247</v>
      </c>
      <c r="K4" s="5">
        <f t="shared" si="3"/>
        <v>3390</v>
      </c>
      <c r="L4" s="6">
        <f t="shared" si="4"/>
        <v>39527.4</v>
      </c>
    </row>
    <row r="5" spans="1:12" ht="19.95" customHeight="1" x14ac:dyDescent="0.3">
      <c r="A5" s="2" t="s">
        <v>28</v>
      </c>
      <c r="B5" s="2" t="s">
        <v>28</v>
      </c>
      <c r="C5" s="3" t="s">
        <v>29</v>
      </c>
      <c r="D5" s="4" t="s">
        <v>21</v>
      </c>
      <c r="E5" s="5">
        <v>2400</v>
      </c>
      <c r="F5" s="6">
        <v>11.12</v>
      </c>
      <c r="G5" s="6">
        <f t="shared" si="0"/>
        <v>26688</v>
      </c>
      <c r="H5" s="24">
        <f>SUMIFS('04_LOG_FIELD_ENTRIES'!G:G, '04_LOG_FIELD_ENTRIES'!E:E, B5, '04_LOG_FIELD_ENTRIES'!K:K, "EV_PRODUCCION")</f>
        <v>300</v>
      </c>
      <c r="I5" s="25">
        <f t="shared" si="1"/>
        <v>0.125</v>
      </c>
      <c r="J5" s="7">
        <f t="shared" si="2"/>
        <v>3336</v>
      </c>
      <c r="K5" s="5">
        <f t="shared" si="3"/>
        <v>2100</v>
      </c>
      <c r="L5" s="6">
        <f t="shared" si="4"/>
        <v>23352</v>
      </c>
    </row>
    <row r="6" spans="1:12" ht="19.95" customHeight="1" x14ac:dyDescent="0.3">
      <c r="A6" s="2" t="s">
        <v>32</v>
      </c>
      <c r="B6" s="2" t="s">
        <v>32</v>
      </c>
      <c r="C6" s="3" t="s">
        <v>33</v>
      </c>
      <c r="D6" s="4" t="s">
        <v>21</v>
      </c>
      <c r="E6" s="5">
        <v>1400</v>
      </c>
      <c r="F6" s="6">
        <v>55.51</v>
      </c>
      <c r="G6" s="6">
        <f t="shared" si="0"/>
        <v>77714</v>
      </c>
      <c r="H6" s="24">
        <f>SUMIFS('04_LOG_FIELD_ENTRIES'!G:G, '04_LOG_FIELD_ENTRIES'!E:E, B6, '04_LOG_FIELD_ENTRIES'!K:K, "EV_PRODUCCION")</f>
        <v>250</v>
      </c>
      <c r="I6" s="25">
        <f t="shared" si="1"/>
        <v>0.17857142857142858</v>
      </c>
      <c r="J6" s="7">
        <f t="shared" si="2"/>
        <v>13877.5</v>
      </c>
      <c r="K6" s="5">
        <f t="shared" si="3"/>
        <v>1150</v>
      </c>
      <c r="L6" s="6">
        <f t="shared" si="4"/>
        <v>63836.5</v>
      </c>
    </row>
    <row r="7" spans="1:12" ht="19.95" customHeight="1" x14ac:dyDescent="0.3">
      <c r="A7" s="2" t="s">
        <v>36</v>
      </c>
      <c r="B7" s="2" t="s">
        <v>36</v>
      </c>
      <c r="C7" s="3" t="s">
        <v>37</v>
      </c>
      <c r="D7" s="4" t="s">
        <v>25</v>
      </c>
      <c r="E7" s="5">
        <v>3300</v>
      </c>
      <c r="F7" s="6">
        <v>28.54</v>
      </c>
      <c r="G7" s="6">
        <f t="shared" si="0"/>
        <v>94182</v>
      </c>
      <c r="H7" s="24">
        <f>SUMIFS('04_LOG_FIELD_ENTRIES'!G:G, '04_LOG_FIELD_ENTRIES'!E:E, B7, '04_LOG_FIELD_ENTRIES'!K:K, "EV_PRODUCCION")</f>
        <v>200</v>
      </c>
      <c r="I7" s="25">
        <f t="shared" si="1"/>
        <v>6.0606060606060608E-2</v>
      </c>
      <c r="J7" s="7">
        <f t="shared" si="2"/>
        <v>5708</v>
      </c>
      <c r="K7" s="5">
        <f t="shared" si="3"/>
        <v>3100</v>
      </c>
      <c r="L7" s="6">
        <f t="shared" si="4"/>
        <v>88474</v>
      </c>
    </row>
    <row r="8" spans="1:12" ht="19.95" customHeight="1" x14ac:dyDescent="0.3">
      <c r="A8" s="2" t="s">
        <v>40</v>
      </c>
      <c r="B8" s="2" t="s">
        <v>40</v>
      </c>
      <c r="C8" s="3" t="s">
        <v>41</v>
      </c>
      <c r="D8" s="4" t="s">
        <v>42</v>
      </c>
      <c r="E8" s="5">
        <v>32</v>
      </c>
      <c r="F8" s="6">
        <v>2500.73</v>
      </c>
      <c r="G8" s="6">
        <f t="shared" si="0"/>
        <v>80023.360000000001</v>
      </c>
      <c r="H8" s="24">
        <f>SUMIFS('04_LOG_FIELD_ENTRIES'!G:G, '04_LOG_FIELD_ENTRIES'!E:E, B8, '04_LOG_FIELD_ENTRIES'!K:K, "EV_PRODUCCION")</f>
        <v>4</v>
      </c>
      <c r="I8" s="25">
        <f t="shared" si="1"/>
        <v>0.125</v>
      </c>
      <c r="J8" s="7">
        <f t="shared" si="2"/>
        <v>10002.92</v>
      </c>
      <c r="K8" s="5">
        <f t="shared" si="3"/>
        <v>28</v>
      </c>
      <c r="L8" s="6">
        <f t="shared" si="4"/>
        <v>70020.44</v>
      </c>
    </row>
    <row r="9" spans="1:12" ht="19.95" customHeight="1" x14ac:dyDescent="0.3">
      <c r="A9" s="2" t="s">
        <v>45</v>
      </c>
      <c r="B9" s="2" t="s">
        <v>45</v>
      </c>
      <c r="C9" s="3" t="s">
        <v>46</v>
      </c>
      <c r="D9" s="4" t="s">
        <v>42</v>
      </c>
      <c r="E9" s="5">
        <v>120</v>
      </c>
      <c r="F9" s="6">
        <v>405.54</v>
      </c>
      <c r="G9" s="6">
        <f t="shared" si="0"/>
        <v>48664.800000000003</v>
      </c>
      <c r="H9" s="24">
        <f>SUMIFS('04_LOG_FIELD_ENTRIES'!G:G, '04_LOG_FIELD_ENTRIES'!E:E, B9, '04_LOG_FIELD_ENTRIES'!K:K, "EV_PRODUCCION")</f>
        <v>15</v>
      </c>
      <c r="I9" s="25">
        <f t="shared" si="1"/>
        <v>0.125</v>
      </c>
      <c r="J9" s="7">
        <f t="shared" si="2"/>
        <v>6083.1</v>
      </c>
      <c r="K9" s="5">
        <f t="shared" si="3"/>
        <v>105</v>
      </c>
      <c r="L9" s="6">
        <f t="shared" si="4"/>
        <v>42581.700000000004</v>
      </c>
    </row>
    <row r="10" spans="1:12" ht="19.95" customHeight="1" x14ac:dyDescent="0.3">
      <c r="A10" s="2" t="s">
        <v>48</v>
      </c>
      <c r="B10" s="2" t="s">
        <v>48</v>
      </c>
      <c r="C10" s="3" t="s">
        <v>50</v>
      </c>
      <c r="D10" s="4" t="s">
        <v>21</v>
      </c>
      <c r="E10" s="5">
        <v>1000</v>
      </c>
      <c r="F10" s="6">
        <v>38.76</v>
      </c>
      <c r="G10" s="6">
        <f t="shared" si="0"/>
        <v>38760</v>
      </c>
      <c r="H10" s="24">
        <f>SUMIFS('04_LOG_FIELD_ENTRIES'!G:G, '04_LOG_FIELD_ENTRIES'!E:E, B10, '04_LOG_FIELD_ENTRIES'!K:K, "EV_PRODUCCION")</f>
        <v>180</v>
      </c>
      <c r="I10" s="25">
        <f t="shared" si="1"/>
        <v>0.18</v>
      </c>
      <c r="J10" s="7">
        <f t="shared" si="2"/>
        <v>6976.8</v>
      </c>
      <c r="K10" s="5">
        <f t="shared" si="3"/>
        <v>820</v>
      </c>
      <c r="L10" s="6">
        <f t="shared" si="4"/>
        <v>31783.200000000001</v>
      </c>
    </row>
    <row r="11" spans="1:12" ht="19.95" customHeight="1" x14ac:dyDescent="0.3">
      <c r="A11" s="2" t="s">
        <v>51</v>
      </c>
      <c r="B11" s="2" t="s">
        <v>51</v>
      </c>
      <c r="C11" s="3" t="s">
        <v>52</v>
      </c>
      <c r="D11" s="4" t="s">
        <v>42</v>
      </c>
      <c r="E11" s="5">
        <v>120</v>
      </c>
      <c r="F11" s="6">
        <v>156.71</v>
      </c>
      <c r="G11" s="6">
        <f t="shared" si="0"/>
        <v>18805.2</v>
      </c>
      <c r="H11" s="24">
        <f>SUMIFS('04_LOG_FIELD_ENTRIES'!G:G, '04_LOG_FIELD_ENTRIES'!E:E, B11, '04_LOG_FIELD_ENTRIES'!K:K, "EV_PRODUCCION")</f>
        <v>15</v>
      </c>
      <c r="I11" s="25">
        <f t="shared" si="1"/>
        <v>0.125</v>
      </c>
      <c r="J11" s="7">
        <f t="shared" si="2"/>
        <v>2350.65</v>
      </c>
      <c r="K11" s="5">
        <f t="shared" si="3"/>
        <v>105</v>
      </c>
      <c r="L11" s="6">
        <f t="shared" si="4"/>
        <v>16454.55</v>
      </c>
    </row>
    <row r="12" spans="1:12" ht="19.95" customHeight="1" x14ac:dyDescent="0.3">
      <c r="A12" s="2" t="s">
        <v>55</v>
      </c>
      <c r="B12" s="2" t="s">
        <v>55</v>
      </c>
      <c r="C12" s="3" t="s">
        <v>57</v>
      </c>
      <c r="D12" s="4" t="s">
        <v>16</v>
      </c>
      <c r="E12" s="5">
        <v>1</v>
      </c>
      <c r="F12" s="6">
        <v>9348.06</v>
      </c>
      <c r="G12" s="6">
        <f t="shared" si="0"/>
        <v>9348.06</v>
      </c>
      <c r="H12" s="24">
        <f>SUMIFS('04_LOG_FIELD_ENTRIES'!G:G, '04_LOG_FIELD_ENTRIES'!E:E, B12, '04_LOG_FIELD_ENTRIES'!K:K, "EV_PRODUCCION")</f>
        <v>0.25</v>
      </c>
      <c r="I12" s="25">
        <f t="shared" si="1"/>
        <v>0.25</v>
      </c>
      <c r="J12" s="7">
        <f t="shared" si="2"/>
        <v>2337.02</v>
      </c>
      <c r="K12" s="5">
        <f t="shared" si="3"/>
        <v>0.75</v>
      </c>
      <c r="L12" s="6">
        <f t="shared" si="4"/>
        <v>7011.0399999999991</v>
      </c>
    </row>
    <row r="13" spans="1:12" ht="22.05" customHeight="1" x14ac:dyDescent="0.3">
      <c r="A13" s="26" t="s">
        <v>328</v>
      </c>
      <c r="B13" s="8"/>
      <c r="C13" s="27" t="s">
        <v>329</v>
      </c>
      <c r="D13" s="8"/>
      <c r="E13" s="8"/>
      <c r="F13" s="8"/>
      <c r="G13" s="28">
        <f>SUM(G2:G12)</f>
        <v>455296.22</v>
      </c>
      <c r="H13" s="8"/>
      <c r="I13" s="29">
        <f>IF(G13&gt;0, J13/G13, 0)</f>
        <v>0.1356088350568779</v>
      </c>
      <c r="J13" s="28">
        <f>SUM(J2:J12)</f>
        <v>61742.189999999995</v>
      </c>
      <c r="K13" s="8"/>
      <c r="L13" s="28">
        <f>SUM(L2:L12)</f>
        <v>393554.03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01_PRESUPUESTO_CRONOGRAMA_BASE</vt:lpstr>
      <vt:lpstr>02_CRONOGRAMA_PV_DIARIO</vt:lpstr>
      <vt:lpstr>03_CONSOLIDADO_DIARIO_EVM_WBS</vt:lpstr>
      <vt:lpstr>04_LOG_FIELD_ENTRIES</vt:lpstr>
      <vt:lpstr>05_MAESTRO_RECURSOS</vt:lpstr>
      <vt:lpstr>06_MAESTRO_PARTIDAS_EV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Aurelio Solorzano Rios</cp:lastModifiedBy>
  <dcterms:created xsi:type="dcterms:W3CDTF">2026-08-09T19:51:03Z</dcterms:created>
  <dcterms:modified xsi:type="dcterms:W3CDTF">2026-08-09T20:41:01Z</dcterms:modified>
</cp:coreProperties>
</file>