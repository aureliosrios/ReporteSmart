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_KPI" sheetId="1" state="visible" r:id="rId1"/>
    <sheet xmlns:r="http://schemas.openxmlformats.org/officeDocument/2006/relationships" name="02_REGISTROS_DIARIOS" sheetId="2" state="visible" r:id="rId2"/>
    <sheet xmlns:r="http://schemas.openxmlformats.org/officeDocument/2006/relationships" name="03_EVM_POR_WBS" sheetId="3" state="visible" r:id="rId3"/>
    <sheet xmlns:r="http://schemas.openxmlformats.org/officeDocument/2006/relationships" name="04_CATALOGO_WBS" sheetId="4" state="visible" r:id="rId4"/>
    <sheet xmlns:r="http://schemas.openxmlformats.org/officeDocument/2006/relationships" name="05_CATALOGO_RECURS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b val="1"/>
      <color rgb="00FFFFFF"/>
      <sz val="10"/>
    </font>
    <font>
      <name val="Calibri"/>
      <b val="1"/>
      <color rgb="000F172A"/>
      <sz val="12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6B21A8"/>
        <bgColor rgb="006B21A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0" fontId="6" fillId="0" borderId="1" pivotButton="0" quotePrefix="0" xfId="0"/>
    <xf numFmtId="0" fontId="6" fillId="0" borderId="2" pivotButton="0" quotePrefix="0" xfId="0"/>
    <xf numFmtId="0" fontId="0" fillId="0" borderId="2" pivotButton="0" quotePrefix="0" xfId="0"/>
    <xf numFmtId="164" fontId="6" fillId="0" borderId="2" pivotButton="0" quotePrefix="0" xfId="0"/>
    <xf numFmtId="10" fontId="6" fillId="0" borderId="2" pivotButton="0" quotePrefix="0" xfId="0"/>
    <xf numFmtId="0" fontId="3" fillId="5" borderId="0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2" fontId="6" fillId="0" borderId="2" pivotButton="0" quotePrefix="0" xfId="0"/>
    <xf numFmtId="0" fontId="3" fillId="3" borderId="0" applyAlignment="1" pivotButton="0" quotePrefix="0" xfId="0">
      <alignment horizontal="center" vertical="center"/>
    </xf>
    <xf numFmtId="4" fontId="5" fillId="0" borderId="1" pivotButton="0" quotePrefix="0" xfId="0"/>
    <xf numFmtId="164" fontId="5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2" pivotButton="0" quotePrefix="0" xfId="0"/>
    <xf numFmtId="0" fontId="3" fillId="3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32" customWidth="1" min="5" max="5"/>
    <col width="55" customWidth="1" min="6" max="6"/>
    <col width="31" customWidth="1" min="7" max="7"/>
    <col width="27" customWidth="1" min="8" max="8"/>
    <col width="27" customWidth="1" min="9" max="9"/>
  </cols>
  <sheetData>
    <row r="1">
      <c r="A1" s="1" t="inlineStr">
        <is>
          <t>PANEL CENTRAL DE CONTROL DE RESULTADO OPERATIVO (RO) Y EVM - 5 DÍAS DE OBRA</t>
        </is>
      </c>
    </row>
    <row r="2"/>
    <row r="3">
      <c r="A3" s="2" t="inlineStr">
        <is>
          <t>Habilitación Urbana Los Cedros | Redes Sanitarias | Base de Datos Viva Google Sheets / Excel</t>
        </is>
      </c>
    </row>
    <row r="4"/>
    <row r="5">
      <c r="A5" s="3" t="inlineStr">
        <is>
          <t>Presupuesto Meta (BAC)</t>
        </is>
      </c>
      <c r="B5" s="3" t="inlineStr">
        <is>
          <t>Planificado a la Fecha (PV)</t>
        </is>
      </c>
      <c r="C5" s="3" t="inlineStr">
        <is>
          <t>Valor Ganado Exec (EV)</t>
        </is>
      </c>
      <c r="D5" s="3" t="inlineStr">
        <is>
          <t>Costo Real Incurrido (AC)</t>
        </is>
      </c>
      <c r="E5" s="3" t="inlineStr">
        <is>
          <t>Variación Costo (CV = EV-AC)</t>
        </is>
      </c>
      <c r="F5" s="3" t="inlineStr">
        <is>
          <t>Índice Costo (CPI)</t>
        </is>
      </c>
      <c r="G5" s="3" t="inlineStr">
        <is>
          <t>Índice Plazo (SPI)</t>
        </is>
      </c>
      <c r="H5" s="3" t="inlineStr">
        <is>
          <t>Proyección Cierre (EAC)</t>
        </is>
      </c>
      <c r="I5" s="3" t="inlineStr">
        <is>
          <t>Desvío Meta (EAC - BAC)</t>
        </is>
      </c>
    </row>
    <row r="6">
      <c r="A6" s="4">
        <f>SUM('04_CATALOGO_WBS'!C4:C7)</f>
        <v/>
      </c>
      <c r="B6" s="4">
        <f>SUM('04_CATALOGO_WBS'!D4:D7)</f>
        <v/>
      </c>
      <c r="C6" s="4">
        <f>SUMIFS('02_REGISTROS_DIARIOS'!J:J, '02_REGISTROS_DIARIOS'!K:K, "EV_PRODUCCION")</f>
        <v/>
      </c>
      <c r="D6" s="4">
        <f>SUMIFS('02_REGISTROS_DIARIOS'!J:J, '02_REGISTROS_DIARIOS'!K:K, "AC_*")</f>
        <v/>
      </c>
      <c r="E6" s="4">
        <f>C6-D6</f>
        <v/>
      </c>
      <c r="F6" s="5">
        <f>IF(D6&gt;0, C6/D6, 1)</f>
        <v/>
      </c>
      <c r="G6" s="5">
        <f>IF(B6&gt;0, C6/B6, 1)</f>
        <v/>
      </c>
      <c r="H6" s="4">
        <f>IF(F6&gt;0, A6/F6, A6)</f>
        <v/>
      </c>
      <c r="I6" s="4">
        <f>H6-A6</f>
        <v/>
      </c>
    </row>
    <row r="7"/>
    <row r="8"/>
    <row r="9"/>
    <row r="10">
      <c r="A10" s="2" t="inlineStr">
        <is>
          <t>DESGLOSE DE COSTO REAL INCURRIDO ($AC$) POR COMPONENTE Y ROL DE CAMPO</t>
        </is>
      </c>
    </row>
    <row r="11">
      <c r="A11" s="6" t="inlineStr">
        <is>
          <t>Componente Costo</t>
        </is>
      </c>
      <c r="B11" s="6" t="inlineStr">
        <is>
          <t>Rol Responsables</t>
        </is>
      </c>
      <c r="C11" s="6" t="inlineStr">
        <is>
          <t>Tipo EVM</t>
        </is>
      </c>
      <c r="D11" s="6" t="inlineStr">
        <is>
          <t>Fórmula Sumatoria Viva</t>
        </is>
      </c>
      <c r="E11" s="6" t="inlineStr">
        <is>
          <t>Monto Incurrido (PEN)</t>
        </is>
      </c>
      <c r="F11" s="6" t="inlineStr">
        <is>
          <t>% Incidencia AC</t>
        </is>
      </c>
    </row>
    <row r="12">
      <c r="A12" s="7" t="inlineStr">
        <is>
          <t>Mano de Obra ($HH$)</t>
        </is>
      </c>
      <c r="B12" s="7" t="inlineStr">
        <is>
          <t>Tareador (Bildin)</t>
        </is>
      </c>
      <c r="C12" s="8" t="inlineStr">
        <is>
          <t>AC_MO</t>
        </is>
      </c>
      <c r="D12" s="9">
        <f>SUMIFS('02_REGISTROS_DIARIOS'!J:J, '02_REGISTROS_DIARIOS'!K:K, "AC_MO")</f>
        <v/>
      </c>
      <c r="E12" s="9">
        <f>D12</f>
        <v/>
      </c>
      <c r="F12" s="10">
        <f>E12/E$16</f>
        <v/>
      </c>
    </row>
    <row r="13">
      <c r="A13" s="7" t="inlineStr">
        <is>
          <t>Materiales de Almacén</t>
        </is>
      </c>
      <c r="B13" s="7" t="inlineStr">
        <is>
          <t>Almacenero</t>
        </is>
      </c>
      <c r="C13" s="8" t="inlineStr">
        <is>
          <t>AC_MAT</t>
        </is>
      </c>
      <c r="D13" s="9">
        <f>SUMIFS('02_REGISTROS_DIARIOS'!J:J, '02_REGISTROS_DIARIOS'!K:K, "AC_MAT")</f>
        <v/>
      </c>
      <c r="E13" s="9">
        <f>D13</f>
        <v/>
      </c>
      <c r="F13" s="10">
        <f>E13/E$16</f>
        <v/>
      </c>
    </row>
    <row r="14">
      <c r="A14" s="7" t="inlineStr">
        <is>
          <t>Equipos y Horas Máquina</t>
        </is>
      </c>
      <c r="B14" s="7" t="inlineStr">
        <is>
          <t>Administradora</t>
        </is>
      </c>
      <c r="C14" s="8" t="inlineStr">
        <is>
          <t>AC_EQP</t>
        </is>
      </c>
      <c r="D14" s="9">
        <f>SUMIFS('02_REGISTROS_DIARIOS'!J:J, '02_REGISTROS_DIARIOS'!K:K, "AC_EQP")</f>
        <v/>
      </c>
      <c r="E14" s="9">
        <f>D14</f>
        <v/>
      </c>
      <c r="F14" s="10">
        <f>E14/E$16</f>
        <v/>
      </c>
    </row>
    <row r="15">
      <c r="A15" s="7" t="inlineStr">
        <is>
          <t>Subcontratos y Ensayos</t>
        </is>
      </c>
      <c r="B15" s="7" t="inlineStr">
        <is>
          <t>Administradora</t>
        </is>
      </c>
      <c r="C15" s="8" t="inlineStr">
        <is>
          <t>AC_SUB</t>
        </is>
      </c>
      <c r="D15" s="9">
        <f>SUMIFS('02_REGISTROS_DIARIOS'!J:J, '02_REGISTROS_DIARIOS'!K:K, "AC_SUB")</f>
        <v/>
      </c>
      <c r="E15" s="9">
        <f>D15</f>
        <v/>
      </c>
      <c r="F15" s="10">
        <f>E15/E$16</f>
        <v/>
      </c>
    </row>
    <row r="16">
      <c r="A16" s="11" t="inlineStr">
        <is>
          <t>TOTAL COSTO REAL INCURRIDO (AC)</t>
        </is>
      </c>
      <c r="B16" s="12" t="n"/>
      <c r="C16" s="12" t="n"/>
      <c r="D16" s="12" t="n"/>
      <c r="E16" s="13">
        <f>SUM(E12:E15)</f>
        <v/>
      </c>
      <c r="F16" s="14">
        <f>SUM(F12:F15)</f>
        <v/>
      </c>
    </row>
    <row r="17"/>
    <row r="18">
      <c r="A18" s="2" t="inlineStr">
        <is>
          <t>HISTÓRICO Y EVOLUCIÓN DIARIA DE AVANCE (DÍA 1 AL DÍA 5)</t>
        </is>
      </c>
    </row>
    <row r="19">
      <c r="A19" s="15" t="inlineStr">
        <is>
          <t>Fecha</t>
        </is>
      </c>
      <c r="B19" s="15" t="inlineStr">
        <is>
          <t>Costo MO (S/)</t>
        </is>
      </c>
      <c r="C19" s="15" t="inlineStr">
        <is>
          <t>Costo Mat (S/)</t>
        </is>
      </c>
      <c r="D19" s="15" t="inlineStr">
        <is>
          <t>Costo Eqp/Sub (S/)</t>
        </is>
      </c>
      <c r="E19" s="15" t="inlineStr">
        <is>
          <t>Total Costo Real ($AC$)</t>
        </is>
      </c>
      <c r="F19" s="15" t="inlineStr">
        <is>
          <t>Valor Ganado ($EV$)</t>
        </is>
      </c>
      <c r="G19" s="15" t="inlineStr">
        <is>
          <t>Diferencia Diaria ($EV-AC$)</t>
        </is>
      </c>
      <c r="H19" s="15" t="inlineStr">
        <is>
          <t>CPI Diario</t>
        </is>
      </c>
    </row>
    <row r="20">
      <c r="A20" s="8" t="inlineStr">
        <is>
          <t>2026-08-01</t>
        </is>
      </c>
      <c r="B20" s="16">
        <f>SUMIFS('02_REGISTROS_DIARIOS'!J:J, '02_REGISTROS_DIARIOS'!B:B, A20, '02_REGISTROS_DIARIOS'!K:K, "AC_MO")</f>
        <v/>
      </c>
      <c r="C20" s="16">
        <f>SUMIFS('02_REGISTROS_DIARIOS'!J:J, '02_REGISTROS_DIARIOS'!B:B, A20, '02_REGISTROS_DIARIOS'!K:K, "AC_MAT")</f>
        <v/>
      </c>
      <c r="D20" s="16">
        <f>SUMIFS('02_REGISTROS_DIARIOS'!J:J, '02_REGISTROS_DIARIOS'!B:B, A20, '02_REGISTROS_DIARIOS'!K:K, "AC_EQP") + SUMIFS('02_REGISTROS_DIARIOS'!J:J, '02_REGISTROS_DIARIOS'!B:B, A20, '02_REGISTROS_DIARIOS'!K:K, "AC_SUB")</f>
        <v/>
      </c>
      <c r="E20" s="16">
        <f>SUM(B20:D20)</f>
        <v/>
      </c>
      <c r="F20" s="16">
        <f>SUMIFS('02_REGISTROS_DIARIOS'!J:J, '02_REGISTROS_DIARIOS'!B:B, A20, '02_REGISTROS_DIARIOS'!K:K, "EV_PRODUCCION")</f>
        <v/>
      </c>
      <c r="G20" s="16">
        <f>F20-E20</f>
        <v/>
      </c>
      <c r="H20" s="17">
        <f>IF(E20&gt;0, F20/E20, 1)</f>
        <v/>
      </c>
    </row>
    <row r="21">
      <c r="A21" s="8" t="inlineStr">
        <is>
          <t>2026-08-02</t>
        </is>
      </c>
      <c r="B21" s="16">
        <f>SUMIFS('02_REGISTROS_DIARIOS'!J:J, '02_REGISTROS_DIARIOS'!B:B, A21, '02_REGISTROS_DIARIOS'!K:K, "AC_MO")</f>
        <v/>
      </c>
      <c r="C21" s="16">
        <f>SUMIFS('02_REGISTROS_DIARIOS'!J:J, '02_REGISTROS_DIARIOS'!B:B, A21, '02_REGISTROS_DIARIOS'!K:K, "AC_MAT")</f>
        <v/>
      </c>
      <c r="D21" s="16">
        <f>SUMIFS('02_REGISTROS_DIARIOS'!J:J, '02_REGISTROS_DIARIOS'!B:B, A21, '02_REGISTROS_DIARIOS'!K:K, "AC_EQP") + SUMIFS('02_REGISTROS_DIARIOS'!J:J, '02_REGISTROS_DIARIOS'!B:B, A21, '02_REGISTROS_DIARIOS'!K:K, "AC_SUB")</f>
        <v/>
      </c>
      <c r="E21" s="16">
        <f>SUM(B21:D21)</f>
        <v/>
      </c>
      <c r="F21" s="16">
        <f>SUMIFS('02_REGISTROS_DIARIOS'!J:J, '02_REGISTROS_DIARIOS'!B:B, A21, '02_REGISTROS_DIARIOS'!K:K, "EV_PRODUCCION")</f>
        <v/>
      </c>
      <c r="G21" s="16">
        <f>F21-E21</f>
        <v/>
      </c>
      <c r="H21" s="17">
        <f>IF(E21&gt;0, F21/E21, 1)</f>
        <v/>
      </c>
    </row>
    <row r="22">
      <c r="A22" s="8" t="inlineStr">
        <is>
          <t>2026-08-03</t>
        </is>
      </c>
      <c r="B22" s="16">
        <f>SUMIFS('02_REGISTROS_DIARIOS'!J:J, '02_REGISTROS_DIARIOS'!B:B, A22, '02_REGISTROS_DIARIOS'!K:K, "AC_MO")</f>
        <v/>
      </c>
      <c r="C22" s="16">
        <f>SUMIFS('02_REGISTROS_DIARIOS'!J:J, '02_REGISTROS_DIARIOS'!B:B, A22, '02_REGISTROS_DIARIOS'!K:K, "AC_MAT")</f>
        <v/>
      </c>
      <c r="D22" s="16">
        <f>SUMIFS('02_REGISTROS_DIARIOS'!J:J, '02_REGISTROS_DIARIOS'!B:B, A22, '02_REGISTROS_DIARIOS'!K:K, "AC_EQP") + SUMIFS('02_REGISTROS_DIARIOS'!J:J, '02_REGISTROS_DIARIOS'!B:B, A22, '02_REGISTROS_DIARIOS'!K:K, "AC_SUB")</f>
        <v/>
      </c>
      <c r="E22" s="16">
        <f>SUM(B22:D22)</f>
        <v/>
      </c>
      <c r="F22" s="16">
        <f>SUMIFS('02_REGISTROS_DIARIOS'!J:J, '02_REGISTROS_DIARIOS'!B:B, A22, '02_REGISTROS_DIARIOS'!K:K, "EV_PRODUCCION")</f>
        <v/>
      </c>
      <c r="G22" s="16">
        <f>F22-E22</f>
        <v/>
      </c>
      <c r="H22" s="17">
        <f>IF(E22&gt;0, F22/E22, 1)</f>
        <v/>
      </c>
    </row>
    <row r="23">
      <c r="A23" s="8" t="inlineStr">
        <is>
          <t>2026-08-04</t>
        </is>
      </c>
      <c r="B23" s="16">
        <f>SUMIFS('02_REGISTROS_DIARIOS'!J:J, '02_REGISTROS_DIARIOS'!B:B, A23, '02_REGISTROS_DIARIOS'!K:K, "AC_MO")</f>
        <v/>
      </c>
      <c r="C23" s="16">
        <f>SUMIFS('02_REGISTROS_DIARIOS'!J:J, '02_REGISTROS_DIARIOS'!B:B, A23, '02_REGISTROS_DIARIOS'!K:K, "AC_MAT")</f>
        <v/>
      </c>
      <c r="D23" s="16">
        <f>SUMIFS('02_REGISTROS_DIARIOS'!J:J, '02_REGISTROS_DIARIOS'!B:B, A23, '02_REGISTROS_DIARIOS'!K:K, "AC_EQP") + SUMIFS('02_REGISTROS_DIARIOS'!J:J, '02_REGISTROS_DIARIOS'!B:B, A23, '02_REGISTROS_DIARIOS'!K:K, "AC_SUB")</f>
        <v/>
      </c>
      <c r="E23" s="16">
        <f>SUM(B23:D23)</f>
        <v/>
      </c>
      <c r="F23" s="16">
        <f>SUMIFS('02_REGISTROS_DIARIOS'!J:J, '02_REGISTROS_DIARIOS'!B:B, A23, '02_REGISTROS_DIARIOS'!K:K, "EV_PRODUCCION")</f>
        <v/>
      </c>
      <c r="G23" s="16">
        <f>F23-E23</f>
        <v/>
      </c>
      <c r="H23" s="17">
        <f>IF(E23&gt;0, F23/E23, 1)</f>
        <v/>
      </c>
    </row>
    <row r="24">
      <c r="A24" s="8" t="inlineStr">
        <is>
          <t>2026-08-05</t>
        </is>
      </c>
      <c r="B24" s="16">
        <f>SUMIFS('02_REGISTROS_DIARIOS'!J:J, '02_REGISTROS_DIARIOS'!B:B, A24, '02_REGISTROS_DIARIOS'!K:K, "AC_MO")</f>
        <v/>
      </c>
      <c r="C24" s="16">
        <f>SUMIFS('02_REGISTROS_DIARIOS'!J:J, '02_REGISTROS_DIARIOS'!B:B, A24, '02_REGISTROS_DIARIOS'!K:K, "AC_MAT")</f>
        <v/>
      </c>
      <c r="D24" s="16">
        <f>SUMIFS('02_REGISTROS_DIARIOS'!J:J, '02_REGISTROS_DIARIOS'!B:B, A24, '02_REGISTROS_DIARIOS'!K:K, "AC_EQP") + SUMIFS('02_REGISTROS_DIARIOS'!J:J, '02_REGISTROS_DIARIOS'!B:B, A24, '02_REGISTROS_DIARIOS'!K:K, "AC_SUB")</f>
        <v/>
      </c>
      <c r="E24" s="16">
        <f>SUM(B24:D24)</f>
        <v/>
      </c>
      <c r="F24" s="16">
        <f>SUMIFS('02_REGISTROS_DIARIOS'!J:J, '02_REGISTROS_DIARIOS'!B:B, A24, '02_REGISTROS_DIARIOS'!K:K, "EV_PRODUCCION")</f>
        <v/>
      </c>
      <c r="G24" s="16">
        <f>F24-E24</f>
        <v/>
      </c>
      <c r="H24" s="17">
        <f>IF(E24&gt;0, F24/E24, 1)</f>
        <v/>
      </c>
    </row>
    <row r="25">
      <c r="A25" s="11" t="inlineStr">
        <is>
          <t>TOTAL ACUMULADO OBRA</t>
        </is>
      </c>
      <c r="B25" s="13">
        <f>SUM(B20:B24)</f>
        <v/>
      </c>
      <c r="C25" s="13">
        <f>SUM(C20:C24)</f>
        <v/>
      </c>
      <c r="D25" s="13">
        <f>SUM(D20:D24)</f>
        <v/>
      </c>
      <c r="E25" s="13">
        <f>SUM(E20:E24)</f>
        <v/>
      </c>
      <c r="F25" s="13">
        <f>SUM(F20:F24)</f>
        <v/>
      </c>
      <c r="G25" s="13">
        <f>SUM(G20:G24)</f>
        <v/>
      </c>
      <c r="H25" s="18">
        <f>IF(E25&gt;0, F25/E25, 1)</f>
        <v/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14" customWidth="1" min="4" max="4"/>
    <col width="26" customWidth="1" min="5" max="5"/>
    <col width="55" customWidth="1" min="6" max="6"/>
    <col width="12" customWidth="1" min="7" max="7"/>
    <col width="12" customWidth="1" min="8" max="8"/>
    <col width="18" customWidth="1" min="9" max="9"/>
    <col width="22" customWidth="1" min="10" max="10"/>
    <col width="17" customWidth="1" min="11" max="11"/>
    <col width="23" customWidth="1" min="12" max="12"/>
    <col width="19" customWidth="1" min="13" max="13"/>
  </cols>
  <sheetData>
    <row r="1">
      <c r="A1" s="19" t="inlineStr">
        <is>
          <t>ID Registro</t>
        </is>
      </c>
      <c r="B1" s="19" t="inlineStr">
        <is>
          <t>Fecha</t>
        </is>
      </c>
      <c r="C1" s="19" t="inlineStr">
        <is>
          <t>Rol Responsable</t>
        </is>
      </c>
      <c r="D1" s="19" t="inlineStr">
        <is>
          <t>Código WBS</t>
        </is>
      </c>
      <c r="E1" s="19" t="inlineStr">
        <is>
          <t>Código Recurso/Partida</t>
        </is>
      </c>
      <c r="F1" s="19" t="inlineStr">
        <is>
          <t>Descripción / Detalle</t>
        </is>
      </c>
      <c r="G1" s="19" t="inlineStr">
        <is>
          <t>Cantidad</t>
        </is>
      </c>
      <c r="H1" s="19" t="inlineStr">
        <is>
          <t>Unidad</t>
        </is>
      </c>
      <c r="I1" s="19" t="inlineStr">
        <is>
          <t>P.U. Meta (S/)</t>
        </is>
      </c>
      <c r="J1" s="19" t="inlineStr">
        <is>
          <t>Costo Total (S/)</t>
        </is>
      </c>
      <c r="K1" s="19" t="inlineStr">
        <is>
          <t>Categoría EVM</t>
        </is>
      </c>
      <c r="L1" s="19" t="inlineStr">
        <is>
          <t>Origen HTML</t>
        </is>
      </c>
      <c r="M1" s="19" t="inlineStr">
        <is>
          <t>Estado Validado</t>
        </is>
      </c>
    </row>
    <row r="2">
      <c r="A2" s="7" t="inlineStr">
        <is>
          <t>LOG-20260801-001</t>
        </is>
      </c>
      <c r="B2" s="7" t="inlineStr">
        <is>
          <t>2026-08-01</t>
        </is>
      </c>
      <c r="C2" s="7" t="inlineStr">
        <is>
          <t>Tareador (Bildin)</t>
        </is>
      </c>
      <c r="D2" s="8" t="inlineStr">
        <is>
          <t>WBS-100</t>
        </is>
      </c>
      <c r="E2" s="7" t="inlineStr">
        <is>
          <t>MO_CAPATAZ</t>
        </is>
      </c>
      <c r="F2" s="7" t="inlineStr">
        <is>
          <t>CAPATAZ (1 pers. x 8h)</t>
        </is>
      </c>
      <c r="G2" s="20" t="n">
        <v>8</v>
      </c>
      <c r="H2" s="7" t="inlineStr">
        <is>
          <t>hh</t>
        </is>
      </c>
      <c r="I2" s="21" t="n">
        <v>32.5</v>
      </c>
      <c r="J2" s="9">
        <f>ROUND(G2*I2, 2)</f>
        <v/>
      </c>
      <c r="K2" s="8" t="inlineStr">
        <is>
          <t>AC_MO</t>
        </is>
      </c>
      <c r="L2" s="7" t="inlineStr">
        <is>
          <t>tareador.html</t>
        </is>
      </c>
      <c r="M2" s="7" t="inlineStr">
        <is>
          <t>VALIDO</t>
        </is>
      </c>
    </row>
    <row r="3">
      <c r="A3" s="7" t="inlineStr">
        <is>
          <t>LOG-20260801-002</t>
        </is>
      </c>
      <c r="B3" s="7" t="inlineStr">
        <is>
          <t>2026-08-01</t>
        </is>
      </c>
      <c r="C3" s="7" t="inlineStr">
        <is>
          <t>Tareador (Bildin)</t>
        </is>
      </c>
      <c r="D3" s="8" t="inlineStr">
        <is>
          <t>WBS-100</t>
        </is>
      </c>
      <c r="E3" s="7" t="inlineStr">
        <is>
          <t>MO_OPERARIO</t>
        </is>
      </c>
      <c r="F3" s="7" t="inlineStr">
        <is>
          <t>OPERARIO (2 pers. x 8h)</t>
        </is>
      </c>
      <c r="G3" s="20" t="n">
        <v>16</v>
      </c>
      <c r="H3" s="7" t="inlineStr">
        <is>
          <t>hh</t>
        </is>
      </c>
      <c r="I3" s="21" t="n">
        <v>26.8</v>
      </c>
      <c r="J3" s="9">
        <f>ROUND(G3*I3, 2)</f>
        <v/>
      </c>
      <c r="K3" s="8" t="inlineStr">
        <is>
          <t>AC_MO</t>
        </is>
      </c>
      <c r="L3" s="7" t="inlineStr">
        <is>
          <t>tareador.html</t>
        </is>
      </c>
      <c r="M3" s="7" t="inlineStr">
        <is>
          <t>VALIDO</t>
        </is>
      </c>
    </row>
    <row r="4">
      <c r="A4" s="7" t="inlineStr">
        <is>
          <t>LOG-20260801-003</t>
        </is>
      </c>
      <c r="B4" s="7" t="inlineStr">
        <is>
          <t>2026-08-01</t>
        </is>
      </c>
      <c r="C4" s="7" t="inlineStr">
        <is>
          <t>Tareador (Bildin)</t>
        </is>
      </c>
      <c r="D4" s="8" t="inlineStr">
        <is>
          <t>WBS-100</t>
        </is>
      </c>
      <c r="E4" s="7" t="inlineStr">
        <is>
          <t>MO_PEON</t>
        </is>
      </c>
      <c r="F4" s="7" t="inlineStr">
        <is>
          <t>PEON (4 pers. x 8h)</t>
        </is>
      </c>
      <c r="G4" s="20" t="n">
        <v>32</v>
      </c>
      <c r="H4" s="7" t="inlineStr">
        <is>
          <t>hh</t>
        </is>
      </c>
      <c r="I4" s="21" t="n">
        <v>20.1</v>
      </c>
      <c r="J4" s="9">
        <f>ROUND(G4*I4, 2)</f>
        <v/>
      </c>
      <c r="K4" s="8" t="inlineStr">
        <is>
          <t>AC_MO</t>
        </is>
      </c>
      <c r="L4" s="7" t="inlineStr">
        <is>
          <t>tareador.html</t>
        </is>
      </c>
      <c r="M4" s="7" t="inlineStr">
        <is>
          <t>VALIDO</t>
        </is>
      </c>
    </row>
    <row r="5">
      <c r="A5" s="7" t="inlineStr">
        <is>
          <t>LOG-20260801-004</t>
        </is>
      </c>
      <c r="B5" s="7" t="inlineStr">
        <is>
          <t>2026-08-01</t>
        </is>
      </c>
      <c r="C5" s="7" t="inlineStr">
        <is>
          <t>Almacenero</t>
        </is>
      </c>
      <c r="D5" s="8" t="inlineStr">
        <is>
          <t>WBS-100</t>
        </is>
      </c>
      <c r="E5" s="7" t="inlineStr">
        <is>
          <t>MAT_ESTACA</t>
        </is>
      </c>
      <c r="F5" s="7" t="inlineStr">
        <is>
          <t>ESTACAS Y MADERA PARA TRAZO EN AV. LOS CEDROS</t>
        </is>
      </c>
      <c r="G5" s="20" t="n">
        <v>150</v>
      </c>
      <c r="H5" s="7" t="inlineStr">
        <is>
          <t>pza</t>
        </is>
      </c>
      <c r="I5" s="21" t="n">
        <v>4.5</v>
      </c>
      <c r="J5" s="9">
        <f>ROUND(G5*I5, 2)</f>
        <v/>
      </c>
      <c r="K5" s="8" t="inlineStr">
        <is>
          <t>AC_MAT</t>
        </is>
      </c>
      <c r="L5" s="7" t="inlineStr">
        <is>
          <t>almacenero.html</t>
        </is>
      </c>
      <c r="M5" s="7" t="inlineStr">
        <is>
          <t>VALIDO</t>
        </is>
      </c>
    </row>
    <row r="6">
      <c r="A6" s="7" t="inlineStr">
        <is>
          <t>LOG-20260801-005</t>
        </is>
      </c>
      <c r="B6" s="7" t="inlineStr">
        <is>
          <t>2026-08-01</t>
        </is>
      </c>
      <c r="C6" s="7" t="inlineStr">
        <is>
          <t>Almacenero</t>
        </is>
      </c>
      <c r="D6" s="8" t="inlineStr">
        <is>
          <t>WBS-100</t>
        </is>
      </c>
      <c r="E6" s="7" t="inlineStr">
        <is>
          <t>MAT_PINTURA</t>
        </is>
      </c>
      <c r="F6" s="7" t="inlineStr">
        <is>
          <t>PINTURA SPRAY MARCADOR ZANJA</t>
        </is>
      </c>
      <c r="G6" s="20" t="n">
        <v>10</v>
      </c>
      <c r="H6" s="7" t="inlineStr">
        <is>
          <t>gla</t>
        </is>
      </c>
      <c r="I6" s="21" t="n">
        <v>18</v>
      </c>
      <c r="J6" s="9">
        <f>ROUND(G6*I6, 2)</f>
        <v/>
      </c>
      <c r="K6" s="8" t="inlineStr">
        <is>
          <t>AC_MAT</t>
        </is>
      </c>
      <c r="L6" s="7" t="inlineStr">
        <is>
          <t>almacenero.html</t>
        </is>
      </c>
      <c r="M6" s="7" t="inlineStr">
        <is>
          <t>VALIDO</t>
        </is>
      </c>
    </row>
    <row r="7">
      <c r="A7" s="7" t="inlineStr">
        <is>
          <t>LOG-20260801-006</t>
        </is>
      </c>
      <c r="B7" s="7" t="inlineStr">
        <is>
          <t>2026-08-01</t>
        </is>
      </c>
      <c r="C7" s="7" t="inlineStr">
        <is>
          <t>Administradora</t>
        </is>
      </c>
      <c r="D7" s="8" t="inlineStr">
        <is>
          <t>WBS-100</t>
        </is>
      </c>
      <c r="E7" s="7" t="inlineStr">
        <is>
          <t>SUB_MOVILIZACION</t>
        </is>
      </c>
      <c r="F7" s="7" t="inlineStr">
        <is>
          <t>MOVILIZACION DE MAQUINARIA A OBRA</t>
        </is>
      </c>
      <c r="G7" s="20" t="n">
        <v>1</v>
      </c>
      <c r="H7" s="7" t="inlineStr">
        <is>
          <t>glb</t>
        </is>
      </c>
      <c r="I7" s="21" t="n">
        <v>4000</v>
      </c>
      <c r="J7" s="9">
        <f>ROUND(G7*I7, 2)</f>
        <v/>
      </c>
      <c r="K7" s="8" t="inlineStr">
        <is>
          <t>AC_SUB</t>
        </is>
      </c>
      <c r="L7" s="7" t="inlineStr">
        <is>
          <t>administradora.html</t>
        </is>
      </c>
      <c r="M7" s="7" t="inlineStr">
        <is>
          <t>VALIDO</t>
        </is>
      </c>
    </row>
    <row r="8">
      <c r="A8" s="7" t="inlineStr">
        <is>
          <t>LOG-20260801-007</t>
        </is>
      </c>
      <c r="B8" s="7" t="inlineStr">
        <is>
          <t>2026-08-01</t>
        </is>
      </c>
      <c r="C8" s="7" t="inlineStr">
        <is>
          <t>Administradora</t>
        </is>
      </c>
      <c r="D8" s="8" t="inlineStr">
        <is>
          <t>WBS-100</t>
        </is>
      </c>
      <c r="E8" s="7" t="inlineStr">
        <is>
          <t>EQ_ESTACION_TOTAL</t>
        </is>
      </c>
      <c r="F8" s="7" t="inlineStr">
        <is>
          <t>ESTACION TOTAL TOPOGRAFICA</t>
        </is>
      </c>
      <c r="G8" s="20" t="n">
        <v>8</v>
      </c>
      <c r="H8" s="7" t="inlineStr">
        <is>
          <t>hm</t>
        </is>
      </c>
      <c r="I8" s="21" t="n">
        <v>18</v>
      </c>
      <c r="J8" s="9">
        <f>ROUND(G8*I8, 2)</f>
        <v/>
      </c>
      <c r="K8" s="8" t="inlineStr">
        <is>
          <t>AC_EQP</t>
        </is>
      </c>
      <c r="L8" s="7" t="inlineStr">
        <is>
          <t>administradora.html</t>
        </is>
      </c>
      <c r="M8" s="7" t="inlineStr">
        <is>
          <t>VALIDO</t>
        </is>
      </c>
    </row>
    <row r="9">
      <c r="A9" s="7" t="inlineStr">
        <is>
          <t>LOG-20260801-008</t>
        </is>
      </c>
      <c r="B9" s="7" t="inlineStr">
        <is>
          <t>2026-08-01</t>
        </is>
      </c>
      <c r="C9" s="7" t="inlineStr">
        <is>
          <t>Ing. de Campo</t>
        </is>
      </c>
      <c r="D9" s="8" t="inlineStr">
        <is>
          <t>WBS-100</t>
        </is>
      </c>
      <c r="E9" s="7" t="inlineStr">
        <is>
          <t>01.01</t>
        </is>
      </c>
      <c r="F9" s="7" t="inlineStr">
        <is>
          <t>OBRAS PRELIMINARES Y TRABAJOS PROVISIONALES (50%)</t>
        </is>
      </c>
      <c r="G9" s="20" t="n">
        <v>0.5</v>
      </c>
      <c r="H9" s="7" t="inlineStr">
        <is>
          <t>GLB</t>
        </is>
      </c>
      <c r="I9" s="21" t="n">
        <v>8296.4</v>
      </c>
      <c r="J9" s="9">
        <f>ROUND(G9*I9, 2)</f>
        <v/>
      </c>
      <c r="K9" s="8" t="inlineStr">
        <is>
          <t>EV_PRODUCCION</t>
        </is>
      </c>
      <c r="L9" s="7" t="inlineStr">
        <is>
          <t>ing_campo.html</t>
        </is>
      </c>
      <c r="M9" s="7" t="inlineStr">
        <is>
          <t>VALIDO</t>
        </is>
      </c>
    </row>
    <row r="10">
      <c r="A10" s="7" t="inlineStr">
        <is>
          <t>LOG-20260801-009</t>
        </is>
      </c>
      <c r="B10" s="7" t="inlineStr">
        <is>
          <t>2026-08-01</t>
        </is>
      </c>
      <c r="C10" s="7" t="inlineStr">
        <is>
          <t>Ing. de Campo</t>
        </is>
      </c>
      <c r="D10" s="8" t="inlineStr">
        <is>
          <t>WBS-100</t>
        </is>
      </c>
      <c r="E10" s="7" t="inlineStr">
        <is>
          <t>01.02.01</t>
        </is>
      </c>
      <c r="F10" s="7" t="inlineStr">
        <is>
          <t>TRAZO Y REPLANTEO INICIAL TRAMO T-1</t>
        </is>
      </c>
      <c r="G10" s="20" t="n">
        <v>500</v>
      </c>
      <c r="H10" s="7" t="inlineStr">
        <is>
          <t>M</t>
        </is>
      </c>
      <c r="I10" s="21" t="n">
        <v>3.35</v>
      </c>
      <c r="J10" s="9">
        <f>ROUND(G10*I10, 2)</f>
        <v/>
      </c>
      <c r="K10" s="8" t="inlineStr">
        <is>
          <t>EV_PRODUCCION</t>
        </is>
      </c>
      <c r="L10" s="7" t="inlineStr">
        <is>
          <t>ing_campo.html</t>
        </is>
      </c>
      <c r="M10" s="7" t="inlineStr">
        <is>
          <t>VALIDO</t>
        </is>
      </c>
    </row>
    <row r="11">
      <c r="A11" s="7" t="inlineStr">
        <is>
          <t>LOG-20260802-010</t>
        </is>
      </c>
      <c r="B11" s="7" t="inlineStr">
        <is>
          <t>2026-08-02</t>
        </is>
      </c>
      <c r="C11" s="7" t="inlineStr">
        <is>
          <t>Tareador (Bildin)</t>
        </is>
      </c>
      <c r="D11" s="8" t="inlineStr">
        <is>
          <t>WBS-200</t>
        </is>
      </c>
      <c r="E11" s="7" t="inlineStr">
        <is>
          <t>MO_CAPATAZ</t>
        </is>
      </c>
      <c r="F11" s="7" t="inlineStr">
        <is>
          <t>CAPATAZ CONTROL ZANJA</t>
        </is>
      </c>
      <c r="G11" s="20" t="n">
        <v>8</v>
      </c>
      <c r="H11" s="7" t="inlineStr">
        <is>
          <t>hh</t>
        </is>
      </c>
      <c r="I11" s="21" t="n">
        <v>32.5</v>
      </c>
      <c r="J11" s="9">
        <f>ROUND(G11*I11, 2)</f>
        <v/>
      </c>
      <c r="K11" s="8" t="inlineStr">
        <is>
          <t>AC_MO</t>
        </is>
      </c>
      <c r="L11" s="7" t="inlineStr">
        <is>
          <t>tareador.html</t>
        </is>
      </c>
      <c r="M11" s="7" t="inlineStr">
        <is>
          <t>VALIDO</t>
        </is>
      </c>
    </row>
    <row r="12">
      <c r="A12" s="7" t="inlineStr">
        <is>
          <t>LOG-20260802-011</t>
        </is>
      </c>
      <c r="B12" s="7" t="inlineStr">
        <is>
          <t>2026-08-02</t>
        </is>
      </c>
      <c r="C12" s="7" t="inlineStr">
        <is>
          <t>Tareador (Bildin)</t>
        </is>
      </c>
      <c r="D12" s="8" t="inlineStr">
        <is>
          <t>WBS-200</t>
        </is>
      </c>
      <c r="E12" s="7" t="inlineStr">
        <is>
          <t>MO_OPERARIO</t>
        </is>
      </c>
      <c r="F12" s="7" t="inlineStr">
        <is>
          <t>OPERARIO ENTIBADO Y CAMA</t>
        </is>
      </c>
      <c r="G12" s="20" t="n">
        <v>24</v>
      </c>
      <c r="H12" s="7" t="inlineStr">
        <is>
          <t>hh</t>
        </is>
      </c>
      <c r="I12" s="21" t="n">
        <v>26.8</v>
      </c>
      <c r="J12" s="9">
        <f>ROUND(G12*I12, 2)</f>
        <v/>
      </c>
      <c r="K12" s="8" t="inlineStr">
        <is>
          <t>AC_MO</t>
        </is>
      </c>
      <c r="L12" s="7" t="inlineStr">
        <is>
          <t>tareador.html</t>
        </is>
      </c>
      <c r="M12" s="7" t="inlineStr">
        <is>
          <t>VALIDO</t>
        </is>
      </c>
    </row>
    <row r="13">
      <c r="A13" s="7" t="inlineStr">
        <is>
          <t>LOG-20260802-012</t>
        </is>
      </c>
      <c r="B13" s="7" t="inlineStr">
        <is>
          <t>2026-08-02</t>
        </is>
      </c>
      <c r="C13" s="7" t="inlineStr">
        <is>
          <t>Tareador (Bildin)</t>
        </is>
      </c>
      <c r="D13" s="8" t="inlineStr">
        <is>
          <t>WBS-200</t>
        </is>
      </c>
      <c r="E13" s="7" t="inlineStr">
        <is>
          <t>MO_PEON</t>
        </is>
      </c>
      <c r="F13" s="7" t="inlineStr">
        <is>
          <t>PEON REPELE Y CAMA (6 pers. x 8h)</t>
        </is>
      </c>
      <c r="G13" s="20" t="n">
        <v>48</v>
      </c>
      <c r="H13" s="7" t="inlineStr">
        <is>
          <t>hh</t>
        </is>
      </c>
      <c r="I13" s="21" t="n">
        <v>20.1</v>
      </c>
      <c r="J13" s="9">
        <f>ROUND(G13*I13, 2)</f>
        <v/>
      </c>
      <c r="K13" s="8" t="inlineStr">
        <is>
          <t>AC_MO</t>
        </is>
      </c>
      <c r="L13" s="7" t="inlineStr">
        <is>
          <t>tareador.html</t>
        </is>
      </c>
      <c r="M13" s="7" t="inlineStr">
        <is>
          <t>VALIDO</t>
        </is>
      </c>
    </row>
    <row r="14">
      <c r="A14" s="7" t="inlineStr">
        <is>
          <t>LOG-20260802-013</t>
        </is>
      </c>
      <c r="B14" s="7" t="inlineStr">
        <is>
          <t>2026-08-02</t>
        </is>
      </c>
      <c r="C14" s="7" t="inlineStr">
        <is>
          <t>Almacenero</t>
        </is>
      </c>
      <c r="D14" s="8" t="inlineStr">
        <is>
          <t>WBS-200</t>
        </is>
      </c>
      <c r="E14" s="7" t="inlineStr">
        <is>
          <t>MAT_ARENA_CAMAS</t>
        </is>
      </c>
      <c r="F14" s="7" t="inlineStr">
        <is>
          <t>ARENA FINA SELECCIONADA PARA CAMA E=0.10M</t>
        </is>
      </c>
      <c r="G14" s="20" t="n">
        <v>35</v>
      </c>
      <c r="H14" s="7" t="inlineStr">
        <is>
          <t>m3</t>
        </is>
      </c>
      <c r="I14" s="21" t="n">
        <v>45</v>
      </c>
      <c r="J14" s="9">
        <f>ROUND(G14*I14, 2)</f>
        <v/>
      </c>
      <c r="K14" s="8" t="inlineStr">
        <is>
          <t>AC_MAT</t>
        </is>
      </c>
      <c r="L14" s="7" t="inlineStr">
        <is>
          <t>almacenero.html</t>
        </is>
      </c>
      <c r="M14" s="7" t="inlineStr">
        <is>
          <t>VALIDO</t>
        </is>
      </c>
    </row>
    <row r="15">
      <c r="A15" s="7" t="inlineStr">
        <is>
          <t>LOG-20260802-014</t>
        </is>
      </c>
      <c r="B15" s="7" t="inlineStr">
        <is>
          <t>2026-08-02</t>
        </is>
      </c>
      <c r="C15" s="7" t="inlineStr">
        <is>
          <t>Administradora</t>
        </is>
      </c>
      <c r="D15" s="8" t="inlineStr">
        <is>
          <t>WBS-200</t>
        </is>
      </c>
      <c r="E15" s="7" t="inlineStr">
        <is>
          <t>EQ_EXCAVADORA</t>
        </is>
      </c>
      <c r="F15" s="7" t="inlineStr">
        <is>
          <t>EXCAVADORA SOBRE ORUGAS 140 HP EN ZANJA PRINCIPAL</t>
        </is>
      </c>
      <c r="G15" s="20" t="n">
        <v>8</v>
      </c>
      <c r="H15" s="7" t="inlineStr">
        <is>
          <t>hm</t>
        </is>
      </c>
      <c r="I15" s="21" t="n">
        <v>185</v>
      </c>
      <c r="J15" s="9">
        <f>ROUND(G15*I15, 2)</f>
        <v/>
      </c>
      <c r="K15" s="8" t="inlineStr">
        <is>
          <t>AC_EQP</t>
        </is>
      </c>
      <c r="L15" s="7" t="inlineStr">
        <is>
          <t>administradora.html</t>
        </is>
      </c>
      <c r="M15" s="7" t="inlineStr">
        <is>
          <t>VALIDO</t>
        </is>
      </c>
    </row>
    <row r="16">
      <c r="A16" s="7" t="inlineStr">
        <is>
          <t>LOG-20260802-015</t>
        </is>
      </c>
      <c r="B16" s="7" t="inlineStr">
        <is>
          <t>2026-08-02</t>
        </is>
      </c>
      <c r="C16" s="7" t="inlineStr">
        <is>
          <t>Ing. de Campo</t>
        </is>
      </c>
      <c r="D16" s="8" t="inlineStr">
        <is>
          <t>WBS-200</t>
        </is>
      </c>
      <c r="E16" s="7" t="inlineStr">
        <is>
          <t>01.02.02</t>
        </is>
      </c>
      <c r="F16" s="7" t="inlineStr">
        <is>
          <t>EXCAVACION DE ZANJA H=1.5-2.2M A MAQUINA TRAMO T-1</t>
        </is>
      </c>
      <c r="G16" s="20" t="n">
        <v>450</v>
      </c>
      <c r="H16" s="7" t="inlineStr">
        <is>
          <t>M3</t>
        </is>
      </c>
      <c r="I16" s="21" t="n">
        <v>11.66</v>
      </c>
      <c r="J16" s="9">
        <f>ROUND(G16*I16, 2)</f>
        <v/>
      </c>
      <c r="K16" s="8" t="inlineStr">
        <is>
          <t>EV_PRODUCCION</t>
        </is>
      </c>
      <c r="L16" s="7" t="inlineStr">
        <is>
          <t>ing_campo.html</t>
        </is>
      </c>
      <c r="M16" s="7" t="inlineStr">
        <is>
          <t>VALIDO</t>
        </is>
      </c>
    </row>
    <row r="17">
      <c r="A17" s="7" t="inlineStr">
        <is>
          <t>LOG-20260802-016</t>
        </is>
      </c>
      <c r="B17" s="7" t="inlineStr">
        <is>
          <t>2026-08-02</t>
        </is>
      </c>
      <c r="C17" s="7" t="inlineStr">
        <is>
          <t>Ing. de Campo</t>
        </is>
      </c>
      <c r="D17" s="8" t="inlineStr">
        <is>
          <t>WBS-200</t>
        </is>
      </c>
      <c r="E17" s="7" t="inlineStr">
        <is>
          <t>01.02.03</t>
        </is>
      </c>
      <c r="F17" s="7" t="inlineStr">
        <is>
          <t>COLOCACION DE CAMA DE ARENA E=0.10M TRAMO T-1</t>
        </is>
      </c>
      <c r="G17" s="20" t="n">
        <v>300</v>
      </c>
      <c r="H17" s="7" t="inlineStr">
        <is>
          <t>M</t>
        </is>
      </c>
      <c r="I17" s="21" t="n">
        <v>11.12</v>
      </c>
      <c r="J17" s="9">
        <f>ROUND(G17*I17, 2)</f>
        <v/>
      </c>
      <c r="K17" s="8" t="inlineStr">
        <is>
          <t>EV_PRODUCCION</t>
        </is>
      </c>
      <c r="L17" s="7" t="inlineStr">
        <is>
          <t>ing_campo.html</t>
        </is>
      </c>
      <c r="M17" s="7" t="inlineStr">
        <is>
          <t>VALIDO</t>
        </is>
      </c>
    </row>
    <row r="18">
      <c r="A18" s="7" t="inlineStr">
        <is>
          <t>LOG-20260803-017</t>
        </is>
      </c>
      <c r="B18" s="7" t="inlineStr">
        <is>
          <t>2026-08-03</t>
        </is>
      </c>
      <c r="C18" s="7" t="inlineStr">
        <is>
          <t>Tareador (Bildin)</t>
        </is>
      </c>
      <c r="D18" s="8" t="inlineStr">
        <is>
          <t>WBS-200</t>
        </is>
      </c>
      <c r="E18" s="7" t="inlineStr">
        <is>
          <t>MO_OPERARIO</t>
        </is>
      </c>
      <c r="F18" s="7" t="inlineStr">
        <is>
          <t>OPERARIO TUBERO ALCANTARILLADO (3 pers. x 8h)</t>
        </is>
      </c>
      <c r="G18" s="20" t="n">
        <v>24</v>
      </c>
      <c r="H18" s="7" t="inlineStr">
        <is>
          <t>hh</t>
        </is>
      </c>
      <c r="I18" s="21" t="n">
        <v>26.8</v>
      </c>
      <c r="J18" s="9">
        <f>ROUND(G18*I18, 2)</f>
        <v/>
      </c>
      <c r="K18" s="8" t="inlineStr">
        <is>
          <t>AC_MO</t>
        </is>
      </c>
      <c r="L18" s="7" t="inlineStr">
        <is>
          <t>tareador.html</t>
        </is>
      </c>
      <c r="M18" s="7" t="inlineStr">
        <is>
          <t>VALIDO</t>
        </is>
      </c>
    </row>
    <row r="19">
      <c r="A19" s="7" t="inlineStr">
        <is>
          <t>LOG-20260803-018</t>
        </is>
      </c>
      <c r="B19" s="7" t="inlineStr">
        <is>
          <t>2026-08-03</t>
        </is>
      </c>
      <c r="C19" s="7" t="inlineStr">
        <is>
          <t>Tareador (Bildin)</t>
        </is>
      </c>
      <c r="D19" s="8" t="inlineStr">
        <is>
          <t>WBS-200</t>
        </is>
      </c>
      <c r="E19" s="7" t="inlineStr">
        <is>
          <t>MO_OFICIAL</t>
        </is>
      </c>
      <c r="F19" s="7" t="inlineStr">
        <is>
          <t>OFICIAL COMPACTACION Y LUBRICADO</t>
        </is>
      </c>
      <c r="G19" s="20" t="n">
        <v>16</v>
      </c>
      <c r="H19" s="7" t="inlineStr">
        <is>
          <t>hh</t>
        </is>
      </c>
      <c r="I19" s="21" t="n">
        <v>22.4</v>
      </c>
      <c r="J19" s="9">
        <f>ROUND(G19*I19, 2)</f>
        <v/>
      </c>
      <c r="K19" s="8" t="inlineStr">
        <is>
          <t>AC_MO</t>
        </is>
      </c>
      <c r="L19" s="7" t="inlineStr">
        <is>
          <t>tareador.html</t>
        </is>
      </c>
      <c r="M19" s="7" t="inlineStr">
        <is>
          <t>VALIDO</t>
        </is>
      </c>
    </row>
    <row r="20">
      <c r="A20" s="7" t="inlineStr">
        <is>
          <t>LOG-20260803-019</t>
        </is>
      </c>
      <c r="B20" s="7" t="inlineStr">
        <is>
          <t>2026-08-03</t>
        </is>
      </c>
      <c r="C20" s="7" t="inlineStr">
        <is>
          <t>Tareador (Bildin)</t>
        </is>
      </c>
      <c r="D20" s="8" t="inlineStr">
        <is>
          <t>WBS-200</t>
        </is>
      </c>
      <c r="E20" s="7" t="inlineStr">
        <is>
          <t>MO_PEON</t>
        </is>
      </c>
      <c r="F20" s="7" t="inlineStr">
        <is>
          <t>PEON APOYO MONTAJE TUBERIA</t>
        </is>
      </c>
      <c r="G20" s="20" t="n">
        <v>40</v>
      </c>
      <c r="H20" s="7" t="inlineStr">
        <is>
          <t>hh</t>
        </is>
      </c>
      <c r="I20" s="21" t="n">
        <v>20.1</v>
      </c>
      <c r="J20" s="9">
        <f>ROUND(G20*I20, 2)</f>
        <v/>
      </c>
      <c r="K20" s="8" t="inlineStr">
        <is>
          <t>AC_MO</t>
        </is>
      </c>
      <c r="L20" s="7" t="inlineStr">
        <is>
          <t>tareador.html</t>
        </is>
      </c>
      <c r="M20" s="7" t="inlineStr">
        <is>
          <t>VALIDO</t>
        </is>
      </c>
    </row>
    <row r="21">
      <c r="A21" s="7" t="inlineStr">
        <is>
          <t>LOG-20260803-020</t>
        </is>
      </c>
      <c r="B21" s="7" t="inlineStr">
        <is>
          <t>2026-08-03</t>
        </is>
      </c>
      <c r="C21" s="7" t="inlineStr">
        <is>
          <t>Almacenero</t>
        </is>
      </c>
      <c r="D21" s="8" t="inlineStr">
        <is>
          <t>WBS-200</t>
        </is>
      </c>
      <c r="E21" s="7" t="inlineStr">
        <is>
          <t>MAT_TUB_PVC_200</t>
        </is>
      </c>
      <c r="F21" s="7" t="inlineStr">
        <is>
          <t>TUBERIA PVC UF DN 200MM S-20 ALCANTARILLADO</t>
        </is>
      </c>
      <c r="G21" s="20" t="n">
        <v>280</v>
      </c>
      <c r="H21" s="7" t="inlineStr">
        <is>
          <t>m</t>
        </is>
      </c>
      <c r="I21" s="21" t="n">
        <v>42</v>
      </c>
      <c r="J21" s="9">
        <f>ROUND(G21*I21, 2)</f>
        <v/>
      </c>
      <c r="K21" s="8" t="inlineStr">
        <is>
          <t>AC_MAT</t>
        </is>
      </c>
      <c r="L21" s="7" t="inlineStr">
        <is>
          <t>almacenero.html</t>
        </is>
      </c>
      <c r="M21" s="7" t="inlineStr">
        <is>
          <t>VALIDO</t>
        </is>
      </c>
    </row>
    <row r="22">
      <c r="A22" s="7" t="inlineStr">
        <is>
          <t>LOG-20260803-021</t>
        </is>
      </c>
      <c r="B22" s="7" t="inlineStr">
        <is>
          <t>2026-08-03</t>
        </is>
      </c>
      <c r="C22" s="7" t="inlineStr">
        <is>
          <t>Almacenero</t>
        </is>
      </c>
      <c r="D22" s="8" t="inlineStr">
        <is>
          <t>WBS-200</t>
        </is>
      </c>
      <c r="E22" s="7" t="inlineStr">
        <is>
          <t>MAT_LUBRICANTE</t>
        </is>
      </c>
      <c r="F22" s="7" t="inlineStr">
        <is>
          <t>LUBRICANTE PARA TUBERIA PVC</t>
        </is>
      </c>
      <c r="G22" s="20" t="n">
        <v>12</v>
      </c>
      <c r="H22" s="7" t="inlineStr">
        <is>
          <t>kg</t>
        </is>
      </c>
      <c r="I22" s="21" t="n">
        <v>24</v>
      </c>
      <c r="J22" s="9">
        <f>ROUND(G22*I22, 2)</f>
        <v/>
      </c>
      <c r="K22" s="8" t="inlineStr">
        <is>
          <t>AC_MAT</t>
        </is>
      </c>
      <c r="L22" s="7" t="inlineStr">
        <is>
          <t>almacenero.html</t>
        </is>
      </c>
      <c r="M22" s="7" t="inlineStr">
        <is>
          <t>VALIDO</t>
        </is>
      </c>
    </row>
    <row r="23">
      <c r="A23" s="7" t="inlineStr">
        <is>
          <t>LOG-20260803-022</t>
        </is>
      </c>
      <c r="B23" s="7" t="inlineStr">
        <is>
          <t>2026-08-03</t>
        </is>
      </c>
      <c r="C23" s="7" t="inlineStr">
        <is>
          <t>Almacenero</t>
        </is>
      </c>
      <c r="D23" s="8" t="inlineStr">
        <is>
          <t>WBS-200</t>
        </is>
      </c>
      <c r="E23" s="7" t="inlineStr">
        <is>
          <t>MAT_MATERIAL_PR</t>
        </is>
      </c>
      <c r="F23" s="7" t="inlineStr">
        <is>
          <t>MATERIAL AFIRMADO PRESTAMO RELLENO COMPACTADO</t>
        </is>
      </c>
      <c r="G23" s="20" t="n">
        <v>60</v>
      </c>
      <c r="H23" s="7" t="inlineStr">
        <is>
          <t>m3</t>
        </is>
      </c>
      <c r="I23" s="21" t="n">
        <v>38</v>
      </c>
      <c r="J23" s="9">
        <f>ROUND(G23*I23, 2)</f>
        <v/>
      </c>
      <c r="K23" s="8" t="inlineStr">
        <is>
          <t>AC_MAT</t>
        </is>
      </c>
      <c r="L23" s="7" t="inlineStr">
        <is>
          <t>almacenero.html</t>
        </is>
      </c>
      <c r="M23" s="7" t="inlineStr">
        <is>
          <t>VALIDO</t>
        </is>
      </c>
    </row>
    <row r="24">
      <c r="A24" s="7" t="inlineStr">
        <is>
          <t>LOG-20260803-023</t>
        </is>
      </c>
      <c r="B24" s="7" t="inlineStr">
        <is>
          <t>2026-08-03</t>
        </is>
      </c>
      <c r="C24" s="7" t="inlineStr">
        <is>
          <t>Administradora</t>
        </is>
      </c>
      <c r="D24" s="8" t="inlineStr">
        <is>
          <t>WBS-200</t>
        </is>
      </c>
      <c r="E24" s="7" t="inlineStr">
        <is>
          <t>EQ_RETROEXCAVADORA</t>
        </is>
      </c>
      <c r="F24" s="7" t="inlineStr">
        <is>
          <t>RETROEXCAVADORA RELLENO Y LIMPIEZA</t>
        </is>
      </c>
      <c r="G24" s="20" t="n">
        <v>8</v>
      </c>
      <c r="H24" s="7" t="inlineStr">
        <is>
          <t>hm</t>
        </is>
      </c>
      <c r="I24" s="21" t="n">
        <v>130</v>
      </c>
      <c r="J24" s="9">
        <f>ROUND(G24*I24, 2)</f>
        <v/>
      </c>
      <c r="K24" s="8" t="inlineStr">
        <is>
          <t>AC_EQP</t>
        </is>
      </c>
      <c r="L24" s="7" t="inlineStr">
        <is>
          <t>administradora.html</t>
        </is>
      </c>
      <c r="M24" s="7" t="inlineStr">
        <is>
          <t>VALIDO</t>
        </is>
      </c>
    </row>
    <row r="25">
      <c r="A25" s="7" t="inlineStr">
        <is>
          <t>LOG-20260803-024</t>
        </is>
      </c>
      <c r="B25" s="7" t="inlineStr">
        <is>
          <t>2026-08-03</t>
        </is>
      </c>
      <c r="C25" s="7" t="inlineStr">
        <is>
          <t>Administradora</t>
        </is>
      </c>
      <c r="D25" s="8" t="inlineStr">
        <is>
          <t>WBS-200</t>
        </is>
      </c>
      <c r="E25" s="7" t="inlineStr">
        <is>
          <t>EQ_PLANCHA</t>
        </is>
      </c>
      <c r="F25" s="7" t="inlineStr">
        <is>
          <t>PLANCHA COMPACTADORA 7 HP EN ZANJA</t>
        </is>
      </c>
      <c r="G25" s="20" t="n">
        <v>8</v>
      </c>
      <c r="H25" s="7" t="inlineStr">
        <is>
          <t>hm</t>
        </is>
      </c>
      <c r="I25" s="21" t="n">
        <v>25</v>
      </c>
      <c r="J25" s="9">
        <f>ROUND(G25*I25, 2)</f>
        <v/>
      </c>
      <c r="K25" s="8" t="inlineStr">
        <is>
          <t>AC_EQP</t>
        </is>
      </c>
      <c r="L25" s="7" t="inlineStr">
        <is>
          <t>administradora.html</t>
        </is>
      </c>
      <c r="M25" s="7" t="inlineStr">
        <is>
          <t>VALIDO</t>
        </is>
      </c>
    </row>
    <row r="26">
      <c r="A26" s="7" t="inlineStr">
        <is>
          <t>LOG-20260803-025</t>
        </is>
      </c>
      <c r="B26" s="7" t="inlineStr">
        <is>
          <t>2026-08-03</t>
        </is>
      </c>
      <c r="C26" s="7" t="inlineStr">
        <is>
          <t>Ing. de Campo</t>
        </is>
      </c>
      <c r="D26" s="8" t="inlineStr">
        <is>
          <t>WBS-200</t>
        </is>
      </c>
      <c r="E26" s="7" t="inlineStr">
        <is>
          <t>01.02.04</t>
        </is>
      </c>
      <c r="F26" s="7" t="inlineStr">
        <is>
          <t>INSTALACION TUBERIA PVC UF DN 200MM ALCANTARILLADO</t>
        </is>
      </c>
      <c r="G26" s="20" t="n">
        <v>250</v>
      </c>
      <c r="H26" s="7" t="inlineStr">
        <is>
          <t>M</t>
        </is>
      </c>
      <c r="I26" s="21" t="n">
        <v>55.51</v>
      </c>
      <c r="J26" s="9">
        <f>ROUND(G26*I26, 2)</f>
        <v/>
      </c>
      <c r="K26" s="8" t="inlineStr">
        <is>
          <t>EV_PRODUCCION</t>
        </is>
      </c>
      <c r="L26" s="7" t="inlineStr">
        <is>
          <t>ing_campo.html</t>
        </is>
      </c>
      <c r="M26" s="7" t="inlineStr">
        <is>
          <t>VALIDO</t>
        </is>
      </c>
    </row>
    <row r="27">
      <c r="A27" s="7" t="inlineStr">
        <is>
          <t>LOG-20260803-026</t>
        </is>
      </c>
      <c r="B27" s="7" t="inlineStr">
        <is>
          <t>2026-08-03</t>
        </is>
      </c>
      <c r="C27" s="7" t="inlineStr">
        <is>
          <t>Ing. de Campo</t>
        </is>
      </c>
      <c r="D27" s="8" t="inlineStr">
        <is>
          <t>WBS-200</t>
        </is>
      </c>
      <c r="E27" s="7" t="inlineStr">
        <is>
          <t>01.02.05</t>
        </is>
      </c>
      <c r="F27" s="7" t="inlineStr">
        <is>
          <t>RELLENO COMPACTADO DE ZANJA CAPAS 0.20M</t>
        </is>
      </c>
      <c r="G27" s="20" t="n">
        <v>200</v>
      </c>
      <c r="H27" s="7" t="inlineStr">
        <is>
          <t>M3</t>
        </is>
      </c>
      <c r="I27" s="21" t="n">
        <v>28.54</v>
      </c>
      <c r="J27" s="9">
        <f>ROUND(G27*I27, 2)</f>
        <v/>
      </c>
      <c r="K27" s="8" t="inlineStr">
        <is>
          <t>EV_PRODUCCION</t>
        </is>
      </c>
      <c r="L27" s="7" t="inlineStr">
        <is>
          <t>ing_campo.html</t>
        </is>
      </c>
      <c r="M27" s="7" t="inlineStr">
        <is>
          <t>VALIDO</t>
        </is>
      </c>
    </row>
    <row r="28">
      <c r="A28" s="7" t="inlineStr">
        <is>
          <t>LOG-20260804-027</t>
        </is>
      </c>
      <c r="B28" s="7" t="inlineStr">
        <is>
          <t>2026-08-04</t>
        </is>
      </c>
      <c r="C28" s="7" t="inlineStr">
        <is>
          <t>Tareador (Bildin)</t>
        </is>
      </c>
      <c r="D28" s="8" t="inlineStr">
        <is>
          <t>WBS-200</t>
        </is>
      </c>
      <c r="E28" s="7" t="inlineStr">
        <is>
          <t>MO_OPERARIO</t>
        </is>
      </c>
      <c r="F28" s="7" t="inlineStr">
        <is>
          <t>OPERARIO MONTAJE BUZONES</t>
        </is>
      </c>
      <c r="G28" s="20" t="n">
        <v>16</v>
      </c>
      <c r="H28" s="7" t="inlineStr">
        <is>
          <t>hh</t>
        </is>
      </c>
      <c r="I28" s="21" t="n">
        <v>26.8</v>
      </c>
      <c r="J28" s="9">
        <f>ROUND(G28*I28, 2)</f>
        <v/>
      </c>
      <c r="K28" s="8" t="inlineStr">
        <is>
          <t>AC_MO</t>
        </is>
      </c>
      <c r="L28" s="7" t="inlineStr">
        <is>
          <t>tareador.html</t>
        </is>
      </c>
      <c r="M28" s="7" t="inlineStr">
        <is>
          <t>VALIDO</t>
        </is>
      </c>
    </row>
    <row r="29">
      <c r="A29" s="7" t="inlineStr">
        <is>
          <t>LOG-20260804-028</t>
        </is>
      </c>
      <c r="B29" s="7" t="inlineStr">
        <is>
          <t>2026-08-04</t>
        </is>
      </c>
      <c r="C29" s="7" t="inlineStr">
        <is>
          <t>Tareador (Bildin)</t>
        </is>
      </c>
      <c r="D29" s="8" t="inlineStr">
        <is>
          <t>WBS-300</t>
        </is>
      </c>
      <c r="E29" s="7" t="inlineStr">
        <is>
          <t>MO_OPERARIO</t>
        </is>
      </c>
      <c r="F29" s="7" t="inlineStr">
        <is>
          <t>OPERARIO TUBERO AGUA POTABLE</t>
        </is>
      </c>
      <c r="G29" s="20" t="n">
        <v>16</v>
      </c>
      <c r="H29" s="7" t="inlineStr">
        <is>
          <t>hh</t>
        </is>
      </c>
      <c r="I29" s="21" t="n">
        <v>26.8</v>
      </c>
      <c r="J29" s="9">
        <f>ROUND(G29*I29, 2)</f>
        <v/>
      </c>
      <c r="K29" s="8" t="inlineStr">
        <is>
          <t>AC_MO</t>
        </is>
      </c>
      <c r="L29" s="7" t="inlineStr">
        <is>
          <t>tareador.html</t>
        </is>
      </c>
      <c r="M29" s="7" t="inlineStr">
        <is>
          <t>VALIDO</t>
        </is>
      </c>
    </row>
    <row r="30">
      <c r="A30" s="7" t="inlineStr">
        <is>
          <t>LOG-20260804-029</t>
        </is>
      </c>
      <c r="B30" s="7" t="inlineStr">
        <is>
          <t>2026-08-04</t>
        </is>
      </c>
      <c r="C30" s="7" t="inlineStr">
        <is>
          <t>Tareador (Bildin)</t>
        </is>
      </c>
      <c r="D30" s="8" t="inlineStr">
        <is>
          <t>WBS-300</t>
        </is>
      </c>
      <c r="E30" s="7" t="inlineStr">
        <is>
          <t>MO_PEON</t>
        </is>
      </c>
      <c r="F30" s="7" t="inlineStr">
        <is>
          <t>PEON APERTURA ZANJA AGUA</t>
        </is>
      </c>
      <c r="G30" s="20" t="n">
        <v>32</v>
      </c>
      <c r="H30" s="7" t="inlineStr">
        <is>
          <t>hh</t>
        </is>
      </c>
      <c r="I30" s="21" t="n">
        <v>20.1</v>
      </c>
      <c r="J30" s="9">
        <f>ROUND(G30*I30, 2)</f>
        <v/>
      </c>
      <c r="K30" s="8" t="inlineStr">
        <is>
          <t>AC_MO</t>
        </is>
      </c>
      <c r="L30" s="7" t="inlineStr">
        <is>
          <t>tareador.html</t>
        </is>
      </c>
      <c r="M30" s="7" t="inlineStr">
        <is>
          <t>VALIDO</t>
        </is>
      </c>
    </row>
    <row r="31">
      <c r="A31" s="7" t="inlineStr">
        <is>
          <t>LOG-20260804-030</t>
        </is>
      </c>
      <c r="B31" s="7" t="inlineStr">
        <is>
          <t>2026-08-04</t>
        </is>
      </c>
      <c r="C31" s="7" t="inlineStr">
        <is>
          <t>Almacenero</t>
        </is>
      </c>
      <c r="D31" s="8" t="inlineStr">
        <is>
          <t>WBS-200</t>
        </is>
      </c>
      <c r="E31" s="7" t="inlineStr">
        <is>
          <t>MAT_BUZON_PREF</t>
        </is>
      </c>
      <c r="F31" s="7" t="inlineStr">
        <is>
          <t>BUZON PREFABRICADO DE CONCRETO H=2.0M CON MARCO/TAPA</t>
        </is>
      </c>
      <c r="G31" s="20" t="n">
        <v>4</v>
      </c>
      <c r="H31" s="7" t="inlineStr">
        <is>
          <t>und</t>
        </is>
      </c>
      <c r="I31" s="21" t="n">
        <v>1050</v>
      </c>
      <c r="J31" s="9">
        <f>ROUND(G31*I31, 2)</f>
        <v/>
      </c>
      <c r="K31" s="8" t="inlineStr">
        <is>
          <t>AC_MAT</t>
        </is>
      </c>
      <c r="L31" s="7" t="inlineStr">
        <is>
          <t>almacenero.html</t>
        </is>
      </c>
      <c r="M31" s="7" t="inlineStr">
        <is>
          <t>VALIDO</t>
        </is>
      </c>
    </row>
    <row r="32">
      <c r="A32" s="7" t="inlineStr">
        <is>
          <t>LOG-20260804-031</t>
        </is>
      </c>
      <c r="B32" s="7" t="inlineStr">
        <is>
          <t>2026-08-04</t>
        </is>
      </c>
      <c r="C32" s="7" t="inlineStr">
        <is>
          <t>Almacenero</t>
        </is>
      </c>
      <c r="D32" s="8" t="inlineStr">
        <is>
          <t>WBS-300</t>
        </is>
      </c>
      <c r="E32" s="7" t="inlineStr">
        <is>
          <t>MAT_TUB_PVC_110_AGUA</t>
        </is>
      </c>
      <c r="F32" s="7" t="inlineStr">
        <is>
          <t>TUBERIA PVC C-10 DN 110MM AGUA POTABLE</t>
        </is>
      </c>
      <c r="G32" s="20" t="n">
        <v>200</v>
      </c>
      <c r="H32" s="7" t="inlineStr">
        <is>
          <t>m</t>
        </is>
      </c>
      <c r="I32" s="21" t="n">
        <v>26.5</v>
      </c>
      <c r="J32" s="9">
        <f>ROUND(G32*I32, 2)</f>
        <v/>
      </c>
      <c r="K32" s="8" t="inlineStr">
        <is>
          <t>AC_MAT</t>
        </is>
      </c>
      <c r="L32" s="7" t="inlineStr">
        <is>
          <t>almacenero.html</t>
        </is>
      </c>
      <c r="M32" s="7" t="inlineStr">
        <is>
          <t>VALIDO</t>
        </is>
      </c>
    </row>
    <row r="33">
      <c r="A33" s="7" t="inlineStr">
        <is>
          <t>LOG-20260804-032</t>
        </is>
      </c>
      <c r="B33" s="7" t="inlineStr">
        <is>
          <t>2026-08-04</t>
        </is>
      </c>
      <c r="C33" s="7" t="inlineStr">
        <is>
          <t>Administradora</t>
        </is>
      </c>
      <c r="D33" s="8" t="inlineStr">
        <is>
          <t>WBS-200</t>
        </is>
      </c>
      <c r="E33" s="7" t="inlineStr">
        <is>
          <t>EQ_CAMION_GRUAN</t>
        </is>
      </c>
      <c r="F33" s="7" t="inlineStr">
        <is>
          <t>CAMION GRUA 5 TN MONTAJE BUZONES PREFABRICADOS</t>
        </is>
      </c>
      <c r="G33" s="20" t="n">
        <v>6</v>
      </c>
      <c r="H33" s="7" t="inlineStr">
        <is>
          <t>hm</t>
        </is>
      </c>
      <c r="I33" s="21" t="n">
        <v>160</v>
      </c>
      <c r="J33" s="9">
        <f>ROUND(G33*I33, 2)</f>
        <v/>
      </c>
      <c r="K33" s="8" t="inlineStr">
        <is>
          <t>AC_EQP</t>
        </is>
      </c>
      <c r="L33" s="7" t="inlineStr">
        <is>
          <t>administradora.html</t>
        </is>
      </c>
      <c r="M33" s="7" t="inlineStr">
        <is>
          <t>VALIDO</t>
        </is>
      </c>
    </row>
    <row r="34">
      <c r="A34" s="7" t="inlineStr">
        <is>
          <t>LOG-20260804-033</t>
        </is>
      </c>
      <c r="B34" s="7" t="inlineStr">
        <is>
          <t>2026-08-04</t>
        </is>
      </c>
      <c r="C34" s="7" t="inlineStr">
        <is>
          <t>Administradora</t>
        </is>
      </c>
      <c r="D34" s="8" t="inlineStr">
        <is>
          <t>WBS-200</t>
        </is>
      </c>
      <c r="E34" s="7" t="inlineStr">
        <is>
          <t>SUB_MONTAJE_BUZON</t>
        </is>
      </c>
      <c r="F34" s="7" t="inlineStr">
        <is>
          <t>SUBCONTRATO ASENTADO Y SELLADO DE BUZONES</t>
        </is>
      </c>
      <c r="G34" s="20" t="n">
        <v>4</v>
      </c>
      <c r="H34" s="7" t="inlineStr">
        <is>
          <t>und</t>
        </is>
      </c>
      <c r="I34" s="21" t="n">
        <v>250</v>
      </c>
      <c r="J34" s="9">
        <f>ROUND(G34*I34, 2)</f>
        <v/>
      </c>
      <c r="K34" s="8" t="inlineStr">
        <is>
          <t>AC_SUB</t>
        </is>
      </c>
      <c r="L34" s="7" t="inlineStr">
        <is>
          <t>administradora.html</t>
        </is>
      </c>
      <c r="M34" s="7" t="inlineStr">
        <is>
          <t>VALIDO</t>
        </is>
      </c>
    </row>
    <row r="35">
      <c r="A35" s="7" t="inlineStr">
        <is>
          <t>LOG-20260804-034</t>
        </is>
      </c>
      <c r="B35" s="7" t="inlineStr">
        <is>
          <t>2026-08-04</t>
        </is>
      </c>
      <c r="C35" s="7" t="inlineStr">
        <is>
          <t>Ing. de Campo</t>
        </is>
      </c>
      <c r="D35" s="8" t="inlineStr">
        <is>
          <t>WBS-200</t>
        </is>
      </c>
      <c r="E35" s="7" t="inlineStr">
        <is>
          <t>01.02.06</t>
        </is>
      </c>
      <c r="F35" s="7" t="inlineStr">
        <is>
          <t>CONSTRUCCION DE BUZONES PREFABRICADOS CONCRETO H=1.5-2.5M</t>
        </is>
      </c>
      <c r="G35" s="20" t="n">
        <v>4</v>
      </c>
      <c r="H35" s="7" t="inlineStr">
        <is>
          <t>UND</t>
        </is>
      </c>
      <c r="I35" s="21" t="n">
        <v>2500.73</v>
      </c>
      <c r="J35" s="9">
        <f>ROUND(G35*I35, 2)</f>
        <v/>
      </c>
      <c r="K35" s="8" t="inlineStr">
        <is>
          <t>EV_PRODUCCION</t>
        </is>
      </c>
      <c r="L35" s="7" t="inlineStr">
        <is>
          <t>ing_campo.html</t>
        </is>
      </c>
      <c r="M35" s="7" t="inlineStr">
        <is>
          <t>VALIDO</t>
        </is>
      </c>
    </row>
    <row r="36">
      <c r="A36" s="7" t="inlineStr">
        <is>
          <t>LOG-20260804-035</t>
        </is>
      </c>
      <c r="B36" s="7" t="inlineStr">
        <is>
          <t>2026-08-04</t>
        </is>
      </c>
      <c r="C36" s="7" t="inlineStr">
        <is>
          <t>Ing. de Campo</t>
        </is>
      </c>
      <c r="D36" s="8" t="inlineStr">
        <is>
          <t>WBS-300</t>
        </is>
      </c>
      <c r="E36" s="7" t="inlineStr">
        <is>
          <t>01.03.01</t>
        </is>
      </c>
      <c r="F36" s="7" t="inlineStr">
        <is>
          <t>INSTALACION TUBERIA PVC C-10 DN 110MM AGUA POTABLE</t>
        </is>
      </c>
      <c r="G36" s="20" t="n">
        <v>180</v>
      </c>
      <c r="H36" s="7" t="inlineStr">
        <is>
          <t>M</t>
        </is>
      </c>
      <c r="I36" s="21" t="n">
        <v>38.76</v>
      </c>
      <c r="J36" s="9">
        <f>ROUND(G36*I36, 2)</f>
        <v/>
      </c>
      <c r="K36" s="8" t="inlineStr">
        <is>
          <t>EV_PRODUCCION</t>
        </is>
      </c>
      <c r="L36" s="7" t="inlineStr">
        <is>
          <t>ing_campo.html</t>
        </is>
      </c>
      <c r="M36" s="7" t="inlineStr">
        <is>
          <t>VALIDO</t>
        </is>
      </c>
    </row>
    <row r="37">
      <c r="A37" s="7" t="inlineStr">
        <is>
          <t>LOG-20260805-036</t>
        </is>
      </c>
      <c r="B37" s="7" t="inlineStr">
        <is>
          <t>2026-08-05</t>
        </is>
      </c>
      <c r="C37" s="7" t="inlineStr">
        <is>
          <t>Tareador (Bildin)</t>
        </is>
      </c>
      <c r="D37" s="8" t="inlineStr">
        <is>
          <t>WBS-200</t>
        </is>
      </c>
      <c r="E37" s="7" t="inlineStr">
        <is>
          <t>MO_OPERARIO</t>
        </is>
      </c>
      <c r="F37" s="7" t="inlineStr">
        <is>
          <t>OPERARIO CONEXION DOMICILIARIA ALCANTARILLADO</t>
        </is>
      </c>
      <c r="G37" s="20" t="n">
        <v>16</v>
      </c>
      <c r="H37" s="7" t="inlineStr">
        <is>
          <t>hh</t>
        </is>
      </c>
      <c r="I37" s="21" t="n">
        <v>26.8</v>
      </c>
      <c r="J37" s="9">
        <f>ROUND(G37*I37, 2)</f>
        <v/>
      </c>
      <c r="K37" s="8" t="inlineStr">
        <is>
          <t>AC_MO</t>
        </is>
      </c>
      <c r="L37" s="7" t="inlineStr">
        <is>
          <t>tareador.html</t>
        </is>
      </c>
      <c r="M37" s="7" t="inlineStr">
        <is>
          <t>VALIDO</t>
        </is>
      </c>
    </row>
    <row r="38">
      <c r="A38" s="7" t="inlineStr">
        <is>
          <t>LOG-20260805-037</t>
        </is>
      </c>
      <c r="B38" s="7" t="inlineStr">
        <is>
          <t>2026-08-05</t>
        </is>
      </c>
      <c r="C38" s="7" t="inlineStr">
        <is>
          <t>Tareador (Bildin)</t>
        </is>
      </c>
      <c r="D38" s="8" t="inlineStr">
        <is>
          <t>WBS-300</t>
        </is>
      </c>
      <c r="E38" s="7" t="inlineStr">
        <is>
          <t>MO_OPERARIO</t>
        </is>
      </c>
      <c r="F38" s="7" t="inlineStr">
        <is>
          <t>OPERARIO CONEXION DOMICILIARIA AGUA</t>
        </is>
      </c>
      <c r="G38" s="20" t="n">
        <v>16</v>
      </c>
      <c r="H38" s="7" t="inlineStr">
        <is>
          <t>hh</t>
        </is>
      </c>
      <c r="I38" s="21" t="n">
        <v>26.8</v>
      </c>
      <c r="J38" s="9">
        <f>ROUND(G38*I38, 2)</f>
        <v/>
      </c>
      <c r="K38" s="8" t="inlineStr">
        <is>
          <t>AC_MO</t>
        </is>
      </c>
      <c r="L38" s="7" t="inlineStr">
        <is>
          <t>tareador.html</t>
        </is>
      </c>
      <c r="M38" s="7" t="inlineStr">
        <is>
          <t>VALIDO</t>
        </is>
      </c>
    </row>
    <row r="39">
      <c r="A39" s="7" t="inlineStr">
        <is>
          <t>LOG-20260805-038</t>
        </is>
      </c>
      <c r="B39" s="7" t="inlineStr">
        <is>
          <t>2026-08-05</t>
        </is>
      </c>
      <c r="C39" s="7" t="inlineStr">
        <is>
          <t>Tareador (Bildin)</t>
        </is>
      </c>
      <c r="D39" s="8" t="inlineStr">
        <is>
          <t>WBS-400</t>
        </is>
      </c>
      <c r="E39" s="7" t="inlineStr">
        <is>
          <t>MO_OFICIAL</t>
        </is>
      </c>
      <c r="F39" s="7" t="inlineStr">
        <is>
          <t>OFICIAL PRUEBAS HIDRAULICAS DE RED</t>
        </is>
      </c>
      <c r="G39" s="20" t="n">
        <v>8</v>
      </c>
      <c r="H39" s="7" t="inlineStr">
        <is>
          <t>hh</t>
        </is>
      </c>
      <c r="I39" s="21" t="n">
        <v>22.4</v>
      </c>
      <c r="J39" s="9">
        <f>ROUND(G39*I39, 2)</f>
        <v/>
      </c>
      <c r="K39" s="8" t="inlineStr">
        <is>
          <t>AC_MO</t>
        </is>
      </c>
      <c r="L39" s="7" t="inlineStr">
        <is>
          <t>tareador.html</t>
        </is>
      </c>
      <c r="M39" s="7" t="inlineStr">
        <is>
          <t>VALIDO</t>
        </is>
      </c>
    </row>
    <row r="40">
      <c r="A40" s="7" t="inlineStr">
        <is>
          <t>LOG-20260805-039</t>
        </is>
      </c>
      <c r="B40" s="7" t="inlineStr">
        <is>
          <t>2026-08-05</t>
        </is>
      </c>
      <c r="C40" s="7" t="inlineStr">
        <is>
          <t>Almacenero</t>
        </is>
      </c>
      <c r="D40" s="8" t="inlineStr">
        <is>
          <t>WBS-200</t>
        </is>
      </c>
      <c r="E40" s="7" t="inlineStr">
        <is>
          <t>MAT_CAJA_REGISTRO</t>
        </is>
      </c>
      <c r="F40" s="7" t="inlineStr">
        <is>
          <t>CAJA DE REGISTRO PREFABRICADA 12X24 WITH TAPA</t>
        </is>
      </c>
      <c r="G40" s="20" t="n">
        <v>15</v>
      </c>
      <c r="H40" s="7" t="inlineStr">
        <is>
          <t>und</t>
        </is>
      </c>
      <c r="I40" s="21" t="n">
        <v>145</v>
      </c>
      <c r="J40" s="9">
        <f>ROUND(G40*I40, 2)</f>
        <v/>
      </c>
      <c r="K40" s="8" t="inlineStr">
        <is>
          <t>AC_MAT</t>
        </is>
      </c>
      <c r="L40" s="7" t="inlineStr">
        <is>
          <t>almacenero.html</t>
        </is>
      </c>
      <c r="M40" s="7" t="inlineStr">
        <is>
          <t>VALIDO</t>
        </is>
      </c>
    </row>
    <row r="41">
      <c r="A41" s="7" t="inlineStr">
        <is>
          <t>LOG-20260805-040</t>
        </is>
      </c>
      <c r="B41" s="7" t="inlineStr">
        <is>
          <t>2026-08-05</t>
        </is>
      </c>
      <c r="C41" s="7" t="inlineStr">
        <is>
          <t>Almacenero</t>
        </is>
      </c>
      <c r="D41" s="8" t="inlineStr">
        <is>
          <t>WBS-200</t>
        </is>
      </c>
      <c r="E41" s="7" t="inlineStr">
        <is>
          <t>MAT_TUB_PVC_160_CONEX</t>
        </is>
      </c>
      <c r="F41" s="7" t="inlineStr">
        <is>
          <t>TUBERIA PVC SAL DN 160MM ACOMETIDA</t>
        </is>
      </c>
      <c r="G41" s="20" t="n">
        <v>90</v>
      </c>
      <c r="H41" s="7" t="inlineStr">
        <is>
          <t>m</t>
        </is>
      </c>
      <c r="I41" s="21" t="n">
        <v>22</v>
      </c>
      <c r="J41" s="9">
        <f>ROUND(G41*I41, 2)</f>
        <v/>
      </c>
      <c r="K41" s="8" t="inlineStr">
        <is>
          <t>AC_MAT</t>
        </is>
      </c>
      <c r="L41" s="7" t="inlineStr">
        <is>
          <t>almacenero.html</t>
        </is>
      </c>
      <c r="M41" s="7" t="inlineStr">
        <is>
          <t>VALIDO</t>
        </is>
      </c>
    </row>
    <row r="42">
      <c r="A42" s="7" t="inlineStr">
        <is>
          <t>LOG-20260805-041</t>
        </is>
      </c>
      <c r="B42" s="7" t="inlineStr">
        <is>
          <t>2026-08-05</t>
        </is>
      </c>
      <c r="C42" s="7" t="inlineStr">
        <is>
          <t>Almacenero</t>
        </is>
      </c>
      <c r="D42" s="8" t="inlineStr">
        <is>
          <t>WBS-300</t>
        </is>
      </c>
      <c r="E42" s="7" t="inlineStr">
        <is>
          <t>MAT_CAJA_AGUA</t>
        </is>
      </c>
      <c r="F42" s="7" t="inlineStr">
        <is>
          <t>CAJA TERMOFORMADA MEDIDOR + ABRAZADERA + LLAVE</t>
        </is>
      </c>
      <c r="G42" s="20" t="n">
        <v>15</v>
      </c>
      <c r="H42" s="7" t="inlineStr">
        <is>
          <t>und</t>
        </is>
      </c>
      <c r="I42" s="21" t="n">
        <v>62</v>
      </c>
      <c r="J42" s="9">
        <f>ROUND(G42*I42, 2)</f>
        <v/>
      </c>
      <c r="K42" s="8" t="inlineStr">
        <is>
          <t>AC_MAT</t>
        </is>
      </c>
      <c r="L42" s="7" t="inlineStr">
        <is>
          <t>almacenero.html</t>
        </is>
      </c>
      <c r="M42" s="7" t="inlineStr">
        <is>
          <t>VALIDO</t>
        </is>
      </c>
    </row>
    <row r="43">
      <c r="A43" s="7" t="inlineStr">
        <is>
          <t>LOG-20260805-042</t>
        </is>
      </c>
      <c r="B43" s="7" t="inlineStr">
        <is>
          <t>2026-08-05</t>
        </is>
      </c>
      <c r="C43" s="7" t="inlineStr">
        <is>
          <t>Administradora</t>
        </is>
      </c>
      <c r="D43" s="8" t="inlineStr">
        <is>
          <t>WBS-200</t>
        </is>
      </c>
      <c r="E43" s="7" t="inlineStr">
        <is>
          <t>SUB_ENSAYOS_COMPAC</t>
        </is>
      </c>
      <c r="F43" s="7" t="inlineStr">
        <is>
          <t>SUBCONTRATO ENSAYOS DENSIDAD DE CAMPO (PROCTOR)</t>
        </is>
      </c>
      <c r="G43" s="20" t="n">
        <v>10</v>
      </c>
      <c r="H43" s="7" t="inlineStr">
        <is>
          <t>und</t>
        </is>
      </c>
      <c r="I43" s="21" t="n">
        <v>80</v>
      </c>
      <c r="J43" s="9">
        <f>ROUND(G43*I43, 2)</f>
        <v/>
      </c>
      <c r="K43" s="8" t="inlineStr">
        <is>
          <t>AC_SUB</t>
        </is>
      </c>
      <c r="L43" s="7" t="inlineStr">
        <is>
          <t>administradora.html</t>
        </is>
      </c>
      <c r="M43" s="7" t="inlineStr">
        <is>
          <t>VALIDO</t>
        </is>
      </c>
    </row>
    <row r="44">
      <c r="A44" s="7" t="inlineStr">
        <is>
          <t>LOG-20260805-043</t>
        </is>
      </c>
      <c r="B44" s="7" t="inlineStr">
        <is>
          <t>2026-08-05</t>
        </is>
      </c>
      <c r="C44" s="7" t="inlineStr">
        <is>
          <t>Administradora</t>
        </is>
      </c>
      <c r="D44" s="8" t="inlineStr">
        <is>
          <t>WBS-400</t>
        </is>
      </c>
      <c r="E44" s="7" t="inlineStr">
        <is>
          <t>EQ_CAMION_CISTERNA</t>
        </is>
      </c>
      <c r="F44" s="7" t="inlineStr">
        <is>
          <t>CAMION CISTERNA AGUA PRUEBAS HIDRAULICAS</t>
        </is>
      </c>
      <c r="G44" s="20" t="n">
        <v>8</v>
      </c>
      <c r="H44" s="7" t="inlineStr">
        <is>
          <t>hm</t>
        </is>
      </c>
      <c r="I44" s="21" t="n">
        <v>140</v>
      </c>
      <c r="J44" s="9">
        <f>ROUND(G44*I44, 2)</f>
        <v/>
      </c>
      <c r="K44" s="8" t="inlineStr">
        <is>
          <t>AC_EQP</t>
        </is>
      </c>
      <c r="L44" s="7" t="inlineStr">
        <is>
          <t>administradora.html</t>
        </is>
      </c>
      <c r="M44" s="7" t="inlineStr">
        <is>
          <t>VALIDO</t>
        </is>
      </c>
    </row>
    <row r="45">
      <c r="A45" s="7" t="inlineStr">
        <is>
          <t>LOG-20260805-044</t>
        </is>
      </c>
      <c r="B45" s="7" t="inlineStr">
        <is>
          <t>2026-08-05</t>
        </is>
      </c>
      <c r="C45" s="7" t="inlineStr">
        <is>
          <t>Ing. de Campo</t>
        </is>
      </c>
      <c r="D45" s="8" t="inlineStr">
        <is>
          <t>WBS-200</t>
        </is>
      </c>
      <c r="E45" s="7" t="inlineStr">
        <is>
          <t>01.02.07</t>
        </is>
      </c>
      <c r="F45" s="7" t="inlineStr">
        <is>
          <t>CONEXIONES DOMICILIARIAS ALCANTARILLADO (15 ACOMETIDAS)</t>
        </is>
      </c>
      <c r="G45" s="20" t="n">
        <v>15</v>
      </c>
      <c r="H45" s="7" t="inlineStr">
        <is>
          <t>UND</t>
        </is>
      </c>
      <c r="I45" s="21" t="n">
        <v>405.54</v>
      </c>
      <c r="J45" s="9">
        <f>ROUND(G45*I45, 2)</f>
        <v/>
      </c>
      <c r="K45" s="8" t="inlineStr">
        <is>
          <t>EV_PRODUCCION</t>
        </is>
      </c>
      <c r="L45" s="7" t="inlineStr">
        <is>
          <t>ing_campo.html</t>
        </is>
      </c>
      <c r="M45" s="7" t="inlineStr">
        <is>
          <t>VALIDO</t>
        </is>
      </c>
    </row>
    <row r="46">
      <c r="A46" s="7" t="inlineStr">
        <is>
          <t>LOG-20260805-045</t>
        </is>
      </c>
      <c r="B46" s="7" t="inlineStr">
        <is>
          <t>2026-08-05</t>
        </is>
      </c>
      <c r="C46" s="7" t="inlineStr">
        <is>
          <t>Ing. de Campo</t>
        </is>
      </c>
      <c r="D46" s="8" t="inlineStr">
        <is>
          <t>WBS-300</t>
        </is>
      </c>
      <c r="E46" s="7" t="inlineStr">
        <is>
          <t>01.03.02</t>
        </is>
      </c>
      <c r="F46" s="7" t="inlineStr">
        <is>
          <t>CONEXIONES DOMICILIARIAS AGUA POTABLE (15 ACOMETIDAS)</t>
        </is>
      </c>
      <c r="G46" s="20" t="n">
        <v>15</v>
      </c>
      <c r="H46" s="7" t="inlineStr">
        <is>
          <t>UND</t>
        </is>
      </c>
      <c r="I46" s="21" t="n">
        <v>156.71</v>
      </c>
      <c r="J46" s="9">
        <f>ROUND(G46*I46, 2)</f>
        <v/>
      </c>
      <c r="K46" s="8" t="inlineStr">
        <is>
          <t>EV_PRODUCCION</t>
        </is>
      </c>
      <c r="L46" s="7" t="inlineStr">
        <is>
          <t>ing_campo.html</t>
        </is>
      </c>
      <c r="M46" s="7" t="inlineStr">
        <is>
          <t>VALIDO</t>
        </is>
      </c>
    </row>
    <row r="47">
      <c r="A47" s="7" t="inlineStr">
        <is>
          <t>LOG-20260805-046</t>
        </is>
      </c>
      <c r="B47" s="7" t="inlineStr">
        <is>
          <t>2026-08-05</t>
        </is>
      </c>
      <c r="C47" s="7" t="inlineStr">
        <is>
          <t>Ing. de Campo</t>
        </is>
      </c>
      <c r="D47" s="8" t="inlineStr">
        <is>
          <t>WBS-400</t>
        </is>
      </c>
      <c r="E47" s="7" t="inlineStr">
        <is>
          <t>01.04.01</t>
        </is>
      </c>
      <c r="F47" s="7" t="inlineStr">
        <is>
          <t>PRUEBA HIDRAULICA TRAMO 1 ALCANTARILLADO Y AGUA (25%)</t>
        </is>
      </c>
      <c r="G47" s="20" t="n">
        <v>0.25</v>
      </c>
      <c r="H47" s="7" t="inlineStr">
        <is>
          <t>GLB</t>
        </is>
      </c>
      <c r="I47" s="21" t="n">
        <v>9348.059999999999</v>
      </c>
      <c r="J47" s="9">
        <f>ROUND(G47*I47, 2)</f>
        <v/>
      </c>
      <c r="K47" s="8" t="inlineStr">
        <is>
          <t>EV_PRODUCCION</t>
        </is>
      </c>
      <c r="L47" s="7" t="inlineStr">
        <is>
          <t>ing_campo.html</t>
        </is>
      </c>
      <c r="M47" s="7" t="inlineStr">
        <is>
          <t>VALIDO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9" customWidth="1" min="3" max="3"/>
    <col width="25" customWidth="1" min="4" max="4"/>
    <col width="55" customWidth="1" min="5" max="5"/>
    <col width="55" customWidth="1" min="6" max="6"/>
    <col width="55" customWidth="1" min="7" max="7"/>
    <col width="28" customWidth="1" min="8" max="8"/>
    <col width="55" customWidth="1" min="9" max="9"/>
    <col width="24" customWidth="1" min="10" max="10"/>
    <col width="23" customWidth="1" min="11" max="11"/>
    <col width="23" customWidth="1" min="12" max="12"/>
    <col width="24" customWidth="1" min="13" max="13"/>
  </cols>
  <sheetData>
    <row r="1">
      <c r="A1" s="22" t="inlineStr">
        <is>
          <t>Código WBS</t>
        </is>
      </c>
      <c r="B1" s="22" t="inlineStr">
        <is>
          <t>Descripción Frente WBS</t>
        </is>
      </c>
      <c r="C1" s="22" t="inlineStr">
        <is>
          <t>Presupuesto BAC Meta (S/)</t>
        </is>
      </c>
      <c r="D1" s="22" t="inlineStr">
        <is>
          <t>Planificado PV (S/)</t>
        </is>
      </c>
      <c r="E1" s="22" t="inlineStr">
        <is>
          <t>Costo MO (S/)</t>
        </is>
      </c>
      <c r="F1" s="22" t="inlineStr">
        <is>
          <t>Costo Mat (S/)</t>
        </is>
      </c>
      <c r="G1" s="22" t="inlineStr">
        <is>
          <t>Costo Eqp/Sub (S/)</t>
        </is>
      </c>
      <c r="H1" s="22" t="inlineStr">
        <is>
          <t>Total Costo Real AC (S/)</t>
        </is>
      </c>
      <c r="I1" s="22" t="inlineStr">
        <is>
          <t>Valor Ganado EV (S/)</t>
        </is>
      </c>
      <c r="J1" s="22" t="inlineStr">
        <is>
          <t>Diferencia (EV - AC)</t>
        </is>
      </c>
      <c r="K1" s="22" t="inlineStr">
        <is>
          <t>CPI (Costo)</t>
        </is>
      </c>
      <c r="L1" s="22" t="inlineStr">
        <is>
          <t>SPI (Plazo)</t>
        </is>
      </c>
      <c r="M1" s="22" t="inlineStr">
        <is>
          <t>EAC Proyectado (S/)</t>
        </is>
      </c>
    </row>
    <row r="2">
      <c r="A2" s="8" t="inlineStr">
        <is>
          <t>WBS-100</t>
        </is>
      </c>
      <c r="B2" s="7" t="inlineStr">
        <is>
          <t>Obras Preliminares, Trazo y Movilización</t>
        </is>
      </c>
      <c r="C2" s="16">
        <f>'04_CATALOGO_WBS'!C4</f>
        <v/>
      </c>
      <c r="D2" s="16">
        <f>'04_CATALOGO_WBS'!D4</f>
        <v/>
      </c>
      <c r="E2" s="16">
        <f>SUMIFS('02_REGISTROS_DIARIOS'!J:J, '02_REGISTROS_DIARIOS'!D:D, A2, '02_REGISTROS_DIARIOS'!K:K, "AC_MO")</f>
        <v/>
      </c>
      <c r="F2" s="16">
        <f>SUMIFS('02_REGISTROS_DIARIOS'!J:J, '02_REGISTROS_DIARIOS'!D:D, A2, '02_REGISTROS_DIARIOS'!K:K, "AC_MAT")</f>
        <v/>
      </c>
      <c r="G2" s="16">
        <f>SUMIFS('02_REGISTROS_DIARIOS'!J:J, '02_REGISTROS_DIARIOS'!D:D, A2, '02_REGISTROS_DIARIOS'!K:K, "AC_EQP") + SUMIFS('02_REGISTROS_DIARIOS'!J:J, '02_REGISTROS_DIARIOS'!D:D, A2, '02_REGISTROS_DIARIOS'!K:K, "AC_SUB")</f>
        <v/>
      </c>
      <c r="H2" s="16">
        <f>SUM(E2:G2)</f>
        <v/>
      </c>
      <c r="I2" s="16">
        <f>SUMIFS('02_REGISTROS_DIARIOS'!J:J, '02_REGISTROS_DIARIOS'!D:D, A2, '02_REGISTROS_DIARIOS'!K:K, "EV_PRODUCCION")</f>
        <v/>
      </c>
      <c r="J2" s="16">
        <f>I2-H2</f>
        <v/>
      </c>
      <c r="K2" s="17">
        <f>IF(H2&gt;0, I2/H2, 1)</f>
        <v/>
      </c>
      <c r="L2" s="17">
        <f>IF(D2&gt;0, I2/D2, 1)</f>
        <v/>
      </c>
      <c r="M2" s="16">
        <f>IF(K2&gt;0, C2/K2, C2)</f>
        <v/>
      </c>
    </row>
    <row r="3">
      <c r="A3" s="8" t="inlineStr">
        <is>
          <t>WBS-200</t>
        </is>
      </c>
      <c r="B3" s="7" t="inlineStr">
        <is>
          <t>Red de Alcantarillado, Zanjas y Buzones</t>
        </is>
      </c>
      <c r="C3" s="16">
        <f>'04_CATALOGO_WBS'!C5</f>
        <v/>
      </c>
      <c r="D3" s="16">
        <f>'04_CATALOGO_WBS'!D5</f>
        <v/>
      </c>
      <c r="E3" s="16">
        <f>SUMIFS('02_REGISTROS_DIARIOS'!J:J, '02_REGISTROS_DIARIOS'!D:D, A3, '02_REGISTROS_DIARIOS'!K:K, "AC_MO")</f>
        <v/>
      </c>
      <c r="F3" s="16">
        <f>SUMIFS('02_REGISTROS_DIARIOS'!J:J, '02_REGISTROS_DIARIOS'!D:D, A3, '02_REGISTROS_DIARIOS'!K:K, "AC_MAT")</f>
        <v/>
      </c>
      <c r="G3" s="16">
        <f>SUMIFS('02_REGISTROS_DIARIOS'!J:J, '02_REGISTROS_DIARIOS'!D:D, A3, '02_REGISTROS_DIARIOS'!K:K, "AC_EQP") + SUMIFS('02_REGISTROS_DIARIOS'!J:J, '02_REGISTROS_DIARIOS'!D:D, A3, '02_REGISTROS_DIARIOS'!K:K, "AC_SUB")</f>
        <v/>
      </c>
      <c r="H3" s="16">
        <f>SUM(E3:G3)</f>
        <v/>
      </c>
      <c r="I3" s="16">
        <f>SUMIFS('02_REGISTROS_DIARIOS'!J:J, '02_REGISTROS_DIARIOS'!D:D, A3, '02_REGISTROS_DIARIOS'!K:K, "EV_PRODUCCION")</f>
        <v/>
      </c>
      <c r="J3" s="16">
        <f>I3-H3</f>
        <v/>
      </c>
      <c r="K3" s="17">
        <f>IF(H3&gt;0, I3/H3, 1)</f>
        <v/>
      </c>
      <c r="L3" s="17">
        <f>IF(D3&gt;0, I3/D3, 1)</f>
        <v/>
      </c>
      <c r="M3" s="16">
        <f>IF(K3&gt;0, C3/K3, C3)</f>
        <v/>
      </c>
    </row>
    <row r="4">
      <c r="A4" s="8" t="inlineStr">
        <is>
          <t>WBS-300</t>
        </is>
      </c>
      <c r="B4" s="7" t="inlineStr">
        <is>
          <t>Red de Agua Potable y Conexiones Domiciliarias</t>
        </is>
      </c>
      <c r="C4" s="16">
        <f>'04_CATALOGO_WBS'!C6</f>
        <v/>
      </c>
      <c r="D4" s="16">
        <f>'04_CATALOGO_WBS'!D6</f>
        <v/>
      </c>
      <c r="E4" s="16">
        <f>SUMIFS('02_REGISTROS_DIARIOS'!J:J, '02_REGISTROS_DIARIOS'!D:D, A4, '02_REGISTROS_DIARIOS'!K:K, "AC_MO")</f>
        <v/>
      </c>
      <c r="F4" s="16">
        <f>SUMIFS('02_REGISTROS_DIARIOS'!J:J, '02_REGISTROS_DIARIOS'!D:D, A4, '02_REGISTROS_DIARIOS'!K:K, "AC_MAT")</f>
        <v/>
      </c>
      <c r="G4" s="16">
        <f>SUMIFS('02_REGISTROS_DIARIOS'!J:J, '02_REGISTROS_DIARIOS'!D:D, A4, '02_REGISTROS_DIARIOS'!K:K, "AC_EQP") + SUMIFS('02_REGISTROS_DIARIOS'!J:J, '02_REGISTROS_DIARIOS'!D:D, A4, '02_REGISTROS_DIARIOS'!K:K, "AC_SUB")</f>
        <v/>
      </c>
      <c r="H4" s="16">
        <f>SUM(E4:G4)</f>
        <v/>
      </c>
      <c r="I4" s="16">
        <f>SUMIFS('02_REGISTROS_DIARIOS'!J:J, '02_REGISTROS_DIARIOS'!D:D, A4, '02_REGISTROS_DIARIOS'!K:K, "EV_PRODUCCION")</f>
        <v/>
      </c>
      <c r="J4" s="16">
        <f>I4-H4</f>
        <v/>
      </c>
      <c r="K4" s="17">
        <f>IF(H4&gt;0, I4/H4, 1)</f>
        <v/>
      </c>
      <c r="L4" s="17">
        <f>IF(D4&gt;0, I4/D4, 1)</f>
        <v/>
      </c>
      <c r="M4" s="16">
        <f>IF(K4&gt;0, C4/K4, C4)</f>
        <v/>
      </c>
    </row>
    <row r="5">
      <c r="A5" s="8" t="inlineStr">
        <is>
          <t>WBS-400</t>
        </is>
      </c>
      <c r="B5" s="7" t="inlineStr">
        <is>
          <t>Pruebas Hidráulicas, Desinfección y Entrega</t>
        </is>
      </c>
      <c r="C5" s="16">
        <f>'04_CATALOGO_WBS'!C7</f>
        <v/>
      </c>
      <c r="D5" s="16">
        <f>'04_CATALOGO_WBS'!D7</f>
        <v/>
      </c>
      <c r="E5" s="16">
        <f>SUMIFS('02_REGISTROS_DIARIOS'!J:J, '02_REGISTROS_DIARIOS'!D:D, A5, '02_REGISTROS_DIARIOS'!K:K, "AC_MO")</f>
        <v/>
      </c>
      <c r="F5" s="16">
        <f>SUMIFS('02_REGISTROS_DIARIOS'!J:J, '02_REGISTROS_DIARIOS'!D:D, A5, '02_REGISTROS_DIARIOS'!K:K, "AC_MAT")</f>
        <v/>
      </c>
      <c r="G5" s="16">
        <f>SUMIFS('02_REGISTROS_DIARIOS'!J:J, '02_REGISTROS_DIARIOS'!D:D, A5, '02_REGISTROS_DIARIOS'!K:K, "AC_EQP") + SUMIFS('02_REGISTROS_DIARIOS'!J:J, '02_REGISTROS_DIARIOS'!D:D, A5, '02_REGISTROS_DIARIOS'!K:K, "AC_SUB")</f>
        <v/>
      </c>
      <c r="H5" s="16">
        <f>SUM(E5:G5)</f>
        <v/>
      </c>
      <c r="I5" s="16">
        <f>SUMIFS('02_REGISTROS_DIARIOS'!J:J, '02_REGISTROS_DIARIOS'!D:D, A5, '02_REGISTROS_DIARIOS'!K:K, "EV_PRODUCCION")</f>
        <v/>
      </c>
      <c r="J5" s="16">
        <f>I5-H5</f>
        <v/>
      </c>
      <c r="K5" s="17">
        <f>IF(H5&gt;0, I5/H5, 1)</f>
        <v/>
      </c>
      <c r="L5" s="17">
        <f>IF(D5&gt;0, I5/D5, 1)</f>
        <v/>
      </c>
      <c r="M5" s="16">
        <f>IF(K5&gt;0, C5/K5, C5)</f>
        <v/>
      </c>
    </row>
    <row r="6">
      <c r="A6" s="11" t="inlineStr">
        <is>
          <t>TOTAL OBRA WBS</t>
        </is>
      </c>
      <c r="B6" s="23" t="inlineStr">
        <is>
          <t>Consolidado de Redes Sanitarias</t>
        </is>
      </c>
      <c r="C6" s="13">
        <f>SUM(C2:C5)</f>
        <v/>
      </c>
      <c r="D6" s="13">
        <f>SUM(D2:D5)</f>
        <v/>
      </c>
      <c r="E6" s="13">
        <f>SUM(E2:E5)</f>
        <v/>
      </c>
      <c r="F6" s="13">
        <f>SUM(F2:F5)</f>
        <v/>
      </c>
      <c r="G6" s="13">
        <f>SUM(G2:G5)</f>
        <v/>
      </c>
      <c r="H6" s="13">
        <f>SUM(H2:H5)</f>
        <v/>
      </c>
      <c r="I6" s="13">
        <f>SUM(I2:I5)</f>
        <v/>
      </c>
      <c r="J6" s="13">
        <f>SUM(J2:J5)</f>
        <v/>
      </c>
      <c r="K6" s="18">
        <f>IF(H6&gt;0, I6/H6, 1)</f>
        <v/>
      </c>
      <c r="L6" s="18">
        <f>IF(D6&gt;0, I6/D6, 1)</f>
        <v/>
      </c>
      <c r="M6" s="13">
        <f>IF(K6&gt;0, C6/K6, C6)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9" customWidth="1" min="3" max="3"/>
    <col width="33" customWidth="1" min="4" max="4"/>
  </cols>
  <sheetData>
    <row r="1">
      <c r="A1" s="24" t="inlineStr">
        <is>
          <t>CÓDIGO WBS</t>
        </is>
      </c>
      <c r="B1" s="24" t="inlineStr">
        <is>
          <t>NOMBRE DEL FRENTE / WBS</t>
        </is>
      </c>
      <c r="C1" s="24" t="inlineStr">
        <is>
          <t>PRESUPUESTO META (BAC S/)</t>
        </is>
      </c>
      <c r="D1" s="24" t="inlineStr">
        <is>
          <t>PLANIFICADO ACUMULADO (PV S/)</t>
        </is>
      </c>
    </row>
    <row r="2">
      <c r="A2" s="25" t="inlineStr">
        <is>
          <t>WBS-100</t>
        </is>
      </c>
      <c r="B2" s="25" t="inlineStr">
        <is>
          <t>Obras Preliminares, Trazo y Movilización</t>
        </is>
      </c>
      <c r="C2" s="16" t="n">
        <v>8296.4</v>
      </c>
      <c r="D2" s="16" t="n">
        <v>8296.4</v>
      </c>
    </row>
    <row r="3">
      <c r="A3" s="25" t="inlineStr">
        <is>
          <t>WBS-200</t>
        </is>
      </c>
      <c r="B3" s="25" t="inlineStr">
        <is>
          <t>Red de Alcantarillado, Zanjas y Buzones</t>
        </is>
      </c>
      <c r="C3" s="16" t="n">
        <v>380086.56</v>
      </c>
      <c r="D3" s="16" t="n">
        <v>45000</v>
      </c>
    </row>
    <row r="4">
      <c r="A4" s="25" t="inlineStr">
        <is>
          <t>WBS-300</t>
        </is>
      </c>
      <c r="B4" s="25" t="inlineStr">
        <is>
          <t>Red de Agua Potable y Conexiones Domiciliarias</t>
        </is>
      </c>
      <c r="C4" s="16" t="n">
        <v>57565.2</v>
      </c>
      <c r="D4" s="16" t="n">
        <v>12000</v>
      </c>
    </row>
    <row r="5">
      <c r="A5" s="25" t="inlineStr">
        <is>
          <t>WBS-400</t>
        </is>
      </c>
      <c r="B5" s="25" t="inlineStr">
        <is>
          <t>Pruebas Hidráulicas, Desinfección y Entrega</t>
        </is>
      </c>
      <c r="C5" s="16" t="n">
        <v>9348.059999999999</v>
      </c>
      <c r="D5" s="16" t="n">
        <v>2500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  <col width="18" customWidth="1" min="4" max="4"/>
    <col width="17" customWidth="1" min="5" max="5"/>
  </cols>
  <sheetData>
    <row r="1">
      <c r="A1" s="6" t="inlineStr">
        <is>
          <t>Código Recurso</t>
        </is>
      </c>
      <c r="B1" s="6" t="inlineStr">
        <is>
          <t>Descripción Recurso / Insumo</t>
        </is>
      </c>
      <c r="C1" s="6" t="inlineStr">
        <is>
          <t>Unidad</t>
        </is>
      </c>
      <c r="D1" s="6" t="inlineStr">
        <is>
          <t>P.U. Meta (S/)</t>
        </is>
      </c>
      <c r="E1" s="6" t="inlineStr">
        <is>
          <t>Categoría EVM</t>
        </is>
      </c>
    </row>
    <row r="2">
      <c r="A2" s="25" t="inlineStr">
        <is>
          <t>MO_CAPATAZ</t>
        </is>
      </c>
      <c r="B2" s="25" t="inlineStr">
        <is>
          <t>CAPATAZ</t>
        </is>
      </c>
      <c r="C2" s="25" t="inlineStr">
        <is>
          <t>hh</t>
        </is>
      </c>
      <c r="D2" s="16" t="n">
        <v>32.5</v>
      </c>
      <c r="E2" s="25" t="inlineStr">
        <is>
          <t>AC_MO</t>
        </is>
      </c>
    </row>
    <row r="3">
      <c r="A3" s="25" t="inlineStr">
        <is>
          <t>MO_OPERARIO</t>
        </is>
      </c>
      <c r="B3" s="25" t="inlineStr">
        <is>
          <t>OPERARIO</t>
        </is>
      </c>
      <c r="C3" s="25" t="inlineStr">
        <is>
          <t>hh</t>
        </is>
      </c>
      <c r="D3" s="16" t="n">
        <v>26.8</v>
      </c>
      <c r="E3" s="25" t="inlineStr">
        <is>
          <t>AC_MO</t>
        </is>
      </c>
    </row>
    <row r="4">
      <c r="A4" s="25" t="inlineStr">
        <is>
          <t>MO_OFICIAL</t>
        </is>
      </c>
      <c r="B4" s="25" t="inlineStr">
        <is>
          <t>OFICIAL</t>
        </is>
      </c>
      <c r="C4" s="25" t="inlineStr">
        <is>
          <t>hh</t>
        </is>
      </c>
      <c r="D4" s="16" t="n">
        <v>22.4</v>
      </c>
      <c r="E4" s="25" t="inlineStr">
        <is>
          <t>AC_MO</t>
        </is>
      </c>
    </row>
    <row r="5">
      <c r="A5" s="25" t="inlineStr">
        <is>
          <t>MO_PEON</t>
        </is>
      </c>
      <c r="B5" s="25" t="inlineStr">
        <is>
          <t>PEON</t>
        </is>
      </c>
      <c r="C5" s="25" t="inlineStr">
        <is>
          <t>hh</t>
        </is>
      </c>
      <c r="D5" s="16" t="n">
        <v>20.1</v>
      </c>
      <c r="E5" s="25" t="inlineStr">
        <is>
          <t>AC_MO</t>
        </is>
      </c>
    </row>
    <row r="6">
      <c r="A6" s="25" t="inlineStr">
        <is>
          <t>MAT_ESTACA</t>
        </is>
      </c>
      <c r="B6" s="25" t="inlineStr">
        <is>
          <t>ESTACAS Y MADERA PARA TRAZO</t>
        </is>
      </c>
      <c r="C6" s="25" t="inlineStr">
        <is>
          <t>pza</t>
        </is>
      </c>
      <c r="D6" s="16" t="n">
        <v>4.5</v>
      </c>
      <c r="E6" s="25" t="inlineStr">
        <is>
          <t>AC_MAT</t>
        </is>
      </c>
    </row>
    <row r="7">
      <c r="A7" s="25" t="inlineStr">
        <is>
          <t>MAT_PINTURA</t>
        </is>
      </c>
      <c r="B7" s="25" t="inlineStr">
        <is>
          <t>PINTURA SPRAY MARCADOR DE ZANJA</t>
        </is>
      </c>
      <c r="C7" s="25" t="inlineStr">
        <is>
          <t>gla</t>
        </is>
      </c>
      <c r="D7" s="16" t="n">
        <v>18</v>
      </c>
      <c r="E7" s="25" t="inlineStr">
        <is>
          <t>AC_MAT</t>
        </is>
      </c>
    </row>
    <row r="8">
      <c r="A8" s="25" t="inlineStr">
        <is>
          <t>MAT_CORDEL</t>
        </is>
      </c>
      <c r="B8" s="25" t="inlineStr">
        <is>
          <t>CORDEL / NYLON</t>
        </is>
      </c>
      <c r="C8" s="25" t="inlineStr">
        <is>
          <t>m</t>
        </is>
      </c>
      <c r="D8" s="16" t="n">
        <v>0.8</v>
      </c>
      <c r="E8" s="25" t="inlineStr">
        <is>
          <t>AC_MAT</t>
        </is>
      </c>
    </row>
    <row r="9">
      <c r="A9" s="25" t="inlineStr">
        <is>
          <t>MAT_ARENA_CAMAS</t>
        </is>
      </c>
      <c r="B9" s="25" t="inlineStr">
        <is>
          <t>ARENA FINA SELECCIONADA PARA CAMA E=0.10M</t>
        </is>
      </c>
      <c r="C9" s="25" t="inlineStr">
        <is>
          <t>m3</t>
        </is>
      </c>
      <c r="D9" s="16" t="n">
        <v>45</v>
      </c>
      <c r="E9" s="25" t="inlineStr">
        <is>
          <t>AC_MAT</t>
        </is>
      </c>
    </row>
    <row r="10">
      <c r="A10" s="25" t="inlineStr">
        <is>
          <t>MAT_TUB_PVC_200</t>
        </is>
      </c>
      <c r="B10" s="25" t="inlineStr">
        <is>
          <t>TUBERIA PVC UF DN 200MM SERIE S-20 ALCANTARILLADO</t>
        </is>
      </c>
      <c r="C10" s="25" t="inlineStr">
        <is>
          <t>m</t>
        </is>
      </c>
      <c r="D10" s="16" t="n">
        <v>42</v>
      </c>
      <c r="E10" s="25" t="inlineStr">
        <is>
          <t>AC_MAT</t>
        </is>
      </c>
    </row>
    <row r="11">
      <c r="A11" s="25" t="inlineStr">
        <is>
          <t>MAT_LUBRICANTE</t>
        </is>
      </c>
      <c r="B11" s="25" t="inlineStr">
        <is>
          <t>LUBRICANTE PARA TUBERIA CON ESPIGA Y CAMPANA</t>
        </is>
      </c>
      <c r="C11" s="25" t="inlineStr">
        <is>
          <t>kg</t>
        </is>
      </c>
      <c r="D11" s="16" t="n">
        <v>24</v>
      </c>
      <c r="E11" s="25" t="inlineStr">
        <is>
          <t>AC_MAT</t>
        </is>
      </c>
    </row>
    <row r="12">
      <c r="A12" s="25" t="inlineStr">
        <is>
          <t>MAT_MATERIAL_PR</t>
        </is>
      </c>
      <c r="B12" s="25" t="inlineStr">
        <is>
          <t>MATERIAL DE PRÉSTAMO AFIRMADO PARA RELLENO COMPACTADO</t>
        </is>
      </c>
      <c r="C12" s="25" t="inlineStr">
        <is>
          <t>m3</t>
        </is>
      </c>
      <c r="D12" s="16" t="n">
        <v>38</v>
      </c>
      <c r="E12" s="25" t="inlineStr">
        <is>
          <t>AC_MAT</t>
        </is>
      </c>
    </row>
    <row r="13">
      <c r="A13" s="25" t="inlineStr">
        <is>
          <t>MAT_AGUA</t>
        </is>
      </c>
      <c r="B13" s="25" t="inlineStr">
        <is>
          <t>AGUA PARA COMPACTACIÓN Y PRUEBAS</t>
        </is>
      </c>
      <c r="C13" s="25" t="inlineStr">
        <is>
          <t>m3</t>
        </is>
      </c>
      <c r="D13" s="16" t="n">
        <v>12</v>
      </c>
      <c r="E13" s="25" t="inlineStr">
        <is>
          <t>AC_MAT</t>
        </is>
      </c>
    </row>
    <row r="14">
      <c r="A14" s="25" t="inlineStr">
        <is>
          <t>MAT_BUZON_PREF</t>
        </is>
      </c>
      <c r="B14" s="25" t="inlineStr">
        <is>
          <t>BUZON PREFABRICADO CONCRETO H=1.5-2.5M CON MARCO Y TAPA</t>
        </is>
      </c>
      <c r="C14" s="25" t="inlineStr">
        <is>
          <t>und</t>
        </is>
      </c>
      <c r="D14" s="16" t="n">
        <v>1050</v>
      </c>
      <c r="E14" s="25" t="inlineStr">
        <is>
          <t>AC_MAT</t>
        </is>
      </c>
    </row>
    <row r="15">
      <c r="A15" s="25" t="inlineStr">
        <is>
          <t>MAT_CAJA_REGISTRO</t>
        </is>
      </c>
      <c r="B15" s="25" t="inlineStr">
        <is>
          <t>CAJA DE REGISTRO PREFABRICADA DE CONCRETO 12X24 WITH TAPA</t>
        </is>
      </c>
      <c r="C15" s="25" t="inlineStr">
        <is>
          <t>und</t>
        </is>
      </c>
      <c r="D15" s="16" t="n">
        <v>145</v>
      </c>
      <c r="E15" s="25" t="inlineStr">
        <is>
          <t>AC_MAT</t>
        </is>
      </c>
    </row>
    <row r="16">
      <c r="A16" s="25" t="inlineStr">
        <is>
          <t>MAT_TUB_PVC_160_CONEX</t>
        </is>
      </c>
      <c r="B16" s="25" t="inlineStr">
        <is>
          <t>TUBERIA PVC SAL DN 160MM PARA ACOMETIDA ALCANTARILLADO</t>
        </is>
      </c>
      <c r="C16" s="25" t="inlineStr">
        <is>
          <t>m</t>
        </is>
      </c>
      <c r="D16" s="16" t="n">
        <v>22</v>
      </c>
      <c r="E16" s="25" t="inlineStr">
        <is>
          <t>AC_MAT</t>
        </is>
      </c>
    </row>
    <row r="17">
      <c r="A17" s="25" t="inlineStr">
        <is>
          <t>MAT_TUB_PVC_110_AGUA</t>
        </is>
      </c>
      <c r="B17" s="25" t="inlineStr">
        <is>
          <t>TUBERIA PVC C-10 DN 110MM AGUA POTABLE</t>
        </is>
      </c>
      <c r="C17" s="25" t="inlineStr">
        <is>
          <t>m</t>
        </is>
      </c>
      <c r="D17" s="16" t="n">
        <v>26.5</v>
      </c>
      <c r="E17" s="25" t="inlineStr">
        <is>
          <t>AC_MAT</t>
        </is>
      </c>
    </row>
    <row r="18">
      <c r="A18" s="25" t="inlineStr">
        <is>
          <t>MAT_CAJA_AGUA</t>
        </is>
      </c>
      <c r="B18" s="25" t="inlineStr">
        <is>
          <t>CAJA TERMOFORMADA PARA MEDIDOR + ABRAZADERA + LLAVE DE PASO</t>
        </is>
      </c>
      <c r="C18" s="25" t="inlineStr">
        <is>
          <t>und</t>
        </is>
      </c>
      <c r="D18" s="16" t="n">
        <v>62</v>
      </c>
      <c r="E18" s="25" t="inlineStr">
        <is>
          <t>AC_MAT</t>
        </is>
      </c>
    </row>
    <row r="19">
      <c r="A19" s="25" t="inlineStr">
        <is>
          <t>EQ_EXCAVADORA</t>
        </is>
      </c>
      <c r="B19" s="25" t="inlineStr">
        <is>
          <t>EXCAVADORA SOBRE ORUGAS 140 HP</t>
        </is>
      </c>
      <c r="C19" s="25" t="inlineStr">
        <is>
          <t>hm</t>
        </is>
      </c>
      <c r="D19" s="16" t="n">
        <v>185</v>
      </c>
      <c r="E19" s="25" t="inlineStr">
        <is>
          <t>AC_EQP</t>
        </is>
      </c>
    </row>
    <row r="20">
      <c r="A20" s="25" t="inlineStr">
        <is>
          <t>EQ_RETROEXCAVADORA</t>
        </is>
      </c>
      <c r="B20" s="25" t="inlineStr">
        <is>
          <t>RETROEXCAVADORA SOBRE LLANTAS 62 HP</t>
        </is>
      </c>
      <c r="C20" s="25" t="inlineStr">
        <is>
          <t>hm</t>
        </is>
      </c>
      <c r="D20" s="16" t="n">
        <v>130</v>
      </c>
      <c r="E20" s="25" t="inlineStr">
        <is>
          <t>AC_EQP</t>
        </is>
      </c>
    </row>
    <row r="21">
      <c r="A21" s="25" t="inlineStr">
        <is>
          <t>EQ_PLANCHA</t>
        </is>
      </c>
      <c r="B21" s="25" t="inlineStr">
        <is>
          <t>PLANCHA COMPACTADORA 7 HP</t>
        </is>
      </c>
      <c r="C21" s="25" t="inlineStr">
        <is>
          <t>hm</t>
        </is>
      </c>
      <c r="D21" s="16" t="n">
        <v>25</v>
      </c>
      <c r="E21" s="25" t="inlineStr">
        <is>
          <t>AC_EQP</t>
        </is>
      </c>
    </row>
    <row r="22">
      <c r="A22" s="25" t="inlineStr">
        <is>
          <t>EQ_RODILLO_CAMINANTE</t>
        </is>
      </c>
      <c r="B22" s="25" t="inlineStr">
        <is>
          <t>RODILLO VIBRATORIO CAMINANTE 1.5 TN</t>
        </is>
      </c>
      <c r="C22" s="25" t="inlineStr">
        <is>
          <t>hm</t>
        </is>
      </c>
      <c r="D22" s="16" t="n">
        <v>45</v>
      </c>
      <c r="E22" s="25" t="inlineStr">
        <is>
          <t>AC_EQP</t>
        </is>
      </c>
    </row>
    <row r="23">
      <c r="A23" s="25" t="inlineStr">
        <is>
          <t>EQ_CAMION_CISTERNA</t>
        </is>
      </c>
      <c r="B23" s="25" t="inlineStr">
        <is>
          <t>CAMION CISTERNA 4X2 (AGUA) 2,000 GLN</t>
        </is>
      </c>
      <c r="C23" s="25" t="inlineStr">
        <is>
          <t>hm</t>
        </is>
      </c>
      <c r="D23" s="16" t="n">
        <v>140</v>
      </c>
      <c r="E23" s="25" t="inlineStr">
        <is>
          <t>AC_EQP</t>
        </is>
      </c>
    </row>
    <row r="24">
      <c r="A24" s="25" t="inlineStr">
        <is>
          <t>EQ_CAMION_GRUAN</t>
        </is>
      </c>
      <c r="B24" s="25" t="inlineStr">
        <is>
          <t>CAMION GRUA 5 TN PARA MONTAJE DE BUZONES</t>
        </is>
      </c>
      <c r="C24" s="25" t="inlineStr">
        <is>
          <t>hm</t>
        </is>
      </c>
      <c r="D24" s="16" t="n">
        <v>160</v>
      </c>
      <c r="E24" s="25" t="inlineStr">
        <is>
          <t>AC_EQP</t>
        </is>
      </c>
    </row>
    <row r="25">
      <c r="A25" s="25" t="inlineStr">
        <is>
          <t>EQ_ESTACION_TOTAL</t>
        </is>
      </c>
      <c r="B25" s="25" t="inlineStr">
        <is>
          <t>EQUIPO DE TOPOGRAFIA ESTACION TOTAL</t>
        </is>
      </c>
      <c r="C25" s="25" t="inlineStr">
        <is>
          <t>hm</t>
        </is>
      </c>
      <c r="D25" s="16" t="n">
        <v>18</v>
      </c>
      <c r="E25" s="25" t="inlineStr">
        <is>
          <t>AC_EQP</t>
        </is>
      </c>
    </row>
    <row r="26">
      <c r="A26" s="25" t="inlineStr">
        <is>
          <t>SUB_MOVILIZACION</t>
        </is>
      </c>
      <c r="B26" s="25" t="inlineStr">
        <is>
          <t>SUBCONTRATO DE MOVILIZACION Y DESMOVILIZACION DE MAQUINARIA</t>
        </is>
      </c>
      <c r="C26" s="25" t="inlineStr">
        <is>
          <t>glb</t>
        </is>
      </c>
      <c r="D26" s="16" t="n">
        <v>4000</v>
      </c>
      <c r="E26" s="25" t="inlineStr">
        <is>
          <t>AC_SUB</t>
        </is>
      </c>
    </row>
    <row r="27">
      <c r="A27" s="25" t="inlineStr">
        <is>
          <t>SUB_ENSAYOS_COMPAC</t>
        </is>
      </c>
      <c r="B27" s="25" t="inlineStr">
        <is>
          <t>SUBCONTRATO DE ENSAYOS DE DENSIDAD DE CAMPO (PROCTOR/DENSIDAD)</t>
        </is>
      </c>
      <c r="C27" s="25" t="inlineStr">
        <is>
          <t>und</t>
        </is>
      </c>
      <c r="D27" s="16" t="n">
        <v>80</v>
      </c>
      <c r="E27" s="25" t="inlineStr">
        <is>
          <t>AC_SUB</t>
        </is>
      </c>
    </row>
    <row r="28">
      <c r="A28" s="25" t="inlineStr">
        <is>
          <t>SUB_MONTAJE_BUZON</t>
        </is>
      </c>
      <c r="B28" s="25" t="inlineStr">
        <is>
          <t>SUBCONTRATO SERVICIO ASENTADO Y ANCLAJE BUZONES PREFABRICADOS</t>
        </is>
      </c>
      <c r="C28" s="25" t="inlineStr">
        <is>
          <t>und</t>
        </is>
      </c>
      <c r="D28" s="16" t="n">
        <v>250</v>
      </c>
      <c r="E28" s="25" t="inlineStr">
        <is>
          <t>AC_SUB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2026-08-09T17:25:49Z</dcterms:created>
  <dcterms:modified xmlns:dcterms="http://purl.org/dc/terms/" xmlns:xsi="http://www.w3.org/2001/XMLSchema-instance" xsi:type="dcterms:W3CDTF">2026-08-09T17:25:49Z</dcterms:modified>
</cp:coreProperties>
</file>