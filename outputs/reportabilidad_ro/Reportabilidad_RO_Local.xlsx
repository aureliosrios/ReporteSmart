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cee6abcec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27f09cab7ea840dc"/>
    <x:sheet xmlns:r="http://schemas.openxmlformats.org/officeDocument/2006/relationships" name="WBS" sheetId="2" r:id="R8be5b1013a824df6"/>
    <x:sheet xmlns:r="http://schemas.openxmlformats.org/officeDocument/2006/relationships" name="APU_PRESUPUESTO" sheetId="3" r:id="Rd6fafb383e1e4b52"/>
    <x:sheet xmlns:r="http://schemas.openxmlformats.org/officeDocument/2006/relationships" name="REGISTROS_DIARIOS" sheetId="4" r:id="Rb1536a3472194423"/>
    <x:sheet xmlns:r="http://schemas.openxmlformats.org/officeDocument/2006/relationships" name="EVM_WBS" sheetId="5" r:id="R5791645d5ed84010"/>
    <x:sheet xmlns:r="http://schemas.openxmlformats.org/officeDocument/2006/relationships" name="CATALOGOS" sheetId="6" r:id="Rb55c7b9f09d5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S/&quot; #,##0.00"/>
    <x:numFmt numFmtId="201" formatCode="0.00"/>
    <x:numFmt numFmtId="202" formatCode="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8FAFC"/>
      </x:patternFill>
    </x:fill>
    <x:fill>
      <x:patternFill patternType="solid">
        <x:fgColor rgb="FF0284C7"/>
      </x:patternFill>
    </x:fill>
    <x:fill>
      <x:patternFill patternType="solid">
        <x:fgColor rgb="FFDBEAFE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2" fillId="5" borderId="0" xfId="0" applyNumberFormat="1" applyFont="1" applyFill="1" applyBorder="1"/>
    <x:xf numFmtId="201" fontId="2" fillId="5" borderId="0" xfId="0" applyNumberFormat="1" applyFont="1" applyFill="1" applyBorder="1"/>
    <x:xf numFmtId="0" fontId="2" fillId="5" borderId="1" xfId="0" applyNumberFormat="1" applyFont="1" applyFill="1" applyBorder="1"/>
    <x:xf numFmtId="200" fontId="2" fillId="5" borderId="1" xfId="0" applyNumberFormat="1" applyFont="1" applyFill="1" applyBorder="1"/>
    <x:xf numFmtId="201" fontId="2" fillId="5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5" xfId="0" applyNumberFormat="1" applyFont="1" applyFill="1" applyBorder="1"/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1" fillId="2" borderId="4" xfId="0" applyNumberFormat="1" applyFont="1" applyFill="1" applyBorder="1" applyAlignment="1">
      <x:alignment horizontal="center" vertical="center"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0" fontId="2" fillId="3" borderId="5" xfId="0" applyNumberFormat="1" applyFont="1" applyFill="1" applyBorder="1" applyAlignment="1">
      <x:alignment wrapText="0"/>
    </x:xf>
    <x:xf numFmtId="0" fontId="3" fillId="4" borderId="6" xfId="0" applyNumberFormat="1" applyFont="1" applyFill="1" applyBorder="1" applyAlignment="1">
      <x:alignment horizontal="center" vertical="center" wrapText="0"/>
    </x:xf>
    <x:xf numFmtId="0" fontId="3" fillId="4" borderId="7" xfId="0" applyNumberFormat="1" applyFont="1" applyFill="1" applyBorder="1" applyAlignment="1">
      <x:alignment horizontal="center" vertical="center" wrapText="0"/>
    </x:xf>
    <x:xf numFmtId="200" fontId="0" fillId="0" borderId="6" xfId="0" applyNumberFormat="1" applyFont="1" applyFill="1" applyBorder="1" applyAlignment="1">
      <x:alignment wrapText="0"/>
    </x:xf>
    <x:xf numFmtId="201" fontId="0" fillId="0" borderId="6" xfId="0" applyNumberFormat="1" applyFont="1" applyFill="1" applyBorder="1" applyAlignment="1">
      <x:alignment wrapText="0"/>
    </x:xf>
    <x:xf numFmtId="0" fontId="2" fillId="3" borderId="8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wrapText="0"/>
    </x:xf>
    <x:xf numFmtId="0" fontId="3" fillId="4" borderId="5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3" fillId="4" borderId="5" xfId="0" applyNumberFormat="1" applyFont="1" applyFill="1" applyBorder="1" applyAlignment="1">
      <x:alignment horizontal="center" vertical="center" wrapText="0"/>
    </x:xf>
    <x:xf numFmtId="200" fontId="0" fillId="0" borderId="7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0" fontId="0" fillId="0" borderId="10" xfId="0" applyNumberFormat="1" applyFont="1" applyFill="1" applyBorder="1" applyAlignment="1">
      <x:alignment wrapText="0"/>
    </x:xf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6" xfId="0" applyNumberFormat="1" applyFont="1" applyFill="1" applyBorder="1" applyAlignment="1">
      <x:alignment wrapText="0"/>
    </x:xf>
    <x:xf numFmtId="202" fontId="0" fillId="0" borderId="9" xfId="0" applyNumberFormat="1" applyFont="1" applyFill="1" applyBorder="1" applyAlignment="1">
      <x:alignment wrapText="0"/>
    </x:xf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200" fontId="2" fillId="5" borderId="9" xfId="0" applyNumberFormat="1" applyFont="1" applyFill="1" applyBorder="1"/>
    <x:xf numFmtId="201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0"/>
    </x:xf>
    <x:xf numFmtId="0" fontId="2" fillId="5" borderId="9" xfId="0" applyNumberFormat="1" applyFont="1" applyFill="1" applyBorder="1" applyAlignment="1">
      <x:alignment wrapText="0"/>
    </x:xf>
    <x:xf numFmtId="200" fontId="2" fillId="5" borderId="9" xfId="0" applyNumberFormat="1" applyFont="1" applyFill="1" applyBorder="1" applyAlignment="1">
      <x:alignment wrapText="0"/>
    </x:xf>
    <x:xf numFmtId="201" fontId="2" fillId="5" borderId="9" xfId="0" applyNumberFormat="1" applyFont="1" applyFill="1" applyBorder="1" applyAlignment="1">
      <x:alignment wrapText="0"/>
    </x:xf>
    <x:xf numFmtId="0" fontId="2" fillId="5" borderId="1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9544a8a95428f" /><Relationship Type="http://schemas.openxmlformats.org/officeDocument/2006/relationships/theme" Target="/xl/theme/theme1.xml" Id="R7195f173fc2d44b6" /><Relationship Type="http://schemas.openxmlformats.org/officeDocument/2006/relationships/sharedStrings" Target="/xl/sharedStrings.xml" Id="R0af8344eeab947e5" /><Relationship Type="http://schemas.openxmlformats.org/officeDocument/2006/relationships/worksheet" Target="/xl/worksheets/sheet1.xml" Id="R27f09cab7ea840dc" /><Relationship Type="http://schemas.openxmlformats.org/officeDocument/2006/relationships/worksheet" Target="/xl/worksheets/sheet2.xml" Id="R8be5b1013a824df6" /><Relationship Type="http://schemas.openxmlformats.org/officeDocument/2006/relationships/worksheet" Target="/xl/worksheets/sheet3.xml" Id="Rd6fafb383e1e4b52" /><Relationship Type="http://schemas.openxmlformats.org/officeDocument/2006/relationships/worksheet" Target="/xl/worksheets/sheet4.xml" Id="Rb1536a3472194423" /><Relationship Type="http://schemas.openxmlformats.org/officeDocument/2006/relationships/worksheet" Target="/xl/worksheets/sheet5.xml" Id="R5791645d5ed84010" /><Relationship Type="http://schemas.openxmlformats.org/officeDocument/2006/relationships/worksheet" Target="/xl/worksheets/sheet6.xml" Id="Rb55c7b9f09d5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75" hidden="0" customWidth="1"/>
    <x:col min="2" max="2" width="61.630001068115234" hidden="0" customWidth="1"/>
    <x:col min="4" max="4" width="11.25" hidden="0" customWidth="1"/>
    <x:col min="5" max="5" width="10.880000114440918" hidden="0" customWidth="1"/>
    <x:col min="6" max="6" width="13.380000114440918" hidden="0" customWidth="1"/>
  </x:cols>
  <x:sheetData>
    <x:row r="1">
      <x:c r="A1" s="41" t="str">
        <x:v>SISTEMA DE REPORTABILIDAD RO - CONTROL LOCAL</x:v>
      </x:c>
      <x:c r="B1" s="42"/>
      <x:c r="C1" s="42"/>
      <x:c r="D1" s="42"/>
      <x:c r="E1" s="42"/>
      <x:c r="F1" s="43"/>
    </x:row>
    <x:row r="2">
      <x:c r="A2" s="44"/>
      <x:c r="B2" s="45"/>
      <x:c r="C2" s="45"/>
      <x:c r="D2" s="45"/>
      <x:c r="E2" s="45"/>
      <x:c r="F2" s="46"/>
    </x:row>
    <x:row r="3">
      <x:c r="A3" s="47" t="str">
        <x:v>Proyecto</x:v>
      </x:c>
      <x:c r="B3" s="45" t="str">
        <x:v>Redes Sanitarias de Agua Potable y Alcantarillado - Habilitación Urbana Los Cedros</x:v>
      </x:c>
      <x:c r="C3" s="45"/>
      <x:c r="D3" s="48" t="str">
        <x:v>Indicador</x:v>
      </x:c>
      <x:c r="E3" s="48" t="str">
        <x:v>Valor</x:v>
      </x:c>
      <x:c r="F3" s="49" t="str">
        <x:v>Lectura</x:v>
      </x:c>
    </x:row>
    <x:row r="4">
      <x:c r="A4" s="47" t="str">
        <x:v>Código</x:v>
      </x:c>
      <x:c r="B4" s="45" t="str">
        <x:v>HU-CEDROS-2026</x:v>
      </x:c>
      <x:c r="C4" s="45"/>
      <x:c r="D4" s="45" t="str">
        <x:v>BAC total</x:v>
      </x:c>
      <x:c r="E4" s="50" t="n">
        <x:f>SUM('EVM_WBS'!C4:C7)</x:f>
        <x:v>455296.22000000003</x:v>
      </x:c>
      <x:c r="F4" s="46" t="str">
        <x:v>Presupuesto APU</x:v>
      </x:c>
    </x:row>
    <x:row r="5">
      <x:c r="A5" s="47" t="str">
        <x:v>Fecha generación</x:v>
      </x:c>
      <x:c r="B5" s="45" t="n">
        <x:v>46236.81117162037</x:v>
      </x:c>
      <x:c r="C5" s="45"/>
      <x:c r="D5" s="45" t="str">
        <x:v>PV acumulado</x:v>
      </x:c>
      <x:c r="E5" s="50" t="n">
        <x:f>SUM('EVM_WBS'!D4:D7)</x:f>
        <x:v>54070</x:v>
      </x:c>
      <x:c r="F5" s="46" t="str">
        <x:v>Valor planificado</x:v>
      </x:c>
    </x:row>
    <x:row r="6">
      <x:c r="A6" s="47" t="str">
        <x:v>Registros recibidos</x:v>
      </x:c>
      <x:c r="B6" s="45" t="n">
        <x:v>6</x:v>
      </x:c>
      <x:c r="C6" s="45"/>
      <x:c r="D6" s="45" t="str">
        <x:v>EV acumulado</x:v>
      </x:c>
      <x:c r="E6" s="50" t="n">
        <x:f>SUM('EVM_WBS'!E4:E7)</x:f>
        <x:v>0</x:v>
      </x:c>
      <x:c r="F6" s="46" t="str">
        <x:v>Valor ganado</x:v>
      </x:c>
    </x:row>
    <x:row r="7">
      <x:c r="A7" s="47" t="str">
        <x:v>Registros válidos</x:v>
      </x:c>
      <x:c r="B7" s="45" t="n">
        <x:v>2</x:v>
      </x:c>
      <x:c r="C7" s="45"/>
      <x:c r="D7" s="45" t="str">
        <x:v>AC acumulado</x:v>
      </x:c>
      <x:c r="E7" s="50" t="n">
        <x:f>SUM('EVM_WBS'!F4:F7)</x:f>
        <x:v>857.6</x:v>
      </x:c>
      <x:c r="F7" s="46" t="str">
        <x:v>Costo real válido</x:v>
      </x:c>
    </x:row>
    <x:row r="8">
      <x:c r="A8" s="47" t="str">
        <x:v>Duplicados detectados</x:v>
      </x:c>
      <x:c r="B8" s="45" t="n">
        <x:v>4</x:v>
      </x:c>
      <x:c r="C8" s="45"/>
      <x:c r="D8" s="45" t="str">
        <x:v>CPI global</x:v>
      </x:c>
      <x:c r="E8" s="51" t="n">
        <x:f>IF(E7&gt;0,E6/E7,1)</x:f>
        <x:v>0</x:v>
      </x:c>
      <x:c r="F8" s="46" t="str">
        <x:v>EV / AC</x:v>
      </x:c>
    </x:row>
    <x:row r="9">
      <x:c r="A9" s="52" t="str">
        <x:v>Fuente</x:v>
      </x:c>
      <x:c r="B9" s="53" t="str">
        <x:v>HTML → JSON → Excel (fase local)</x:v>
      </x:c>
      <x:c r="C9" s="53"/>
      <x:c r="D9" s="53"/>
      <x:c r="E9" s="53"/>
      <x:c r="F9" s="5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5" hidden="0" customWidth="1"/>
    <x:col min="2" max="2" width="42" hidden="0" customWidth="1"/>
    <x:col min="3" max="3" width="12.25" hidden="0" customWidth="1"/>
    <x:col min="4" max="4" width="11.5" hidden="0" customWidth="1"/>
  </x:cols>
  <x:sheetData>
    <x:row r="1">
      <x:c r="A1" s="41" t="str">
        <x:v>CATÁLOGO WBS Y LÍNEA BASE</x:v>
      </x:c>
      <x:c r="B1" s="42"/>
      <x:c r="C1" s="42"/>
      <x:c r="D1" s="43"/>
    </x:row>
    <x:row r="2">
      <x:c r="A2" s="44"/>
      <x:c r="B2" s="45"/>
      <x:c r="C2" s="45"/>
      <x:c r="D2" s="46"/>
    </x:row>
    <x:row r="3">
      <x:c r="A3" s="60" t="str">
        <x:v>Código WBS</x:v>
      </x:c>
      <x:c r="B3" s="48" t="str">
        <x:v>Descripción</x:v>
      </x:c>
      <x:c r="C3" s="48" t="str">
        <x:v>BAC desde APU</x:v>
      </x:c>
      <x:c r="D3" s="49" t="str">
        <x:v>PV acumulado</x:v>
      </x:c>
    </x:row>
    <x:row r="4">
      <x:c r="A4" s="44" t="str">
        <x:v>WBS-100</x:v>
      </x:c>
      <x:c r="B4" s="45" t="str">
        <x:v>Obras Preliminares, Trazo y Movilización</x:v>
      </x:c>
      <x:c r="C4" s="50" t="n">
        <x:v>8296.4</x:v>
      </x:c>
      <x:c r="D4" s="61" t="n">
        <x:v>22900</x:v>
      </x:c>
    </x:row>
    <x:row r="5">
      <x:c r="A5" s="44" t="str">
        <x:v>WBS-200</x:v>
      </x:c>
      <x:c r="B5" s="45" t="str">
        <x:v>Red de Alcantarillado, Zanjas y Buzones</x:v>
      </x:c>
      <x:c r="C5" s="50" t="n">
        <x:v>380086.56</x:v>
      </x:c>
      <x:c r="D5" s="61" t="n">
        <x:v>31170</x:v>
      </x:c>
    </x:row>
    <x:row r="6">
      <x:c r="A6" s="44" t="str">
        <x:v>WBS-300</x:v>
      </x:c>
      <x:c r="B6" s="45" t="str">
        <x:v>Red de Agua Potable y Conexiones Domiciliarias</x:v>
      </x:c>
      <x:c r="C6" s="50" t="n">
        <x:v>57565.2</x:v>
      </x:c>
      <x:c r="D6" s="61" t="n">
        <x:v>0</x:v>
      </x:c>
    </x:row>
    <x:row r="7">
      <x:c r="A7" s="62" t="str">
        <x:v>WBS-400</x:v>
      </x:c>
      <x:c r="B7" s="53" t="str">
        <x:v>Pruebas Hidráulicas, Desinfección y Entrega</x:v>
      </x:c>
      <x:c r="C7" s="63" t="n">
        <x:v>9348.06</x:v>
      </x:c>
      <x:c r="D7" s="64" t="n">
        <x:v>0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.130000114440918" hidden="0" customWidth="1"/>
    <x:col min="3" max="3" width="48" hidden="0" customWidth="1"/>
    <x:col min="4" max="4" width="6.130000114440918" hidden="0" customWidth="1"/>
    <x:col min="5" max="5" width="7.25" hidden="0" customWidth="1"/>
    <x:col min="6" max="6" width="9" hidden="0" customWidth="1"/>
    <x:col min="7" max="7" width="10" hidden="0" customWidth="1"/>
  </x:cols>
  <x:sheetData>
    <x:row r="1">
      <x:c r="A1" s="41" t="str">
        <x:v>APU Y PRESUPUESTO META</x:v>
      </x:c>
      <x:c r="B1" s="42"/>
      <x:c r="C1" s="42"/>
      <x:c r="D1" s="42"/>
      <x:c r="E1" s="42"/>
      <x:c r="F1" s="42"/>
      <x:c r="G1" s="43"/>
    </x:row>
    <x:row r="2">
      <x:c r="A2" s="44"/>
      <x:c r="B2" s="45"/>
      <x:c r="C2" s="45"/>
      <x:c r="D2" s="45"/>
      <x:c r="E2" s="45"/>
      <x:c r="F2" s="45"/>
      <x:c r="G2" s="46"/>
    </x:row>
    <x:row r="3">
      <x:c r="A3" s="60" t="str">
        <x:v>WBS</x:v>
      </x:c>
      <x:c r="B3" s="48" t="str">
        <x:v>Item</x:v>
      </x:c>
      <x:c r="C3" s="48" t="str">
        <x:v>Descripción</x:v>
      </x:c>
      <x:c r="D3" s="48" t="str">
        <x:v>Unidad</x:v>
      </x:c>
      <x:c r="E3" s="48" t="str">
        <x:v>Metrado</x:v>
      </x:c>
      <x:c r="F3" s="48" t="str">
        <x:v>P.U. Meta</x:v>
      </x:c>
      <x:c r="G3" s="49" t="str">
        <x:v>BAC</x:v>
      </x:c>
    </x:row>
    <x:row r="4">
      <x:c r="A4" s="44" t="str">
        <x:v>WBS-100</x:v>
      </x:c>
      <x:c r="B4" s="45" t="str">
        <x:v>01.01</x:v>
      </x:c>
      <x:c r="C4" s="45" t="str">
        <x:v>Obras Preliminares y Trabajos Provisionales</x:v>
      </x:c>
      <x:c r="D4" s="45" t="str">
        <x:v>GLB</x:v>
      </x:c>
      <x:c r="E4" s="67" t="n">
        <x:v>1</x:v>
      </x:c>
      <x:c r="F4" s="50" t="n">
        <x:v>8296.4</x:v>
      </x:c>
      <x:c r="G4" s="61" t="n">
        <x:v>8296.4</x:v>
      </x:c>
    </x:row>
    <x:row r="5">
      <x:c r="A5" s="44" t="str">
        <x:v>WBS-200</x:v>
      </x:c>
      <x:c r="B5" s="45" t="str">
        <x:v>01.02.01</x:v>
      </x:c>
      <x:c r="C5" s="45" t="str">
        <x:v>Trazo, Nivelación y Replanteo de Zanjas</x:v>
      </x:c>
      <x:c r="D5" s="45" t="str">
        <x:v>M</x:v>
      </x:c>
      <x:c r="E5" s="67" t="n">
        <x:v>2400</x:v>
      </x:c>
      <x:c r="F5" s="50" t="n">
        <x:v>3.35</x:v>
      </x:c>
      <x:c r="G5" s="61" t="n">
        <x:v>8040</x:v>
      </x:c>
    </x:row>
    <x:row r="6">
      <x:c r="A6" s="44" t="str">
        <x:v>WBS-200</x:v>
      </x:c>
      <x:c r="B6" s="45" t="str">
        <x:v>01.02.02</x:v>
      </x:c>
      <x:c r="C6" s="45" t="str">
        <x:v>Excavación de Zanja H=1.50m - 2.20m a Máquina (Terreno Normal)</x:v>
      </x:c>
      <x:c r="D6" s="45" t="str">
        <x:v>M3</x:v>
      </x:c>
      <x:c r="E6" s="67" t="n">
        <x:v>3840</x:v>
      </x:c>
      <x:c r="F6" s="50" t="n">
        <x:v>11.66</x:v>
      </x:c>
      <x:c r="G6" s="61" t="n">
        <x:v>44774.4</x:v>
      </x:c>
    </x:row>
    <x:row r="7">
      <x:c r="A7" s="44" t="str">
        <x:v>WBS-200</x:v>
      </x:c>
      <x:c r="B7" s="45" t="str">
        <x:v>01.02.03</x:v>
      </x:c>
      <x:c r="C7" s="45" t="str">
        <x:v>Preparación y Colocación de Cama de Arena e=0.10m</x:v>
      </x:c>
      <x:c r="D7" s="45" t="str">
        <x:v>M</x:v>
      </x:c>
      <x:c r="E7" s="67" t="n">
        <x:v>2400</x:v>
      </x:c>
      <x:c r="F7" s="50" t="n">
        <x:v>11.12</x:v>
      </x:c>
      <x:c r="G7" s="61" t="n">
        <x:v>26688</x:v>
      </x:c>
    </x:row>
    <x:row r="8">
      <x:c r="A8" s="44" t="str">
        <x:v>WBS-200</x:v>
      </x:c>
      <x:c r="B8" s="45" t="str">
        <x:v>01.02.04</x:v>
      </x:c>
      <x:c r="C8" s="45" t="str">
        <x:v>Suministro e Instalación de Tubería PVC UF DN 200mm Serie S-20 para Alcantarillado</x:v>
      </x:c>
      <x:c r="D8" s="45" t="str">
        <x:v>M</x:v>
      </x:c>
      <x:c r="E8" s="67" t="n">
        <x:v>1400</x:v>
      </x:c>
      <x:c r="F8" s="50" t="n">
        <x:v>55.51</x:v>
      </x:c>
      <x:c r="G8" s="61" t="n">
        <x:v>77714</x:v>
      </x:c>
    </x:row>
    <x:row r="9">
      <x:c r="A9" s="44" t="str">
        <x:v>WBS-200</x:v>
      </x:c>
      <x:c r="B9" s="45" t="str">
        <x:v>01.02.05</x:v>
      </x:c>
      <x:c r="C9" s="45" t="str">
        <x:v>Relleno Compactado de Zanja en Capas de 0.20m con Maquinaria/Plancha</x:v>
      </x:c>
      <x:c r="D9" s="45" t="str">
        <x:v>M3</x:v>
      </x:c>
      <x:c r="E9" s="67" t="n">
        <x:v>3300</x:v>
      </x:c>
      <x:c r="F9" s="50" t="n">
        <x:v>28.54</x:v>
      </x:c>
      <x:c r="G9" s="61" t="n">
        <x:v>94182</x:v>
      </x:c>
    </x:row>
    <x:row r="10">
      <x:c r="A10" s="44" t="str">
        <x:v>WBS-200</x:v>
      </x:c>
      <x:c r="B10" s="45" t="str">
        <x:v>01.02.06</x:v>
      </x:c>
      <x:c r="C10" s="45" t="str">
        <x:v>Construcción de Buzones Prefabricados de Concreto h=1.50m - 2.50m (Inc. Marco y Tapa)</x:v>
      </x:c>
      <x:c r="D10" s="45" t="str">
        <x:v>UND</x:v>
      </x:c>
      <x:c r="E10" s="67" t="n">
        <x:v>32</x:v>
      </x:c>
      <x:c r="F10" s="50" t="n">
        <x:v>2500.73</x:v>
      </x:c>
      <x:c r="G10" s="61" t="n">
        <x:v>80023.36</x:v>
      </x:c>
    </x:row>
    <x:row r="11">
      <x:c r="A11" s="44" t="str">
        <x:v>WBS-200</x:v>
      </x:c>
      <x:c r="B11" s="45" t="str">
        <x:v>01.02.07</x:v>
      </x:c>
      <x:c r="C11" s="45" t="str">
        <x:v>Conexiones Domiciliarias de Alcantarillado (Caja de Registro + Acometida)</x:v>
      </x:c>
      <x:c r="D11" s="45" t="str">
        <x:v>UND</x:v>
      </x:c>
      <x:c r="E11" s="67" t="n">
        <x:v>120</x:v>
      </x:c>
      <x:c r="F11" s="50" t="n">
        <x:v>405.54</x:v>
      </x:c>
      <x:c r="G11" s="61" t="n">
        <x:v>48664.8</x:v>
      </x:c>
    </x:row>
    <x:row r="12">
      <x:c r="A12" s="44" t="str">
        <x:v>WBS-300</x:v>
      </x:c>
      <x:c r="B12" s="45" t="str">
        <x:v>01.03.01</x:v>
      </x:c>
      <x:c r="C12" s="45" t="str">
        <x:v>Suministro e Instalación de Tubería PVC C-10 DN 110mm para Agua Potable</x:v>
      </x:c>
      <x:c r="D12" s="45" t="str">
        <x:v>M</x:v>
      </x:c>
      <x:c r="E12" s="67" t="n">
        <x:v>1000</x:v>
      </x:c>
      <x:c r="F12" s="50" t="n">
        <x:v>38.76</x:v>
      </x:c>
      <x:c r="G12" s="61" t="n">
        <x:v>38760</x:v>
      </x:c>
    </x:row>
    <x:row r="13">
      <x:c r="A13" s="44" t="str">
        <x:v>WBS-300</x:v>
      </x:c>
      <x:c r="B13" s="45" t="str">
        <x:v>01.03.02</x:v>
      </x:c>
      <x:c r="C13" s="45" t="str">
        <x:v>Conexiones Domiciliarias de Agua Potable (Caja de Agua + Abrazadera + Acometida)</x:v>
      </x:c>
      <x:c r="D13" s="45" t="str">
        <x:v>UND</x:v>
      </x:c>
      <x:c r="E13" s="67" t="n">
        <x:v>120</x:v>
      </x:c>
      <x:c r="F13" s="50" t="n">
        <x:v>156.71</x:v>
      </x:c>
      <x:c r="G13" s="61" t="n">
        <x:v>18805.2</x:v>
      </x:c>
    </x:row>
    <x:row r="14">
      <x:c r="A14" s="62" t="str">
        <x:v>WBS-400</x:v>
      </x:c>
      <x:c r="B14" s="53" t="str">
        <x:v>01.04.01</x:v>
      </x:c>
      <x:c r="C14" s="53" t="str">
        <x:v>Pruebas Hidráulicas de Redes de Agua y Alcantarillado + Desinfección</x:v>
      </x:c>
      <x:c r="D14" s="53" t="str">
        <x:v>GLB</x:v>
      </x:c>
      <x:c r="E14" s="68" t="n">
        <x:v>1</x:v>
      </x:c>
      <x:c r="F14" s="63" t="n">
        <x:v>9348.06</x:v>
      </x:c>
      <x:c r="G14" s="64" t="n">
        <x:v>9348.06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.630001068115234" hidden="0" customWidth="1"/>
    <x:col min="2" max="2" width="9.130000114440918" hidden="0" customWidth="1"/>
    <x:col min="3" max="3" width="12.880000114440918" hidden="0" customWidth="1"/>
    <x:col min="4" max="4" width="7.380000114440918" hidden="0" customWidth="1"/>
    <x:col min="5" max="5" width="12" hidden="0" customWidth="1"/>
    <x:col min="6" max="6" width="36" hidden="0" customWidth="1"/>
    <x:col min="7" max="7" width="7.380000114440918" hidden="0" customWidth="1"/>
    <x:col min="8" max="8" width="6.130000114440918" hidden="0" customWidth="1"/>
    <x:col min="9" max="9" width="6.75" hidden="0" customWidth="1"/>
    <x:col min="10" max="10" width="7.630000114440918" hidden="0" customWidth="1"/>
    <x:col min="11" max="11" width="7.880000114440918" hidden="0" customWidth="1"/>
    <x:col min="12" max="12" width="19.6299991607666" hidden="0" customWidth="1"/>
    <x:col min="13" max="13" width="10.75" hidden="0" customWidth="1"/>
    <x:col min="14" max="14" width="32" hidden="0" customWidth="1"/>
  </x:cols>
  <x:sheetData>
    <x:row r="1">
      <x:c r="A1" s="41" t="str">
        <x:v>REGISTROS DIARIOS NORMALIZADOS DESDE HTML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3"/>
    </x:row>
    <x:row r="2">
      <x:c r="A2" s="44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6"/>
    </x:row>
    <x:row r="3">
      <x:c r="A3" s="60" t="str">
        <x:v>ID Registro</x:v>
      </x:c>
      <x:c r="B3" s="48" t="str">
        <x:v>Fecha</x:v>
      </x:c>
      <x:c r="C3" s="48" t="str">
        <x:v>Rol</x:v>
      </x:c>
      <x:c r="D3" s="48" t="str">
        <x:v>WBS</x:v>
      </x:c>
      <x:c r="E3" s="48" t="str">
        <x:v>Código</x:v>
      </x:c>
      <x:c r="F3" s="48" t="str">
        <x:v>Detalle</x:v>
      </x:c>
      <x:c r="G3" s="48" t="str">
        <x:v>Cantidad</x:v>
      </x:c>
      <x:c r="H3" s="48" t="str">
        <x:v>Unidad</x:v>
      </x:c>
      <x:c r="I3" s="48" t="str">
        <x:v>P.U.</x:v>
      </x:c>
      <x:c r="J3" s="48" t="str">
        <x:v>Costo</x:v>
      </x:c>
      <x:c r="K3" s="48" t="str">
        <x:v>Tipo EVM</x:v>
      </x:c>
      <x:c r="L3" s="48" t="str">
        <x:v>Estado</x:v>
      </x:c>
      <x:c r="M3" s="48" t="str">
        <x:v>Origen HTML</x:v>
      </x:c>
      <x:c r="N3" s="49" t="str">
        <x:v>ID Parte</x:v>
      </x:c>
    </x:row>
    <x:row r="4">
      <x:c r="A4" s="44" t="str">
        <x:v>LOG-20260726-92000</x:v>
      </x:c>
      <x:c r="B4" s="45" t="str">
        <x:v>2026-07-26</x:v>
      </x:c>
      <x:c r="C4" s="45" t="str">
        <x:v>Tareador (Bildin)</x:v>
      </x:c>
      <x:c r="D4" s="45" t="str">
        <x:v>WBS-200</x:v>
      </x:c>
      <x:c r="E4" s="45" t="str">
        <x:v>MO_OPERARIO</x:v>
      </x:c>
      <x:c r="F4" s="45" t="str">
        <x:v>OPERARIO (2 pers. x 8h)</x:v>
      </x:c>
      <x:c r="G4" s="67" t="n">
        <x:v>16</x:v>
      </x:c>
      <x:c r="H4" s="45" t="str">
        <x:v>hh</x:v>
      </x:c>
      <x:c r="I4" s="50" t="n">
        <x:v>26.8</x:v>
      </x:c>
      <x:c r="J4" s="50" t="n">
        <x:v>428.8</x:v>
      </x:c>
      <x:c r="K4" s="45" t="str">
        <x:v>AC_MO</x:v>
      </x:c>
      <x:c r="L4" s="45" t="str">
        <x:v>VALIDO</x:v>
      </x:c>
      <x:c r="M4" s="45" t="str">
        <x:v>tareador.html</x:v>
      </x:c>
      <x:c r="N4" s="46"/>
    </x:row>
    <x:row r="5">
      <x:c r="A5" s="44" t="str">
        <x:v>LOG-20260726-92000-DUP-2</x:v>
      </x:c>
      <x:c r="B5" s="45" t="str">
        <x:v>2026-07-26</x:v>
      </x:c>
      <x:c r="C5" s="45" t="str">
        <x:v>Tareador (Bildin)</x:v>
      </x:c>
      <x:c r="D5" s="45" t="str">
        <x:v>WBS-200</x:v>
      </x:c>
      <x:c r="E5" s="45" t="str">
        <x:v>MO_OPERARIO</x:v>
      </x:c>
      <x:c r="F5" s="45" t="str">
        <x:v>OPERARIO (2 pers. x 8h)</x:v>
      </x:c>
      <x:c r="G5" s="67" t="n">
        <x:v>16</x:v>
      </x:c>
      <x:c r="H5" s="45" t="str">
        <x:v>hh</x:v>
      </x:c>
      <x:c r="I5" s="50" t="n">
        <x:v>26.8</x:v>
      </x:c>
      <x:c r="J5" s="50" t="n">
        <x:v>428.8</x:v>
      </x:c>
      <x:c r="K5" s="45" t="str">
        <x:v>AC_MO</x:v>
      </x:c>
      <x:c r="L5" s="45" t="str">
        <x:v>OBSERVADO_DUPLICADO</x:v>
      </x:c>
      <x:c r="M5" s="45" t="str">
        <x:v>tareador.html</x:v>
      </x:c>
      <x:c r="N5" s="46"/>
    </x:row>
    <x:row r="6">
      <x:c r="A6" s="44" t="str">
        <x:v>LOG-20260726-92000-DUP-3</x:v>
      </x:c>
      <x:c r="B6" s="45" t="str">
        <x:v>2026-07-26</x:v>
      </x:c>
      <x:c r="C6" s="45" t="str">
        <x:v>Tareador (Bildin)</x:v>
      </x:c>
      <x:c r="D6" s="45" t="str">
        <x:v>WBS-200</x:v>
      </x:c>
      <x:c r="E6" s="45" t="str">
        <x:v>MO_OPERARIO</x:v>
      </x:c>
      <x:c r="F6" s="45" t="str">
        <x:v>OPERARIO (2 pers. x 8h)</x:v>
      </x:c>
      <x:c r="G6" s="67" t="n">
        <x:v>16</x:v>
      </x:c>
      <x:c r="H6" s="45" t="str">
        <x:v>hh</x:v>
      </x:c>
      <x:c r="I6" s="50" t="n">
        <x:v>26.8</x:v>
      </x:c>
      <x:c r="J6" s="50" t="n">
        <x:v>428.8</x:v>
      </x:c>
      <x:c r="K6" s="45" t="str">
        <x:v>AC_MO</x:v>
      </x:c>
      <x:c r="L6" s="45" t="str">
        <x:v>OBSERVADO_DUPLICADO</x:v>
      </x:c>
      <x:c r="M6" s="45" t="str">
        <x:v>tareador.html</x:v>
      </x:c>
      <x:c r="N6" s="46"/>
    </x:row>
    <x:row r="7">
      <x:c r="A7" s="44" t="str">
        <x:v>LEGACY-4</x:v>
      </x:c>
      <x:c r="B7" s="45" t="str">
        <x:v>2026-07-26</x:v>
      </x:c>
      <x:c r="C7" s="45" t="str">
        <x:v>Tareador (Bildin)</x:v>
      </x:c>
      <x:c r="D7" s="45" t="str">
        <x:v>WBS-200</x:v>
      </x:c>
      <x:c r="E7" s="45" t="str">
        <x:v>MO_OPERARIO</x:v>
      </x:c>
      <x:c r="F7" s="45" t="str">
        <x:v>OPERARIO (2 pers. x 8h)</x:v>
      </x:c>
      <x:c r="G7" s="67" t="n">
        <x:v>16</x:v>
      </x:c>
      <x:c r="H7" s="45" t="str">
        <x:v>hh</x:v>
      </x:c>
      <x:c r="I7" s="50" t="n">
        <x:v>26.8</x:v>
      </x:c>
      <x:c r="J7" s="50" t="n">
        <x:v>428.8</x:v>
      </x:c>
      <x:c r="K7" s="45" t="str">
        <x:v>AC_MO</x:v>
      </x:c>
      <x:c r="L7" s="45" t="str">
        <x:v>VALIDO</x:v>
      </x:c>
      <x:c r="M7" s="45" t="str">
        <x:v>tareador.html</x:v>
      </x:c>
      <x:c r="N7" s="46"/>
    </x:row>
    <x:row r="8">
      <x:c r="A8" s="44" t="str">
        <x:v>LOG-20260726-92000-DUP-5</x:v>
      </x:c>
      <x:c r="B8" s="45" t="str">
        <x:v>2026-07-26</x:v>
      </x:c>
      <x:c r="C8" s="45" t="str">
        <x:v>Tareador (Bildin)</x:v>
      </x:c>
      <x:c r="D8" s="45" t="str">
        <x:v>WBS-200</x:v>
      </x:c>
      <x:c r="E8" s="45" t="str">
        <x:v>MO_OPERARIO</x:v>
      </x:c>
      <x:c r="F8" s="45" t="str">
        <x:v>OPERARIO (2 pers. x 8h)</x:v>
      </x:c>
      <x:c r="G8" s="67" t="n">
        <x:v>16</x:v>
      </x:c>
      <x:c r="H8" s="45" t="str">
        <x:v>hh</x:v>
      </x:c>
      <x:c r="I8" s="50" t="n">
        <x:v>26.8</x:v>
      </x:c>
      <x:c r="J8" s="50" t="n">
        <x:v>428.8</x:v>
      </x:c>
      <x:c r="K8" s="45" t="str">
        <x:v>AC_MO</x:v>
      </x:c>
      <x:c r="L8" s="45" t="str">
        <x:v>OBSERVADO_DUPLICADO</x:v>
      </x:c>
      <x:c r="M8" s="45" t="str">
        <x:v>tareador.html</x:v>
      </x:c>
      <x:c r="N8" s="46"/>
    </x:row>
    <x:row r="9">
      <x:c r="A9" s="62" t="str">
        <x:v>LOG-20260726-92000-DUP-6</x:v>
      </x:c>
      <x:c r="B9" s="53" t="str">
        <x:v>2026-07-26</x:v>
      </x:c>
      <x:c r="C9" s="53" t="str">
        <x:v>Tareador (Bildin)</x:v>
      </x:c>
      <x:c r="D9" s="53" t="str">
        <x:v>WBS-200</x:v>
      </x:c>
      <x:c r="E9" s="53" t="str">
        <x:v>MO_OPERARIO</x:v>
      </x:c>
      <x:c r="F9" s="53" t="str">
        <x:v>OPERARIO (2 pers. x 8h)</x:v>
      </x:c>
      <x:c r="G9" s="68" t="n">
        <x:v>16</x:v>
      </x:c>
      <x:c r="H9" s="53" t="str">
        <x:v>hh</x:v>
      </x:c>
      <x:c r="I9" s="63" t="n">
        <x:v>26.8</x:v>
      </x:c>
      <x:c r="J9" s="63" t="n">
        <x:v>428.8</x:v>
      </x:c>
      <x:c r="K9" s="53" t="str">
        <x:v>AC_MO</x:v>
      </x:c>
      <x:c r="L9" s="53" t="str">
        <x:v>OBSERVADO_DUPLICADO</x:v>
      </x:c>
      <x:c r="M9" s="53" t="str">
        <x:v>tareador.html</x:v>
      </x:c>
      <x:c r="N9" s="54"/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130001068115234" hidden="0" customWidth="1"/>
    <x:col min="2" max="2" width="42" hidden="0" customWidth="1"/>
    <x:col min="3" max="3" width="11" hidden="0" customWidth="1"/>
    <x:col min="4" max="4" width="10.130000114440918" hidden="0" customWidth="1"/>
    <x:col min="5" max="5" width="5.880000114440918" hidden="0" customWidth="1"/>
    <x:col min="6" max="6" width="7.75" hidden="0" customWidth="1"/>
    <x:col min="7" max="7" width="8.380000114440918" hidden="0" customWidth="1"/>
    <x:col min="8" max="8" width="3.880000114440918" hidden="0" customWidth="1"/>
    <x:col min="9" max="9" width="3.880000114440918" hidden="0" customWidth="1"/>
    <x:col min="10" max="10" width="11" hidden="0" customWidth="1"/>
    <x:col min="11" max="11" width="9.130000114440918" hidden="0" customWidth="1"/>
  </x:cols>
  <x:sheetData>
    <x:row r="1">
      <x:c r="A1" s="41" t="str">
        <x:v>EVM Y RESULTADO OPERATIVO POR WBS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3"/>
    </x:row>
    <x:row r="2">
      <x:c r="A2" s="44"/>
      <x:c r="B2" s="45"/>
      <x:c r="C2" s="45"/>
      <x:c r="D2" s="45"/>
      <x:c r="E2" s="45"/>
      <x:c r="F2" s="45"/>
      <x:c r="G2" s="45"/>
      <x:c r="H2" s="45"/>
      <x:c r="I2" s="45"/>
      <x:c r="J2" s="45"/>
      <x:c r="K2" s="46"/>
    </x:row>
    <x:row r="3">
      <x:c r="A3" s="60" t="str">
        <x:v>WBS</x:v>
      </x:c>
      <x:c r="B3" s="48" t="str">
        <x:v>Descripción</x:v>
      </x:c>
      <x:c r="C3" s="48" t="str">
        <x:v>BAC</x:v>
      </x:c>
      <x:c r="D3" s="48" t="str">
        <x:v>PV</x:v>
      </x:c>
      <x:c r="E3" s="48" t="str">
        <x:v>EV</x:v>
      </x:c>
      <x:c r="F3" s="48" t="str">
        <x:v>AC</x:v>
      </x:c>
      <x:c r="G3" s="48" t="str">
        <x:v>CV</x:v>
      </x:c>
      <x:c r="H3" s="48" t="str">
        <x:v>CPI</x:v>
      </x:c>
      <x:c r="I3" s="48" t="str">
        <x:v>SPI</x:v>
      </x:c>
      <x:c r="J3" s="48" t="str">
        <x:v>EAC</x:v>
      </x:c>
      <x:c r="K3" s="49" t="str">
        <x:v>Estado</x:v>
      </x:c>
    </x:row>
    <x:row r="4">
      <x:c r="A4" s="44" t="str">
        <x:v>WBS-100</x:v>
      </x:c>
      <x:c r="B4" s="45" t="str">
        <x:v>Obras Preliminares, Trazo y Movilización</x:v>
      </x:c>
      <x:c r="C4" s="50" t="n">
        <x:f>SUMIF('APU_PRESUPUESTO'!$A$4:$A$14,A4,'APU_PRESUPUESTO'!$G$4:$G$14)</x:f>
        <x:v>8296.4</x:v>
      </x:c>
      <x:c r="D4" s="50" t="n">
        <x:f>SUMIF('WBS'!$A$4:$A$7,A4,'WBS'!$D$4:$D$7)</x:f>
        <x:v>22900</x:v>
      </x:c>
      <x:c r="E4" s="50" t="n">
        <x:f>SUMIFS('REGISTROS_DIARIOS'!$J$4:$J$9,'REGISTROS_DIARIOS'!$D$4:$D$9,A4,'REGISTROS_DIARIOS'!$K$4:$K$9,"EV_PRODUCCION",'REGISTROS_DIARIOS'!$L$4:$L$9,"VALIDO")</x:f>
        <x:v>0</x:v>
      </x:c>
      <x:c r="F4" s="50" t="n">
        <x:f>SUM(SUMIFS('REGISTROS_DIARIOS'!$J$4:$J$9,'REGISTROS_DIARIOS'!$D$4:$D$9,A4,'REGISTROS_DIARIOS'!$K$4:$K$9,"AC_MO",'REGISTROS_DIARIOS'!$L$4:$L$9,"VALIDO"),SUMIFS('REGISTROS_DIARIOS'!$J$4:$J$9,'REGISTROS_DIARIOS'!$D$4:$D$9,A4,'REGISTROS_DIARIOS'!$K$4:$K$9,"AC_MAT",'REGISTROS_DIARIOS'!$L$4:$L$9,"VALIDO"),SUMIFS('REGISTROS_DIARIOS'!$J$4:$J$9,'REGISTROS_DIARIOS'!$D$4:$D$9,A4,'REGISTROS_DIARIOS'!$K$4:$K$9,"AC_EQP",'REGISTROS_DIARIOS'!$L$4:$L$9,"VALIDO"),SUMIFS('REGISTROS_DIARIOS'!$J$4:$J$9,'REGISTROS_DIARIOS'!$D$4:$D$9,A4,'REGISTROS_DIARIOS'!$K$4:$K$9,"AC_SUB",'REGISTROS_DIARIOS'!$L$4:$L$9,"VALIDO"))</x:f>
        <x:v>0</x:v>
      </x:c>
      <x:c r="G4" s="50" t="n">
        <x:f>E4-F4</x:f>
        <x:v>0</x:v>
      </x:c>
      <x:c r="H4" s="51" t="n">
        <x:f>IF(F4&gt;0,E4/F4,1)</x:f>
        <x:v>1</x:v>
      </x:c>
      <x:c r="I4" s="51" t="n">
        <x:f>IF(D4&gt;0,E4/D4,1)</x:f>
        <x:v>0</x:v>
      </x:c>
      <x:c r="J4" s="50" t="n">
        <x:f>IF(H4&gt;0,F4+(C4-E4)/H4,C4)</x:f>
        <x:v>8296.4</x:v>
      </x:c>
      <x:c r="K4" s="46" t="str">
        <x:f>IF(F4=0,"SIN INICIAR",IF(H4&lt;1,"ALERTA","OK"))</x:f>
        <x:v>SIN INICIAR</x:v>
      </x:c>
    </x:row>
    <x:row r="5">
      <x:c r="A5" s="44" t="str">
        <x:v>WBS-200</x:v>
      </x:c>
      <x:c r="B5" s="45" t="str">
        <x:v>Red de Alcantarillado, Zanjas y Buzones</x:v>
      </x:c>
      <x:c r="C5" s="50" t="n">
        <x:f>SUMIF('APU_PRESUPUESTO'!$A$4:$A$14,A5,'APU_PRESUPUESTO'!$G$4:$G$14)</x:f>
        <x:v>380086.56</x:v>
      </x:c>
      <x:c r="D5" s="50" t="n">
        <x:f>SUMIF('WBS'!$A$4:$A$7,A5,'WBS'!$D$4:$D$7)</x:f>
        <x:v>31170</x:v>
      </x:c>
      <x:c r="E5" s="50" t="n">
        <x:f>SUMIFS('REGISTROS_DIARIOS'!$J$4:$J$9,'REGISTROS_DIARIOS'!$D$4:$D$9,A5,'REGISTROS_DIARIOS'!$K$4:$K$9,"EV_PRODUCCION",'REGISTROS_DIARIOS'!$L$4:$L$9,"VALIDO")</x:f>
        <x:v>0</x:v>
      </x:c>
      <x:c r="F5" s="50" t="n">
        <x:f>SUM(SUMIFS('REGISTROS_DIARIOS'!$J$4:$J$9,'REGISTROS_DIARIOS'!$D$4:$D$9,A5,'REGISTROS_DIARIOS'!$K$4:$K$9,"AC_MO",'REGISTROS_DIARIOS'!$L$4:$L$9,"VALIDO"),SUMIFS('REGISTROS_DIARIOS'!$J$4:$J$9,'REGISTROS_DIARIOS'!$D$4:$D$9,A5,'REGISTROS_DIARIOS'!$K$4:$K$9,"AC_MAT",'REGISTROS_DIARIOS'!$L$4:$L$9,"VALIDO"),SUMIFS('REGISTROS_DIARIOS'!$J$4:$J$9,'REGISTROS_DIARIOS'!$D$4:$D$9,A5,'REGISTROS_DIARIOS'!$K$4:$K$9,"AC_EQP",'REGISTROS_DIARIOS'!$L$4:$L$9,"VALIDO"),SUMIFS('REGISTROS_DIARIOS'!$J$4:$J$9,'REGISTROS_DIARIOS'!$D$4:$D$9,A5,'REGISTROS_DIARIOS'!$K$4:$K$9,"AC_SUB",'REGISTROS_DIARIOS'!$L$4:$L$9,"VALIDO"))</x:f>
        <x:v>857.6</x:v>
      </x:c>
      <x:c r="G5" s="50" t="n">
        <x:f>E5-F5</x:f>
        <x:v>-857.6</x:v>
      </x:c>
      <x:c r="H5" s="51" t="n">
        <x:f>IF(F5&gt;0,E5/F5,1)</x:f>
        <x:v>0</x:v>
      </x:c>
      <x:c r="I5" s="51" t="n">
        <x:f>IF(D5&gt;0,E5/D5,1)</x:f>
        <x:v>0</x:v>
      </x:c>
      <x:c r="J5" s="50" t="n">
        <x:f>IF(H5&gt;0,F5+(C5-E5)/H5,C5)</x:f>
        <x:v>380086.56</x:v>
      </x:c>
      <x:c r="K5" s="46" t="str">
        <x:f>IF(F5=0,"SIN INICIAR",IF(H5&lt;1,"ALERTA","OK"))</x:f>
        <x:v>ALERTA</x:v>
      </x:c>
    </x:row>
    <x:row r="6">
      <x:c r="A6" s="44" t="str">
        <x:v>WBS-300</x:v>
      </x:c>
      <x:c r="B6" s="45" t="str">
        <x:v>Red de Agua Potable y Conexiones Domiciliarias</x:v>
      </x:c>
      <x:c r="C6" s="50" t="n">
        <x:f>SUMIF('APU_PRESUPUESTO'!$A$4:$A$14,A6,'APU_PRESUPUESTO'!$G$4:$G$14)</x:f>
        <x:v>57565.2</x:v>
      </x:c>
      <x:c r="D6" s="50" t="n">
        <x:f>SUMIF('WBS'!$A$4:$A$7,A6,'WBS'!$D$4:$D$7)</x:f>
        <x:v>0</x:v>
      </x:c>
      <x:c r="E6" s="50" t="n">
        <x:f>SUMIFS('REGISTROS_DIARIOS'!$J$4:$J$9,'REGISTROS_DIARIOS'!$D$4:$D$9,A6,'REGISTROS_DIARIOS'!$K$4:$K$9,"EV_PRODUCCION",'REGISTROS_DIARIOS'!$L$4:$L$9,"VALIDO")</x:f>
        <x:v>0</x:v>
      </x:c>
      <x:c r="F6" s="50" t="n">
        <x:f>SUM(SUMIFS('REGISTROS_DIARIOS'!$J$4:$J$9,'REGISTROS_DIARIOS'!$D$4:$D$9,A6,'REGISTROS_DIARIOS'!$K$4:$K$9,"AC_MO",'REGISTROS_DIARIOS'!$L$4:$L$9,"VALIDO"),SUMIFS('REGISTROS_DIARIOS'!$J$4:$J$9,'REGISTROS_DIARIOS'!$D$4:$D$9,A6,'REGISTROS_DIARIOS'!$K$4:$K$9,"AC_MAT",'REGISTROS_DIARIOS'!$L$4:$L$9,"VALIDO"),SUMIFS('REGISTROS_DIARIOS'!$J$4:$J$9,'REGISTROS_DIARIOS'!$D$4:$D$9,A6,'REGISTROS_DIARIOS'!$K$4:$K$9,"AC_EQP",'REGISTROS_DIARIOS'!$L$4:$L$9,"VALIDO"),SUMIFS('REGISTROS_DIARIOS'!$J$4:$J$9,'REGISTROS_DIARIOS'!$D$4:$D$9,A6,'REGISTROS_DIARIOS'!$K$4:$K$9,"AC_SUB",'REGISTROS_DIARIOS'!$L$4:$L$9,"VALIDO"))</x:f>
        <x:v>0</x:v>
      </x:c>
      <x:c r="G6" s="50" t="n">
        <x:f>E6-F6</x:f>
        <x:v>0</x:v>
      </x:c>
      <x:c r="H6" s="51" t="n">
        <x:f>IF(F6&gt;0,E6/F6,1)</x:f>
        <x:v>1</x:v>
      </x:c>
      <x:c r="I6" s="51" t="n">
        <x:f>IF(D6&gt;0,E6/D6,1)</x:f>
        <x:v>1</x:v>
      </x:c>
      <x:c r="J6" s="50" t="n">
        <x:f>IF(H6&gt;0,F6+(C6-E6)/H6,C6)</x:f>
        <x:v>57565.2</x:v>
      </x:c>
      <x:c r="K6" s="46" t="str">
        <x:f>IF(F6=0,"SIN INICIAR",IF(H6&lt;1,"ALERTA","OK"))</x:f>
        <x:v>SIN INICIAR</x:v>
      </x:c>
    </x:row>
    <x:row r="7">
      <x:c r="A7" s="44" t="str">
        <x:v>WBS-400</x:v>
      </x:c>
      <x:c r="B7" s="45" t="str">
        <x:v>Pruebas Hidráulicas, Desinfección y Entrega</x:v>
      </x:c>
      <x:c r="C7" s="50" t="n">
        <x:f>SUMIF('APU_PRESUPUESTO'!$A$4:$A$14,A7,'APU_PRESUPUESTO'!$G$4:$G$14)</x:f>
        <x:v>9348.06</x:v>
      </x:c>
      <x:c r="D7" s="50" t="n">
        <x:f>SUMIF('WBS'!$A$4:$A$7,A7,'WBS'!$D$4:$D$7)</x:f>
        <x:v>0</x:v>
      </x:c>
      <x:c r="E7" s="50" t="n">
        <x:f>SUMIFS('REGISTROS_DIARIOS'!$J$4:$J$9,'REGISTROS_DIARIOS'!$D$4:$D$9,A7,'REGISTROS_DIARIOS'!$K$4:$K$9,"EV_PRODUCCION",'REGISTROS_DIARIOS'!$L$4:$L$9,"VALIDO")</x:f>
        <x:v>0</x:v>
      </x:c>
      <x:c r="F7" s="50" t="n">
        <x:f>SUM(SUMIFS('REGISTROS_DIARIOS'!$J$4:$J$9,'REGISTROS_DIARIOS'!$D$4:$D$9,A7,'REGISTROS_DIARIOS'!$K$4:$K$9,"AC_MO",'REGISTROS_DIARIOS'!$L$4:$L$9,"VALIDO"),SUMIFS('REGISTROS_DIARIOS'!$J$4:$J$9,'REGISTROS_DIARIOS'!$D$4:$D$9,A7,'REGISTROS_DIARIOS'!$K$4:$K$9,"AC_MAT",'REGISTROS_DIARIOS'!$L$4:$L$9,"VALIDO"),SUMIFS('REGISTROS_DIARIOS'!$J$4:$J$9,'REGISTROS_DIARIOS'!$D$4:$D$9,A7,'REGISTROS_DIARIOS'!$K$4:$K$9,"AC_EQP",'REGISTROS_DIARIOS'!$L$4:$L$9,"VALIDO"),SUMIFS('REGISTROS_DIARIOS'!$J$4:$J$9,'REGISTROS_DIARIOS'!$D$4:$D$9,A7,'REGISTROS_DIARIOS'!$K$4:$K$9,"AC_SUB",'REGISTROS_DIARIOS'!$L$4:$L$9,"VALIDO"))</x:f>
        <x:v>0</x:v>
      </x:c>
      <x:c r="G7" s="50" t="n">
        <x:f>E7-F7</x:f>
        <x:v>0</x:v>
      </x:c>
      <x:c r="H7" s="51" t="n">
        <x:f>IF(F7&gt;0,E7/F7,1)</x:f>
        <x:v>1</x:v>
      </x:c>
      <x:c r="I7" s="51" t="n">
        <x:f>IF(D7&gt;0,E7/D7,1)</x:f>
        <x:v>1</x:v>
      </x:c>
      <x:c r="J7" s="50" t="n">
        <x:f>IF(H7&gt;0,F7+(C7-E7)/H7,C7)</x:f>
        <x:v>9348.06</x:v>
      </x:c>
      <x:c r="K7" s="46" t="str">
        <x:f>IF(F7=0,"SIN INICIAR",IF(H7&lt;1,"ALERTA","OK"))</x:f>
        <x:v>SIN INICIAR</x:v>
      </x:c>
    </x:row>
    <x:row r="8">
      <x:c r="A8" s="74" t="str">
        <x:v>TOTAL</x:v>
      </x:c>
      <x:c r="B8" s="75" t="str">
        <x:v>Proyecto</x:v>
      </x:c>
      <x:c r="C8" s="76" t="n">
        <x:f>SUM(C4:C7)</x:f>
        <x:v>455296.22000000003</x:v>
      </x:c>
      <x:c r="D8" s="76" t="n">
        <x:f>SUM(D4:D7)</x:f>
        <x:v>54070</x:v>
      </x:c>
      <x:c r="E8" s="76" t="n">
        <x:f>SUM(E4:E7)</x:f>
        <x:v>0</x:v>
      </x:c>
      <x:c r="F8" s="76" t="n">
        <x:f>SUM(F4:F7)</x:f>
        <x:v>857.6</x:v>
      </x:c>
      <x:c r="G8" s="76" t="n">
        <x:f>E8-F8</x:f>
        <x:v>-857.6</x:v>
      </x:c>
      <x:c r="H8" s="77" t="n">
        <x:f>IF(F8&gt;0,E8/F8,1)</x:f>
        <x:v>0</x:v>
      </x:c>
      <x:c r="I8" s="77" t="n">
        <x:f>IF(D8&gt;0,E8/D8,1)</x:f>
        <x:v>0</x:v>
      </x:c>
      <x:c r="J8" s="76" t="n">
        <x:f>IF(H8&gt;0,F8+(C8-E8)/H8,C8)</x:f>
        <x:v>455296.22000000003</x:v>
      </x:c>
      <x:c r="K8" s="78" t="str"/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5" hidden="0" customWidth="1"/>
    <x:col min="2" max="2" width="21.6299991607666" hidden="0" customWidth="1"/>
    <x:col min="3" max="3" width="67.25" hidden="0" customWidth="1"/>
    <x:col min="4" max="4" width="6.130000114440918" hidden="0" customWidth="1"/>
    <x:col min="5" max="5" width="9" hidden="0" customWidth="1"/>
  </x:cols>
  <x:sheetData>
    <x:row r="1">
      <x:c r="A1" s="41" t="str">
        <x:v>CATÁLOGOS MAESTROS PARA LOS FORMULARIOS HTML</x:v>
      </x:c>
      <x:c r="B1" s="42"/>
      <x:c r="C1" s="42"/>
      <x:c r="D1" s="42"/>
      <x:c r="E1" s="43"/>
    </x:row>
    <x:row r="2">
      <x:c r="A2" s="44"/>
      <x:c r="B2" s="45"/>
      <x:c r="C2" s="45"/>
      <x:c r="D2" s="45"/>
      <x:c r="E2" s="46"/>
    </x:row>
    <x:row r="3">
      <x:c r="A3" s="60" t="str">
        <x:v>Tipo</x:v>
      </x:c>
      <x:c r="B3" s="48" t="str">
        <x:v>Código</x:v>
      </x:c>
      <x:c r="C3" s="48" t="str">
        <x:v>Descripción</x:v>
      </x:c>
      <x:c r="D3" s="48" t="str">
        <x:v>Unidad</x:v>
      </x:c>
      <x:c r="E3" s="49" t="str">
        <x:v>Precio</x:v>
      </x:c>
    </x:row>
    <x:row r="4">
      <x:c r="A4" s="44" t="str">
        <x:v>mano_obra</x:v>
      </x:c>
      <x:c r="B4" s="45" t="str">
        <x:v>MO_CAPATAZ</x:v>
      </x:c>
      <x:c r="C4" s="45" t="str">
        <x:v>CAPATAZ</x:v>
      </x:c>
      <x:c r="D4" s="45" t="str">
        <x:v>hh</x:v>
      </x:c>
      <x:c r="E4" s="61" t="n">
        <x:v>32.5</x:v>
      </x:c>
    </x:row>
    <x:row r="5">
      <x:c r="A5" s="44" t="str">
        <x:v>mano_obra</x:v>
      </x:c>
      <x:c r="B5" s="45" t="str">
        <x:v>MO_OPERARIO</x:v>
      </x:c>
      <x:c r="C5" s="45" t="str">
        <x:v>OPERARIO</x:v>
      </x:c>
      <x:c r="D5" s="45" t="str">
        <x:v>hh</x:v>
      </x:c>
      <x:c r="E5" s="61" t="n">
        <x:v>26.8</x:v>
      </x:c>
    </x:row>
    <x:row r="6">
      <x:c r="A6" s="44" t="str">
        <x:v>mano_obra</x:v>
      </x:c>
      <x:c r="B6" s="45" t="str">
        <x:v>MO_OFICIAL</x:v>
      </x:c>
      <x:c r="C6" s="45" t="str">
        <x:v>OFICIAL</x:v>
      </x:c>
      <x:c r="D6" s="45" t="str">
        <x:v>hh</x:v>
      </x:c>
      <x:c r="E6" s="61" t="n">
        <x:v>22.4</x:v>
      </x:c>
    </x:row>
    <x:row r="7">
      <x:c r="A7" s="44" t="str">
        <x:v>mano_obra</x:v>
      </x:c>
      <x:c r="B7" s="45" t="str">
        <x:v>MO_PEON</x:v>
      </x:c>
      <x:c r="C7" s="45" t="str">
        <x:v>PEON</x:v>
      </x:c>
      <x:c r="D7" s="45" t="str">
        <x:v>hh</x:v>
      </x:c>
      <x:c r="E7" s="61" t="n">
        <x:v>20.1</x:v>
      </x:c>
    </x:row>
    <x:row r="8">
      <x:c r="A8" s="44" t="str">
        <x:v>materiales</x:v>
      </x:c>
      <x:c r="B8" s="45" t="str">
        <x:v>MAT_ESTACA</x:v>
      </x:c>
      <x:c r="C8" s="45" t="str">
        <x:v>ESTACAS Y MADERA PARA TRAZO</x:v>
      </x:c>
      <x:c r="D8" s="45" t="str">
        <x:v>pza</x:v>
      </x:c>
      <x:c r="E8" s="61" t="n">
        <x:v>4.5</x:v>
      </x:c>
    </x:row>
    <x:row r="9">
      <x:c r="A9" s="44" t="str">
        <x:v>materiales</x:v>
      </x:c>
      <x:c r="B9" s="45" t="str">
        <x:v>MAT_PINTURA</x:v>
      </x:c>
      <x:c r="C9" s="45" t="str">
        <x:v>PINTURA SPRAY MARCADOR DE ZANJA</x:v>
      </x:c>
      <x:c r="D9" s="45" t="str">
        <x:v>gla</x:v>
      </x:c>
      <x:c r="E9" s="61" t="n">
        <x:v>18</x:v>
      </x:c>
    </x:row>
    <x:row r="10">
      <x:c r="A10" s="44" t="str">
        <x:v>materiales</x:v>
      </x:c>
      <x:c r="B10" s="45" t="str">
        <x:v>MAT_CORDEL</x:v>
      </x:c>
      <x:c r="C10" s="45" t="str">
        <x:v>CORDEL / NYLON</x:v>
      </x:c>
      <x:c r="D10" s="45" t="str">
        <x:v>m</x:v>
      </x:c>
      <x:c r="E10" s="61" t="n">
        <x:v>0.8</x:v>
      </x:c>
    </x:row>
    <x:row r="11">
      <x:c r="A11" s="44" t="str">
        <x:v>materiales</x:v>
      </x:c>
      <x:c r="B11" s="45" t="str">
        <x:v>MAT_ARENA_CAMAS</x:v>
      </x:c>
      <x:c r="C11" s="45" t="str">
        <x:v>ARENA FINA SELECCIONADA PARA CAMA E=0.10M</x:v>
      </x:c>
      <x:c r="D11" s="45" t="str">
        <x:v>m3</x:v>
      </x:c>
      <x:c r="E11" s="61" t="n">
        <x:v>45</x:v>
      </x:c>
    </x:row>
    <x:row r="12">
      <x:c r="A12" s="44" t="str">
        <x:v>materiales</x:v>
      </x:c>
      <x:c r="B12" s="45" t="str">
        <x:v>MAT_TUB_PVC_200</x:v>
      </x:c>
      <x:c r="C12" s="45" t="str">
        <x:v>TUBERIA PVC UF DN 200MM SERIE S-20 ALCANTARILLADO</x:v>
      </x:c>
      <x:c r="D12" s="45" t="str">
        <x:v>m</x:v>
      </x:c>
      <x:c r="E12" s="61" t="n">
        <x:v>42</x:v>
      </x:c>
    </x:row>
    <x:row r="13">
      <x:c r="A13" s="44" t="str">
        <x:v>materiales</x:v>
      </x:c>
      <x:c r="B13" s="45" t="str">
        <x:v>MAT_LUBRICANTE</x:v>
      </x:c>
      <x:c r="C13" s="45" t="str">
        <x:v>LUBRICANTE PARA TUBERIA CON ESPIGA Y CAMPANA</x:v>
      </x:c>
      <x:c r="D13" s="45" t="str">
        <x:v>kg</x:v>
      </x:c>
      <x:c r="E13" s="61" t="n">
        <x:v>24</x:v>
      </x:c>
    </x:row>
    <x:row r="14">
      <x:c r="A14" s="44" t="str">
        <x:v>materiales</x:v>
      </x:c>
      <x:c r="B14" s="45" t="str">
        <x:v>MAT_MATERIAL_PR</x:v>
      </x:c>
      <x:c r="C14" s="45" t="str">
        <x:v>MATERIAL DE PRÉSTAMO AFIRMADO PARA RELLENO COMPACTADO</x:v>
      </x:c>
      <x:c r="D14" s="45" t="str">
        <x:v>m3</x:v>
      </x:c>
      <x:c r="E14" s="61" t="n">
        <x:v>38</x:v>
      </x:c>
    </x:row>
    <x:row r="15">
      <x:c r="A15" s="44" t="str">
        <x:v>materiales</x:v>
      </x:c>
      <x:c r="B15" s="45" t="str">
        <x:v>MAT_AGUA</x:v>
      </x:c>
      <x:c r="C15" s="45" t="str">
        <x:v>AGUA PARA COMPACTACIÓN Y PRUEBAS</x:v>
      </x:c>
      <x:c r="D15" s="45" t="str">
        <x:v>m3</x:v>
      </x:c>
      <x:c r="E15" s="61" t="n">
        <x:v>12</x:v>
      </x:c>
    </x:row>
    <x:row r="16">
      <x:c r="A16" s="44" t="str">
        <x:v>materiales</x:v>
      </x:c>
      <x:c r="B16" s="45" t="str">
        <x:v>MAT_BUZON_PREF</x:v>
      </x:c>
      <x:c r="C16" s="45" t="str">
        <x:v>BUZON PREFABRICADO CONCRETO H=1.5-2.5M CON MARCO Y TAPA</x:v>
      </x:c>
      <x:c r="D16" s="45" t="str">
        <x:v>und</x:v>
      </x:c>
      <x:c r="E16" s="61" t="n">
        <x:v>1050</x:v>
      </x:c>
    </x:row>
    <x:row r="17">
      <x:c r="A17" s="44" t="str">
        <x:v>materiales</x:v>
      </x:c>
      <x:c r="B17" s="45" t="str">
        <x:v>MAT_CAJA_REGISTRO</x:v>
      </x:c>
      <x:c r="C17" s="45" t="str">
        <x:v>CAJA DE REGISTRO PREFABRICADA DE CONCRETO 12X24 WITH TAPA</x:v>
      </x:c>
      <x:c r="D17" s="45" t="str">
        <x:v>und</x:v>
      </x:c>
      <x:c r="E17" s="61" t="n">
        <x:v>145</x:v>
      </x:c>
    </x:row>
    <x:row r="18">
      <x:c r="A18" s="44" t="str">
        <x:v>materiales</x:v>
      </x:c>
      <x:c r="B18" s="45" t="str">
        <x:v>MAT_TUB_PVC_160_CONEX</x:v>
      </x:c>
      <x:c r="C18" s="45" t="str">
        <x:v>TUBERIA PVC SAL DN 160MM PARA ACOMETIDA ALCANTARILLADO</x:v>
      </x:c>
      <x:c r="D18" s="45" t="str">
        <x:v>m</x:v>
      </x:c>
      <x:c r="E18" s="61" t="n">
        <x:v>22</x:v>
      </x:c>
    </x:row>
    <x:row r="19">
      <x:c r="A19" s="44" t="str">
        <x:v>materiales</x:v>
      </x:c>
      <x:c r="B19" s="45" t="str">
        <x:v>MAT_TUB_PVC_110_AGUA</x:v>
      </x:c>
      <x:c r="C19" s="45" t="str">
        <x:v>TUBERIA PVC C-10 DN 110MM AGUA POTABLE</x:v>
      </x:c>
      <x:c r="D19" s="45" t="str">
        <x:v>m</x:v>
      </x:c>
      <x:c r="E19" s="61" t="n">
        <x:v>26.5</x:v>
      </x:c>
    </x:row>
    <x:row r="20">
      <x:c r="A20" s="44" t="str">
        <x:v>materiales</x:v>
      </x:c>
      <x:c r="B20" s="45" t="str">
        <x:v>MAT_ACCESORIOS_AGUA</x:v>
      </x:c>
      <x:c r="C20" s="45" t="str">
        <x:v>ACCESORIOS Y CODOS PVC AGUA 110MM (PROMEDIO/M)</x:v>
      </x:c>
      <x:c r="D20" s="45" t="str">
        <x:v>glb</x:v>
      </x:c>
      <x:c r="E20" s="61" t="n">
        <x:v>5</x:v>
      </x:c>
    </x:row>
    <x:row r="21">
      <x:c r="A21" s="44" t="str">
        <x:v>materiales</x:v>
      </x:c>
      <x:c r="B21" s="45" t="str">
        <x:v>MAT_CAJA_AGUA</x:v>
      </x:c>
      <x:c r="C21" s="45" t="str">
        <x:v>CAJA TERMOFORMADA PARA MEDIDOR + ABRAZADERA + LLAVE DE PASO</x:v>
      </x:c>
      <x:c r="D21" s="45" t="str">
        <x:v>und</x:v>
      </x:c>
      <x:c r="E21" s="61" t="n">
        <x:v>62</x:v>
      </x:c>
    </x:row>
    <x:row r="22">
      <x:c r="A22" s="44" t="str">
        <x:v>materiales</x:v>
      </x:c>
      <x:c r="B22" s="45" t="str">
        <x:v>MAT_TUB_HDPE_1_2</x:v>
      </x:c>
      <x:c r="C22" s="45" t="str">
        <x:v>TUBERIA HDPE 1/2 PARA ACOMETIDA AGUA</x:v>
      </x:c>
      <x:c r="D22" s="45" t="str">
        <x:v>m</x:v>
      </x:c>
      <x:c r="E22" s="61" t="n">
        <x:v>3.8</x:v>
      </x:c>
    </x:row>
    <x:row r="23">
      <x:c r="A23" s="44" t="str">
        <x:v>materiales</x:v>
      </x:c>
      <x:c r="B23" s="45" t="str">
        <x:v>MAT_HIPOCLORITO</x:v>
      </x:c>
      <x:c r="C23" s="45" t="str">
        <x:v>HIPOCLORITO DE CALCIO 70% PARA DESINFECCION</x:v>
      </x:c>
      <x:c r="D23" s="45" t="str">
        <x:v>kg</x:v>
      </x:c>
      <x:c r="E23" s="61" t="n">
        <x:v>35</x:v>
      </x:c>
    </x:row>
    <x:row r="24">
      <x:c r="A24" s="44" t="str">
        <x:v>materiales</x:v>
      </x:c>
      <x:c r="B24" s="45" t="str">
        <x:v>MAT_CARTEL</x:v>
      </x:c>
      <x:c r="C24" s="45" t="str">
        <x:v>CARTEL DE OBRA 3.60X2.40M</x:v>
      </x:c>
      <x:c r="D24" s="45" t="str">
        <x:v>und</x:v>
      </x:c>
      <x:c r="E24" s="61" t="n">
        <x:v>1200</x:v>
      </x:c>
    </x:row>
    <x:row r="25">
      <x:c r="A25" s="44" t="str">
        <x:v>materiales</x:v>
      </x:c>
      <x:c r="B25" s="45" t="str">
        <x:v>MAT_CASETA</x:v>
      </x:c>
      <x:c r="C25" s="45" t="str">
        <x:v>CASETA DE ALMACEN Y OFICINA PROVISIONAL</x:v>
      </x:c>
      <x:c r="D25" s="45" t="str">
        <x:v>glb</x:v>
      </x:c>
      <x:c r="E25" s="61" t="n">
        <x:v>2300</x:v>
      </x:c>
    </x:row>
    <x:row r="26">
      <x:c r="A26" s="44" t="str">
        <x:v>equipos</x:v>
      </x:c>
      <x:c r="B26" s="45" t="str">
        <x:v>EQ_HERRAMIENTAS</x:v>
      </x:c>
      <x:c r="C26" s="45" t="str">
        <x:v>HERRAMIENTAS MANUALES</x:v>
      </x:c>
      <x:c r="D26" s="45" t="str">
        <x:v>%MO</x:v>
      </x:c>
      <x:c r="E26" s="61" t="n">
        <x:v>0</x:v>
      </x:c>
    </x:row>
    <x:row r="27">
      <x:c r="A27" s="44" t="str">
        <x:v>equipos</x:v>
      </x:c>
      <x:c r="B27" s="45" t="str">
        <x:v>EQ_EXCAVADORA</x:v>
      </x:c>
      <x:c r="C27" s="45" t="str">
        <x:v>EXCAVADORA SOBRE ORUGAS 140 HP</x:v>
      </x:c>
      <x:c r="D27" s="45" t="str">
        <x:v>hm</x:v>
      </x:c>
      <x:c r="E27" s="61" t="n">
        <x:v>185</x:v>
      </x:c>
    </x:row>
    <x:row r="28">
      <x:c r="A28" s="44" t="str">
        <x:v>equipos</x:v>
      </x:c>
      <x:c r="B28" s="45" t="str">
        <x:v>EQ_RETROEXCAVADORA</x:v>
      </x:c>
      <x:c r="C28" s="45" t="str">
        <x:v>RETROEXCAVADORA SOBRE LLANTAS 62 HP</x:v>
      </x:c>
      <x:c r="D28" s="45" t="str">
        <x:v>hm</x:v>
      </x:c>
      <x:c r="E28" s="61" t="n">
        <x:v>130</x:v>
      </x:c>
    </x:row>
    <x:row r="29">
      <x:c r="A29" s="44" t="str">
        <x:v>equipos</x:v>
      </x:c>
      <x:c r="B29" s="45" t="str">
        <x:v>EQ_PLANCHA</x:v>
      </x:c>
      <x:c r="C29" s="45" t="str">
        <x:v>PLANCHA COMPACTADORA 7 HP</x:v>
      </x:c>
      <x:c r="D29" s="45" t="str">
        <x:v>hm</x:v>
      </x:c>
      <x:c r="E29" s="61" t="n">
        <x:v>25</x:v>
      </x:c>
    </x:row>
    <x:row r="30">
      <x:c r="A30" s="44" t="str">
        <x:v>equipos</x:v>
      </x:c>
      <x:c r="B30" s="45" t="str">
        <x:v>EQ_RODILLO_CAMINANTE</x:v>
      </x:c>
      <x:c r="C30" s="45" t="str">
        <x:v>RODILLO VIBRATORIO CAMINANTE 1.5 TN</x:v>
      </x:c>
      <x:c r="D30" s="45" t="str">
        <x:v>hm</x:v>
      </x:c>
      <x:c r="E30" s="61" t="n">
        <x:v>45</x:v>
      </x:c>
    </x:row>
    <x:row r="31">
      <x:c r="A31" s="44" t="str">
        <x:v>equipos</x:v>
      </x:c>
      <x:c r="B31" s="45" t="str">
        <x:v>EQ_CAMION_CISTERNA</x:v>
      </x:c>
      <x:c r="C31" s="45" t="str">
        <x:v>CAMION CISTERNA 4X2 (AGUA) 2,000 GLN</x:v>
      </x:c>
      <x:c r="D31" s="45" t="str">
        <x:v>hm</x:v>
      </x:c>
      <x:c r="E31" s="61" t="n">
        <x:v>140</x:v>
      </x:c>
    </x:row>
    <x:row r="32">
      <x:c r="A32" s="44" t="str">
        <x:v>equipos</x:v>
      </x:c>
      <x:c r="B32" s="45" t="str">
        <x:v>EQ_CAMION_GRUAN</x:v>
      </x:c>
      <x:c r="C32" s="45" t="str">
        <x:v>CAMION GRUA 5 TN PARA MONTAJE DE BUZONES</x:v>
      </x:c>
      <x:c r="D32" s="45" t="str">
        <x:v>hm</x:v>
      </x:c>
      <x:c r="E32" s="61" t="n">
        <x:v>160</x:v>
      </x:c>
    </x:row>
    <x:row r="33">
      <x:c r="A33" s="44" t="str">
        <x:v>equipos</x:v>
      </x:c>
      <x:c r="B33" s="45" t="str">
        <x:v>EQ_BOMBA_PRUEBA</x:v>
      </x:c>
      <x:c r="C33" s="45" t="str">
        <x:v>BOMBA HIDROSTÁTICA DE PRUEBA DE PRESIÓN</x:v>
      </x:c>
      <x:c r="D33" s="45" t="str">
        <x:v>hm</x:v>
      </x:c>
      <x:c r="E33" s="61" t="n">
        <x:v>30</x:v>
      </x:c>
    </x:row>
    <x:row r="34">
      <x:c r="A34" s="44" t="str">
        <x:v>equipos</x:v>
      </x:c>
      <x:c r="B34" s="45" t="str">
        <x:v>EQ_ESTACION_TOTAL</x:v>
      </x:c>
      <x:c r="C34" s="45" t="str">
        <x:v>EQUIPO DE TOPOGRAFIA ESTACION TOTAL</x:v>
      </x:c>
      <x:c r="D34" s="45" t="str">
        <x:v>hm</x:v>
      </x:c>
      <x:c r="E34" s="61" t="n">
        <x:v>18</x:v>
      </x:c>
    </x:row>
    <x:row r="35">
      <x:c r="A35" s="44" t="str">
        <x:v>subcontratos</x:v>
      </x:c>
      <x:c r="B35" s="45" t="str">
        <x:v>SUB_MOVILIZACION</x:v>
      </x:c>
      <x:c r="C35" s="45" t="str">
        <x:v>SUBCONTRATO DE MOVILIZACION Y DESMOVILIZACION DE MAQUINARIA</x:v>
      </x:c>
      <x:c r="D35" s="45" t="str">
        <x:v>glb</x:v>
      </x:c>
      <x:c r="E35" s="61" t="n">
        <x:v>4000</x:v>
      </x:c>
    </x:row>
    <x:row r="36">
      <x:c r="A36" s="44" t="str">
        <x:v>subcontratos</x:v>
      </x:c>
      <x:c r="B36" s="45" t="str">
        <x:v>SUB_ENSAYOS_COMPAC</x:v>
      </x:c>
      <x:c r="C36" s="45" t="str">
        <x:v>SUBCONTRATO DE ENSAYOS DE DENSIDAD DE CAMPO (PROCTOR/DENSIDAD)</x:v>
      </x:c>
      <x:c r="D36" s="45" t="str">
        <x:v>und</x:v>
      </x:c>
      <x:c r="E36" s="61" t="n">
        <x:v>80</x:v>
      </x:c>
    </x:row>
    <x:row r="37">
      <x:c r="A37" s="44" t="str">
        <x:v>subcontratos</x:v>
      </x:c>
      <x:c r="B37" s="45" t="str">
        <x:v>SUB_MONTAJE_BUZON</x:v>
      </x:c>
      <x:c r="C37" s="45" t="str">
        <x:v>SUBCONTRATO SERVICIO ASENTADO Y ANCLAJE BUZONES PREFABRICADOS</x:v>
      </x:c>
      <x:c r="D37" s="45" t="str">
        <x:v>und</x:v>
      </x:c>
      <x:c r="E37" s="61" t="n">
        <x:v>250</x:v>
      </x:c>
    </x:row>
    <x:row r="38">
      <x:c r="A38" s="62" t="str">
        <x:v>subcontratos</x:v>
      </x:c>
      <x:c r="B38" s="53" t="str">
        <x:v>SUB_PRUEBA_LAB</x:v>
      </x:c>
      <x:c r="C38" s="53" t="str">
        <x:v>SUBCONTRATO PRUEBAS DE LABORATORIO DE AGUA (BACTERIOLOGICO/FISICOQUIMICO)</x:v>
      </x:c>
      <x:c r="D38" s="53" t="str">
        <x:v>glb</x:v>
      </x:c>
      <x:c r="E38" s="64" t="n">
        <x:v>3800</x:v>
      </x:c>
    </x:row>
  </x:sheetData>
  <x:mergeCells>
    <x:mergeCell ref="A1:E1"/>
  </x:mergeCells>
  <x:pageMargins left="0.7" right="0.7" top="0.75" bottom="0.75" header="0.3" footer="0.3"/>
</x:worksheet>
</file>